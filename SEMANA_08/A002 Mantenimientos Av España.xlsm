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externalLinks/_rels/externalLink3.xml.rels" ContentType="application/vnd.openxmlformats-package.relationships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008" sheetId="1" state="visible" r:id="rId2"/>
  </sheets>
  <externalReferences>
    <externalReference r:id="rId3"/>
    <externalReference r:id="rId4"/>
    <externalReference r:id="rId5"/>
  </externalReferences>
  <definedNames>
    <definedName function="false" hidden="false" localSheetId="0" name="_xlnm.Print_Area" vbProcedure="false">'008'!$A$1:$R$135</definedName>
    <definedName function="false" hidden="false" localSheetId="0" name="_xlnm.Print_Titles" vbProcedure="false">'008'!$1:$13</definedName>
    <definedName function="false" hidden="false" name="Pagina" vbProcedure="false">IF(ISNA(MATCH(ROW(), get.document(64),1)),1, MATCH(ROW(), get.document(64),1)+1)</definedName>
    <definedName function="false" hidden="false" name="PaginadePaginas" vbProcedure="false">"Pagina" &amp; IF(ISNA(MATCH(ROW(), get.document(64),1)),1,MATCH(ROW(), get.document(64),1)+1) &amp; " de " &amp; get.document(50) + 0*NOW()</definedName>
    <definedName function="false" hidden="false" name="Paginas" vbProcedure="false">get.document(50)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<sst xmlns="http://schemas.openxmlformats.org/spreadsheetml/2006/main" count="34" uniqueCount="29">
  <si>
    <t xml:space="preserve">GRUPO CONSTRUCTOR Y PROMOTOR INDUSTRIAL, S.A. DE C.V.</t>
  </si>
  <si>
    <t xml:space="preserve">CLAVE</t>
  </si>
  <si>
    <t xml:space="preserve">UNIDAD NACIONAL 94, CONJUNTO RESIDENCIAL PATRIA, ZAPOPAN, JALISCO CP 45160</t>
  </si>
  <si>
    <t xml:space="preserve">Tels. 36-15-36-94</t>
  </si>
  <si>
    <t xml:space="preserve">OBRA:</t>
  </si>
  <si>
    <t xml:space="preserve">A-002</t>
  </si>
  <si>
    <t xml:space="preserve">SEMANA 008</t>
  </si>
  <si>
    <t xml:space="preserve">PERIODO 2023</t>
  </si>
  <si>
    <t xml:space="preserve">LABORATORIOS PISA SA DE CV</t>
  </si>
  <si>
    <t xml:space="preserve">SEMANA</t>
  </si>
  <si>
    <t xml:space="preserve">C:\Users\rvidal.GCPI.002\Documents\Programa gallo\Destajos\AcuGen GCPI 2023.xlsm</t>
  </si>
  <si>
    <t xml:space="preserve">CONCEPTO</t>
  </si>
  <si>
    <t xml:space="preserve">U</t>
  </si>
  <si>
    <t xml:space="preserve">%</t>
  </si>
  <si>
    <t xml:space="preserve">largo</t>
  </si>
  <si>
    <t xml:space="preserve">ancho</t>
  </si>
  <si>
    <t xml:space="preserve">alto</t>
  </si>
  <si>
    <t xml:space="preserve">pza</t>
  </si>
  <si>
    <t xml:space="preserve">CANT.</t>
  </si>
  <si>
    <t xml:space="preserve">P.U. $</t>
  </si>
  <si>
    <t xml:space="preserve">IMPORTE $</t>
  </si>
  <si>
    <t xml:space="preserve">TOTAL</t>
  </si>
  <si>
    <t xml:space="preserve">PAGAR $</t>
  </si>
  <si>
    <t xml:space="preserve">∑ =</t>
  </si>
  <si>
    <t xml:space="preserve">Limpieza general</t>
  </si>
  <si>
    <t xml:space="preserve">SUBTOTAL</t>
  </si>
  <si>
    <t xml:space="preserve">RESIDENTES, SUPERVISORES Y DESTAJISTAS DE OBRA</t>
  </si>
  <si>
    <t xml:space="preserve">MANDOS INTERMEDIOS</t>
  </si>
  <si>
    <t xml:space="preserve">TOTAL DESTAJO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</si>
</sst>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General"/>
    <numFmt numFmtId="166" formatCode="d\-mmm\-yy"/>
    <numFmt numFmtId="167" formatCode="#,##0.00;[RED]\-#,##0.00;;"/>
    <numFmt numFmtId="168" formatCode="#,##0.00"/>
    <numFmt numFmtId="169" formatCode="\$#,##0.00"/>
    <numFmt numFmtId="170" formatCode="#,##0;[RED]\-#,##0;;"/>
    <numFmt numFmtId="171" formatCode="#,##0"/>
    <numFmt numFmtId="172" formatCode="#,##0.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b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FFFFFF"/>
      <name val="Arial"/>
      <family val="2"/>
      <charset val="1"/>
    </font>
    <font>
      <b val="true"/>
      <sz val="26"/>
      <name val="Arial"/>
      <family val="2"/>
      <charset val="1"/>
    </font>
    <font>
      <b val="true"/>
      <sz val="9"/>
      <name val="Arial"/>
      <family val="2"/>
      <charset val="1"/>
    </font>
    <font>
      <sz val="5"/>
      <name val="Arial"/>
      <family val="2"/>
      <charset val="1"/>
    </font>
    <font>
      <sz val="8"/>
      <name val="Arial"/>
      <family val="2"/>
      <charset val="1"/>
    </font>
    <font>
      <sz val="8"/>
      <name val="Calibri"/>
      <family val="2"/>
      <charset val="1"/>
    </font>
    <font>
      <u val="single"/>
      <sz val="1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B7DEE8"/>
        <bgColor rgb="FFC0C0C0"/>
      </patternFill>
    </fill>
    <fill>
      <patternFill patternType="solid">
        <fgColor rgb="FF8EB4E3"/>
        <bgColor rgb="FF9999FF"/>
      </patternFill>
    </fill>
    <fill>
      <patternFill patternType="solid">
        <fgColor rgb="FFC0C0C0"/>
        <bgColor rgb="FFB7DEE8"/>
      </patternFill>
    </fill>
  </fills>
  <borders count="66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thick"/>
      <top style="medium"/>
      <bottom style="medium"/>
      <diagonal/>
    </border>
    <border diagonalUp="false" diagonalDown="false">
      <left style="medium"/>
      <right/>
      <top style="thick"/>
      <bottom/>
      <diagonal/>
    </border>
    <border diagonalUp="false" diagonalDown="false">
      <left/>
      <right style="thin"/>
      <top style="thick"/>
      <bottom/>
      <diagonal/>
    </border>
    <border diagonalUp="false" diagonalDown="false">
      <left style="thin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medium"/>
      <top style="thick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ck"/>
      <top style="medium"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thin"/>
      <top style="thin">
        <color rgb="FFC0C0C0"/>
      </top>
      <bottom style="thin">
        <color rgb="FFC0C0C0"/>
      </bottom>
      <diagonal/>
    </border>
    <border diagonalUp="false" diagonalDown="false">
      <left style="thin"/>
      <right/>
      <top style="thin">
        <color rgb="FFC0C0C0"/>
      </top>
      <bottom style="thin">
        <color rgb="FFC0C0C0"/>
      </bottom>
      <diagonal/>
    </border>
    <border diagonalUp="false" diagonalDown="false">
      <left/>
      <right/>
      <top style="thin">
        <color rgb="FFC0C0C0"/>
      </top>
      <bottom style="thin">
        <color rgb="FFC0C0C0"/>
      </bottom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medium"/>
      <right/>
      <top/>
      <bottom style="thick"/>
      <diagonal/>
    </border>
    <border diagonalUp="false" diagonalDown="false">
      <left/>
      <right style="thin"/>
      <top style="thin">
        <color rgb="FFC0C0C0"/>
      </top>
      <bottom style="thick"/>
      <diagonal/>
    </border>
    <border diagonalUp="false" diagonalDown="false">
      <left style="thin"/>
      <right/>
      <top style="thin">
        <color rgb="FFC0C0C0"/>
      </top>
      <bottom style="thick"/>
      <diagonal/>
    </border>
    <border diagonalUp="false" diagonalDown="false">
      <left/>
      <right/>
      <top style="thin">
        <color rgb="FFC0C0C0"/>
      </top>
      <bottom style="thick"/>
      <diagonal/>
    </border>
    <border diagonalUp="false" diagonalDown="false">
      <left/>
      <right style="thin"/>
      <top/>
      <bottom style="thick"/>
      <diagonal/>
    </border>
    <border diagonalUp="false" diagonalDown="false">
      <left/>
      <right style="medium"/>
      <top/>
      <bottom style="thick"/>
      <diagonal/>
    </border>
    <border diagonalUp="false" diagonalDown="false">
      <left style="medium"/>
      <right style="thin"/>
      <top style="thin"/>
      <bottom style="thick"/>
      <diagonal/>
    </border>
    <border diagonalUp="false" diagonalDown="false">
      <left style="thin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/>
      <right style="thin"/>
      <top style="thick"/>
      <bottom style="thin">
        <color rgb="FFC0C0C0"/>
      </bottom>
      <diagonal/>
    </border>
    <border diagonalUp="false" diagonalDown="false">
      <left style="thin"/>
      <right/>
      <top style="thick"/>
      <bottom style="thin">
        <color rgb="FFC0C0C0"/>
      </bottom>
      <diagonal/>
    </border>
    <border diagonalUp="false" diagonalDown="false">
      <left/>
      <right/>
      <top style="thick"/>
      <bottom style="thin">
        <color rgb="FFC0C0C0"/>
      </bottom>
      <diagonal/>
    </border>
    <border diagonalUp="false" diagonalDown="false">
      <left style="medium"/>
      <right style="thin"/>
      <top style="thick"/>
      <bottom style="thin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n"/>
      <diagonal/>
    </border>
    <border diagonalUp="false" diagonalDown="false">
      <left style="thin"/>
      <right/>
      <top/>
      <bottom style="medium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4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8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9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3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4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5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6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2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2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2" borderId="22" xfId="0" applyFont="fals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1" fillId="2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1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2" borderId="23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2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6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3" borderId="2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5" fontId="5" fillId="3" borderId="2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8" fillId="3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8" fillId="3" borderId="26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6" fontId="12" fillId="3" borderId="2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3" borderId="26" xfId="0" applyFont="fals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3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3" borderId="26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6" fillId="3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4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4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4" borderId="2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4" fillId="4" borderId="2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5" fillId="4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4" borderId="1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3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33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7" fontId="14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3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33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3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3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36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37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37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37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14" fillId="0" borderId="37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9" fontId="14" fillId="0" borderId="35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9" fontId="5" fillId="0" borderId="38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70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39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4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4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39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4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4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4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43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4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4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45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4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14" fillId="0" borderId="45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1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9" fontId="14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9" fontId="5" fillId="0" borderId="46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71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47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48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49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47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48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49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5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5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14" fillId="0" borderId="5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53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14" fillId="0" borderId="53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53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14" fillId="0" borderId="53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54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9" fontId="14" fillId="0" borderId="5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9" fontId="5" fillId="0" borderId="55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56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57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58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56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57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58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7" fillId="4" borderId="2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7" fillId="4" borderId="2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7" fillId="4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4" borderId="3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4" fillId="0" borderId="59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14" fillId="0" borderId="6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6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14" fillId="0" borderId="6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6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14" fillId="0" borderId="6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6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63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4" fillId="0" borderId="6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6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63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6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14" fillId="0" borderId="6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14" fillId="0" borderId="4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0" borderId="1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17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14" fillId="0" borderId="65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1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14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14" fillId="0" borderId="16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8" fontId="14" fillId="0" borderId="1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14" fillId="0" borderId="16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9" fontId="14" fillId="0" borderId="17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9" fontId="5" fillId="0" borderId="23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72" fontId="1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1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oneda 2" xfId="20"/>
    <cellStyle name="Normal 2" xfId="21"/>
    <cellStyle name="Normal 2 2" xfId="22"/>
    <cellStyle name="Porcentaje 2" xfId="23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7DEE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externalLink" Target="externalLinks/externalLink1.xml"/><Relationship Id="rId4" Type="http://schemas.openxmlformats.org/officeDocument/2006/relationships/externalLink" Target="externalLinks/externalLink2.xml"/><Relationship Id="rId5" Type="http://schemas.openxmlformats.org/officeDocument/2006/relationships/externalLink" Target="externalLinks/externalLink3.xml"/><Relationship Id="rId6" Type="http://schemas.openxmlformats.org/officeDocument/2006/relationships/sharedStrings" Target="sharedStrings.xml"/>
</Relationships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../../../../../../.shortcut-targets-by-id/0Bw9byDl25H49eHZ3YjlhTXRRQzQ/GCPI%20-%20TRABAJO/Bases%20de%20Datos/Listado%20de%20Obras.xlsx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../../../../../../.shortcut-targets-by-id/0Bw9byDl25H49eHZ3YjlhTXRRQzQ/GCPI%20-%20TRABAJO/Bases%20de%20Datos/Listado%20de%20Fechas.xlsx" TargetMode="External"/>
</Relationships>
</file>

<file path=xl/externalLinks/_rels/externalLink3.xml.rels><?xml version="1.0" encoding="UTF-8"?>
<Relationships xmlns="http://schemas.openxmlformats.org/package/2006/relationships"><Relationship Id="rId1" Type="http://schemas.openxmlformats.org/officeDocument/2006/relationships/externalLinkPath" Target="../../../../../../.shortcut-targets-by-id/0Bw9byDl25H49eHZ3YjlhTXRRQzQ/GCPI%20-%20TRABAJO/Bases%20de%20Datos/Base%20de%20Datos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B"/>
      <sheetName val="OB_TOTALE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</row>
        <row r="2"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</row>
        <row r="3"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</row>
        <row r="4"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</row>
        <row r="17">
          <cell r="F17" t="str">
            <v>R</v>
          </cell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</row>
        <row r="18">
          <cell r="F18" t="str">
            <v>JP</v>
          </cell>
        </row>
        <row r="18"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</row>
        <row r="19">
          <cell r="F19" t="str">
            <v>JP</v>
          </cell>
        </row>
        <row r="19"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</row>
        <row r="20">
          <cell r="F20" t="str">
            <v>JP</v>
          </cell>
        </row>
        <row r="20"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</row>
        <row r="21">
          <cell r="F21" t="str">
            <v>JP</v>
          </cell>
        </row>
        <row r="21"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</row>
        <row r="22">
          <cell r="F22" t="str">
            <v>JP</v>
          </cell>
        </row>
        <row r="22">
          <cell r="H22" t="str">
            <v>LP</v>
          </cell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</row>
        <row r="23">
          <cell r="F23" t="str">
            <v>JP</v>
          </cell>
        </row>
        <row r="23">
          <cell r="H23" t="str">
            <v>IP</v>
          </cell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</row>
        <row r="24">
          <cell r="F24" t="str">
            <v>ARQ</v>
          </cell>
        </row>
        <row r="24"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</row>
        <row r="25">
          <cell r="D25" t="str">
            <v>STELLA MARIS SJA</v>
          </cell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</row>
        <row r="26">
          <cell r="F26" t="str">
            <v>N/A</v>
          </cell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</row>
        <row r="28">
          <cell r="F28" t="str">
            <v>N/A</v>
          </cell>
        </row>
        <row r="28"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</row>
        <row r="29">
          <cell r="F29" t="str">
            <v>N/A</v>
          </cell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</row>
        <row r="30"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</row>
        <row r="31">
          <cell r="F31" t="str">
            <v>JP</v>
          </cell>
          <cell r="G31" t="str">
            <v>SRA VIVIANA ALVAREZ</v>
          </cell>
          <cell r="H31" t="str">
            <v>ARQ</v>
          </cell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</row>
        <row r="33">
          <cell r="A33" t="str">
            <v>B-128</v>
          </cell>
          <cell r="B33" t="str">
            <v>GP</v>
          </cell>
          <cell r="C33" t="str">
            <v>AV. LAS PALMAS No300 LOTE 28 FRACCIONAMIENTO LOS JALES HASTA EL FONDO</v>
          </cell>
          <cell r="D33" t="str">
            <v>JAVIER ALVAREZ BERMEJILLO</v>
          </cell>
        </row>
        <row r="33">
          <cell r="F33" t="str">
            <v>N/A</v>
          </cell>
        </row>
        <row r="34">
          <cell r="A34" t="str">
            <v>B-199</v>
          </cell>
          <cell r="B34" t="str">
            <v>GP</v>
          </cell>
          <cell r="C34" t="str">
            <v>AV. LAS PALMAS No. 100 FRACC. VILLA MAGNA ZAPOPAN JAL.</v>
          </cell>
          <cell r="D34" t="str">
            <v>VILLA MAGNA LOTE 58 (ALFONSO ALVAREZ)</v>
          </cell>
        </row>
        <row r="34">
          <cell r="F34" t="str">
            <v>N/A</v>
          </cell>
        </row>
        <row r="35">
          <cell r="A35" t="str">
            <v>B-351</v>
          </cell>
          <cell r="B35" t="str">
            <v>GP</v>
          </cell>
          <cell r="C35" t="str">
            <v>KM 7 CARRETERA A SAN ISIDRO MAZATEPEC EN TLAJOMULCO DE ZUÑIGA JAL.</v>
          </cell>
          <cell r="D35" t="str">
            <v>KIOSKO CDN</v>
          </cell>
        </row>
        <row r="35">
          <cell r="F35" t="str">
            <v>N/A</v>
          </cell>
        </row>
        <row r="36">
          <cell r="A36" t="str">
            <v>B-382</v>
          </cell>
        </row>
        <row r="36">
          <cell r="D36" t="str">
            <v>JUAN CARLOS ALVAREZ SJA</v>
          </cell>
        </row>
        <row r="37">
          <cell r="A37" t="str">
            <v>B-390</v>
          </cell>
          <cell r="B37" t="str">
            <v>GP</v>
          </cell>
          <cell r="C37" t="str">
            <v>S/D</v>
          </cell>
          <cell r="D37" t="str">
            <v>TRABAJOS DE MANTENIMIENTO  EN INSTALACIONES INDUSTRIALES</v>
          </cell>
        </row>
        <row r="37">
          <cell r="F37" t="str">
            <v>N/A</v>
          </cell>
        </row>
        <row r="38">
          <cell r="A38" t="str">
            <v>B-409</v>
          </cell>
        </row>
        <row r="38">
          <cell r="D38" t="str">
            <v>JCAV J2</v>
          </cell>
        </row>
        <row r="39">
          <cell r="A39" t="str">
            <v>B-445</v>
          </cell>
        </row>
        <row r="39">
          <cell r="D39" t="str">
            <v>JALES3 SAV</v>
          </cell>
        </row>
        <row r="40">
          <cell r="A40" t="str">
            <v>B-452</v>
          </cell>
        </row>
        <row r="40">
          <cell r="D40" t="str">
            <v>CASA PABLO</v>
          </cell>
        </row>
        <row r="41">
          <cell r="A41" t="str">
            <v>B-457</v>
          </cell>
        </row>
        <row r="41">
          <cell r="D41" t="str">
            <v>BODYLOGIC TLAJOMULCO</v>
          </cell>
        </row>
        <row r="42">
          <cell r="A42" t="str">
            <v>B-468</v>
          </cell>
        </row>
        <row r="42">
          <cell r="D42" t="str">
            <v>BODEGA GCPI</v>
          </cell>
        </row>
        <row r="43">
          <cell r="A43" t="str">
            <v>B-471</v>
          </cell>
        </row>
        <row r="43">
          <cell r="D43" t="str">
            <v>LOS REFLEJOS LOTE R8</v>
          </cell>
        </row>
        <row r="44">
          <cell r="A44" t="str">
            <v>B-479</v>
          </cell>
        </row>
        <row r="44">
          <cell r="D44" t="str">
            <v>CASA MARCO CORTÉS</v>
          </cell>
        </row>
        <row r="45">
          <cell r="A45" t="str">
            <v>B-531</v>
          </cell>
        </row>
        <row r="45">
          <cell r="D45" t="str">
            <v>TRABAJOS DE MANTENIMIENTO Y REPARACION DE INSTALACIONES EDIFICIO F CDN</v>
          </cell>
        </row>
        <row r="46">
          <cell r="A46" t="str">
            <v>B-577</v>
          </cell>
        </row>
        <row r="46">
          <cell r="C46" t="str">
            <v>SANTA ANITA</v>
          </cell>
          <cell r="D46" t="str">
            <v>CASA HERIBERTO CASTAÑEDA</v>
          </cell>
        </row>
        <row r="47">
          <cell r="A47" t="str">
            <v>B-592</v>
          </cell>
        </row>
        <row r="47">
          <cell r="D47" t="str">
            <v>MANTENIMIENTO ALMACÉN COLÓN</v>
          </cell>
        </row>
        <row r="48">
          <cell r="A48" t="str">
            <v>B-616</v>
          </cell>
        </row>
        <row r="48">
          <cell r="D48" t="str">
            <v>LOCAL PLAZA OTTAWA</v>
          </cell>
        </row>
        <row r="49">
          <cell r="A49" t="str">
            <v>B-619</v>
          </cell>
        </row>
        <row r="49">
          <cell r="D49" t="str">
            <v>CASA OCHOA</v>
          </cell>
        </row>
        <row r="50">
          <cell r="A50" t="str">
            <v>B-656</v>
          </cell>
        </row>
        <row r="50">
          <cell r="D50" t="str">
            <v>RTN BLOQUE 2 2DA ETAPA</v>
          </cell>
        </row>
        <row r="51">
          <cell r="A51" t="str">
            <v>B-664</v>
          </cell>
        </row>
        <row r="51">
          <cell r="C51" t="str">
            <v>TERRENO LA MOJONERA FERNANDO ALVAREZ RAMON CORONA 4601</v>
          </cell>
          <cell r="D51" t="str">
            <v>MANTENIMIENTO GALBER</v>
          </cell>
        </row>
        <row r="52">
          <cell r="A52" t="str">
            <v>B-712</v>
          </cell>
        </row>
        <row r="52">
          <cell r="C52" t="str">
            <v>TLAJOMULCO</v>
          </cell>
          <cell r="D52" t="str">
            <v>TRABAJOS DE MANTENIMIENTO TALLER VEHICULAR TRANSLIMA</v>
          </cell>
        </row>
        <row r="53">
          <cell r="A53" t="str">
            <v>B-715</v>
          </cell>
        </row>
        <row r="53">
          <cell r="C53" t="str">
            <v>TLAJOMULCO</v>
          </cell>
          <cell r="D53" t="str">
            <v>PROYECTO DE AMPLIACION OFICINAS EDIFICIO E</v>
          </cell>
        </row>
        <row r="54">
          <cell r="A54" t="str">
            <v>B-745</v>
          </cell>
        </row>
        <row r="54">
          <cell r="C54" t="str">
            <v>EL CIELO COUNTRY CLUB</v>
          </cell>
          <cell r="D54" t="str">
            <v>CASA HABITACION SR ALEJANDRO TROYA</v>
          </cell>
        </row>
        <row r="55">
          <cell r="A55" t="str">
            <v>B-769</v>
          </cell>
        </row>
        <row r="55">
          <cell r="C55" t="str">
            <v>TLAJOMULCO</v>
          </cell>
          <cell r="D55" t="str">
            <v>FORMAS SOLIDAS 3</v>
          </cell>
        </row>
        <row r="56">
          <cell r="A56" t="str">
            <v>B-769A</v>
          </cell>
        </row>
        <row r="56">
          <cell r="C56" t="str">
            <v>TLAJOMULCO</v>
          </cell>
          <cell r="D56" t="str">
            <v>NAVE DE SERVICIOS EN EDIFICIO B</v>
          </cell>
        </row>
        <row r="57">
          <cell r="A57" t="str">
            <v>B-790</v>
          </cell>
        </row>
        <row r="57">
          <cell r="C57" t="str">
            <v>TEJABANES</v>
          </cell>
          <cell r="D57" t="str">
            <v>PARQUE CAB LAS JUNTAS</v>
          </cell>
        </row>
        <row r="58">
          <cell r="A58" t="str">
            <v>B-790A</v>
          </cell>
        </row>
        <row r="58">
          <cell r="C58" t="str">
            <v>TEJABANES</v>
          </cell>
          <cell r="D58" t="str">
            <v>PARQUE CAB LAS JUNTAS MANZANA 1</v>
          </cell>
        </row>
        <row r="59">
          <cell r="A59" t="str">
            <v>B-790B</v>
          </cell>
        </row>
        <row r="59">
          <cell r="C59" t="str">
            <v>TEJABANES</v>
          </cell>
          <cell r="D59" t="str">
            <v>PARQUE CAB LAS JUNTAS MANZANA 2</v>
          </cell>
        </row>
        <row r="60">
          <cell r="A60" t="str">
            <v>B-790C</v>
          </cell>
        </row>
        <row r="60">
          <cell r="C60" t="str">
            <v>TEJABANES</v>
          </cell>
          <cell r="D60" t="str">
            <v>PARQUE CAB LAS JUNTAS MANZANA 3</v>
          </cell>
        </row>
        <row r="61">
          <cell r="A61" t="str">
            <v>B-790D</v>
          </cell>
        </row>
        <row r="61">
          <cell r="C61" t="str">
            <v>TEJABANES</v>
          </cell>
          <cell r="D61" t="str">
            <v>PARQUE CAB LAS JUNTAS MANZANA 4</v>
          </cell>
        </row>
        <row r="62">
          <cell r="A62" t="str">
            <v>B-792</v>
          </cell>
        </row>
        <row r="62">
          <cell r="C62" t="str">
            <v>SAN ISIDRO</v>
          </cell>
          <cell r="D62" t="str">
            <v>BODEGAS GCPI ING JPCA y ARQ JLJCA</v>
          </cell>
        </row>
        <row r="63">
          <cell r="A63" t="str">
            <v>B-795</v>
          </cell>
        </row>
        <row r="63">
          <cell r="C63" t="str">
            <v>GUADALAJARA</v>
          </cell>
          <cell r="D63" t="str">
            <v>NERIUM</v>
          </cell>
        </row>
        <row r="64">
          <cell r="A64" t="str">
            <v>B-802</v>
          </cell>
        </row>
        <row r="64">
          <cell r="C64" t="str">
            <v>TAPALPA</v>
          </cell>
          <cell r="D64" t="str">
            <v>CASA GODOY TAPALPA</v>
          </cell>
        </row>
        <row r="65">
          <cell r="A65" t="str">
            <v>B-861</v>
          </cell>
        </row>
        <row r="65">
          <cell r="C65" t="str">
            <v>ZAPOPAN</v>
          </cell>
          <cell r="D65" t="str">
            <v>AMPLIACION DE OFICINAS PAT</v>
          </cell>
        </row>
        <row r="66">
          <cell r="A66" t="str">
            <v>B-878</v>
          </cell>
        </row>
        <row r="66">
          <cell r="C66" t="str">
            <v>TLAJOMULCO</v>
          </cell>
          <cell r="D66" t="str">
            <v>MANTENIMIENTO EDIFICIO B FORMAS SÓLIDAS</v>
          </cell>
        </row>
        <row r="67">
          <cell r="A67" t="str">
            <v>B-898</v>
          </cell>
        </row>
        <row r="67">
          <cell r="C67" t="str">
            <v>PRADERAS DEL NOGAL TAPALPA</v>
          </cell>
          <cell r="D67" t="str">
            <v>MANTENIMIENTO EN RANCHO PRADERAS DEL NOGAL</v>
          </cell>
        </row>
        <row r="68">
          <cell r="A68" t="str">
            <v>B-899</v>
          </cell>
        </row>
        <row r="68">
          <cell r="C68" t="str">
            <v>MAR EGEO 1310-4 EL COUNTRY</v>
          </cell>
          <cell r="D68" t="str">
            <v>TERE ROBLES</v>
          </cell>
        </row>
        <row r="69">
          <cell r="A69" t="str">
            <v>B-905</v>
          </cell>
        </row>
        <row r="69">
          <cell r="C69" t="str">
            <v>TEJABANES</v>
          </cell>
          <cell r="D69" t="str">
            <v>OFICINAS SUMITOMO</v>
          </cell>
        </row>
        <row r="70">
          <cell r="A70" t="str">
            <v>B-911</v>
          </cell>
        </row>
        <row r="70">
          <cell r="C70" t="str">
            <v>ZAPOPAN</v>
          </cell>
          <cell r="D70" t="str">
            <v>CASA CHÁVEZ MARTÍNEZ</v>
          </cell>
        </row>
        <row r="71">
          <cell r="A71" t="str">
            <v>B-920</v>
          </cell>
        </row>
        <row r="71">
          <cell r="C71" t="str">
            <v>ZAPOPAN</v>
          </cell>
          <cell r="D71" t="str">
            <v>SAN PASCUAL 1676 FRACCIONAMIENTO SANTA ISABEL</v>
          </cell>
        </row>
        <row r="72">
          <cell r="A72" t="str">
            <v>B-970</v>
          </cell>
        </row>
        <row r="72">
          <cell r="C72" t="str">
            <v>COLINAS DE SAN JAVIER</v>
          </cell>
          <cell r="D72" t="str">
            <v>CASA DIEGO CHÁVEZ NAVARRO</v>
          </cell>
        </row>
        <row r="73">
          <cell r="A73" t="str">
            <v>B-982</v>
          </cell>
        </row>
        <row r="73">
          <cell r="C73" t="str">
            <v>COLON</v>
          </cell>
          <cell r="D73" t="str">
            <v>REMODELACION ALMACEN COLÓN</v>
          </cell>
        </row>
        <row r="74">
          <cell r="A74" t="str">
            <v>B-984</v>
          </cell>
        </row>
        <row r="74">
          <cell r="C74" t="str">
            <v>TLAJOMULCO</v>
          </cell>
          <cell r="D74" t="str">
            <v>MANTENIMIENTO PARA CDN</v>
          </cell>
        </row>
        <row r="75">
          <cell r="A75" t="str">
            <v>C-001</v>
          </cell>
        </row>
        <row r="75">
          <cell r="C75" t="str">
            <v>CALZADA OLÍMPICA</v>
          </cell>
          <cell r="D75" t="str">
            <v>MANIJAUTO</v>
          </cell>
        </row>
        <row r="76">
          <cell r="A76" t="str">
            <v>C-038</v>
          </cell>
        </row>
        <row r="76">
          <cell r="C76" t="str">
            <v>TLAJOMULCO</v>
          </cell>
          <cell r="D76" t="str">
            <v>LABORATORIO DE PENICILINICOS</v>
          </cell>
        </row>
        <row r="77">
          <cell r="A77" t="str">
            <v>C-039</v>
          </cell>
        </row>
        <row r="77">
          <cell r="C77" t="str">
            <v>DESTINO VALLARTA</v>
          </cell>
          <cell r="D77" t="str">
            <v>PONTO QUITO</v>
          </cell>
        </row>
        <row r="78">
          <cell r="A78" t="str">
            <v>C-046</v>
          </cell>
        </row>
        <row r="78">
          <cell r="C78" t="str">
            <v>AVANT</v>
          </cell>
          <cell r="D78" t="str">
            <v>NAVE 3 AVANT</v>
          </cell>
        </row>
        <row r="79">
          <cell r="A79" t="str">
            <v>C-085</v>
          </cell>
        </row>
        <row r="79">
          <cell r="C79" t="str">
            <v>CONDOMINIO PLAZA COUNTRY</v>
          </cell>
          <cell r="D79" t="str">
            <v>CASA INT 30 SR ALEJANDRO GARCIARCE ALVAREZ</v>
          </cell>
        </row>
        <row r="80">
          <cell r="A80" t="str">
            <v>C-092</v>
          </cell>
        </row>
        <row r="80">
          <cell r="C80" t="str">
            <v>TLAJOMULCO</v>
          </cell>
          <cell r="D80" t="str">
            <v>MANTENIMIENTO Y CONSERVACIÓN EDIFICIO E INSTALACIONES ELÉCTRICAS ALMACÉN AUTOMATIZADO</v>
          </cell>
        </row>
        <row r="81">
          <cell r="A81" t="str">
            <v>C-101</v>
          </cell>
        </row>
        <row r="81">
          <cell r="C81" t="str">
            <v>TAPALPA</v>
          </cell>
          <cell r="D81" t="str">
            <v>MTTO. CASA Y PLANTA DE EMERGENCIA CABAÑA MÁGICA</v>
          </cell>
        </row>
        <row r="82">
          <cell r="A82" t="str">
            <v>C-105</v>
          </cell>
        </row>
        <row r="82">
          <cell r="C82" t="str">
            <v>PYMPSA</v>
          </cell>
          <cell r="D82" t="str">
            <v>ADECUACIÓN RED CONTRA-INCENDIOS</v>
          </cell>
        </row>
        <row r="83">
          <cell r="A83" t="str">
            <v>C-106</v>
          </cell>
        </row>
        <row r="83">
          <cell r="C83" t="str">
            <v>CONJUNTO RESIDENCIAL PATRIA</v>
          </cell>
          <cell r="D83" t="str">
            <v>TERRENO HIMNO PATRIO LORENA CHÁVEZ</v>
          </cell>
        </row>
        <row r="84">
          <cell r="A84" t="str">
            <v>C-112</v>
          </cell>
        </row>
        <row r="84">
          <cell r="C84" t="str">
            <v>TLAJOMULCO</v>
          </cell>
          <cell r="D84" t="str">
            <v>MANTENIMIENTO A EDIFICIO ONCOLÓGICOS E INMUNOLÓGICOS</v>
          </cell>
        </row>
        <row r="85">
          <cell r="A85" t="str">
            <v>C-115</v>
          </cell>
        </row>
        <row r="85">
          <cell r="C85" t="str">
            <v>VISTAS DE LA CAÑADA</v>
          </cell>
          <cell r="D85" t="str">
            <v>MANTENIMIENTO CASA ÁLVARO SOTO</v>
          </cell>
        </row>
        <row r="86">
          <cell r="A86" t="str">
            <v>C-121</v>
          </cell>
        </row>
        <row r="86">
          <cell r="C86" t="str">
            <v>TAPALPA</v>
          </cell>
          <cell r="D86" t="str">
            <v>CABAÑA EL JAGUEY</v>
          </cell>
        </row>
        <row r="87">
          <cell r="A87" t="str">
            <v>C-127</v>
          </cell>
        </row>
        <row r="87">
          <cell r="C87" t="str">
            <v>TLAJOMULCO</v>
          </cell>
          <cell r="D87" t="str">
            <v>PRODUCTOS CONTROLADOS EDIFICIO B</v>
          </cell>
        </row>
        <row r="88">
          <cell r="A88" t="str">
            <v>C-143</v>
          </cell>
        </row>
        <row r="88">
          <cell r="C88" t="str">
            <v>TAPALPA</v>
          </cell>
          <cell r="D88" t="str">
            <v>CASA STELLA ÁLVAREZ</v>
          </cell>
        </row>
        <row r="89">
          <cell r="A89" t="str">
            <v>C-146</v>
          </cell>
        </row>
        <row r="89">
          <cell r="C89" t="str">
            <v>TAPALPA</v>
          </cell>
          <cell r="D89" t="str">
            <v>MANTENIMIENTO CASA JCAV</v>
          </cell>
        </row>
        <row r="90">
          <cell r="A90" t="str">
            <v>C-147</v>
          </cell>
        </row>
        <row r="90">
          <cell r="C90" t="str">
            <v>TAPALPA</v>
          </cell>
          <cell r="D90" t="str">
            <v>MANTENIMIENTO RANCHO JCAV</v>
          </cell>
        </row>
        <row r="91">
          <cell r="A91" t="str">
            <v>C-149</v>
          </cell>
        </row>
        <row r="91">
          <cell r="C91" t="str">
            <v>TAPALPA</v>
          </cell>
          <cell r="D91" t="str">
            <v>TERRAZA MARIANO BERDEGUÉ SAINZ</v>
          </cell>
        </row>
        <row r="92">
          <cell r="A92" t="str">
            <v>C-154</v>
          </cell>
        </row>
        <row r="92">
          <cell r="C92" t="str">
            <v>ZONA IND</v>
          </cell>
          <cell r="D92" t="str">
            <v>LABORATORIO FÍSICO-QUÍMICOS</v>
          </cell>
        </row>
        <row r="93">
          <cell r="A93" t="str">
            <v>C-155</v>
          </cell>
        </row>
        <row r="93">
          <cell r="C93" t="str">
            <v>PUERTA PLATA</v>
          </cell>
          <cell r="D93" t="str">
            <v>VIVIANA MARTÍNEZ ÁLVAREZ</v>
          </cell>
        </row>
        <row r="94">
          <cell r="A94" t="str">
            <v>C-158</v>
          </cell>
        </row>
        <row r="94">
          <cell r="C94" t="str">
            <v>ZONA IND</v>
          </cell>
          <cell r="D94" t="str">
            <v>LÍNEA VA3</v>
          </cell>
        </row>
        <row r="95">
          <cell r="A95" t="str">
            <v>C-160</v>
          </cell>
        </row>
        <row r="95">
          <cell r="C95" t="str">
            <v>PASEO DE LOS VIRREYES LOTE 43 ,COL. SAN WENCESLAO</v>
          </cell>
          <cell r="D95" t="str">
            <v>CASA JORGE PABLO CHÁVEZ NAVARRO</v>
          </cell>
        </row>
        <row r="96">
          <cell r="A96" t="str">
            <v>C-162</v>
          </cell>
        </row>
        <row r="96">
          <cell r="C96" t="str">
            <v>TAPALPA</v>
          </cell>
          <cell r="D96" t="str">
            <v>CASA OLMOS</v>
          </cell>
        </row>
        <row r="97">
          <cell r="A97" t="str">
            <v>C-165</v>
          </cell>
        </row>
        <row r="97">
          <cell r="C97" t="str">
            <v>TLAJOMULCO</v>
          </cell>
          <cell r="D97" t="str">
            <v>BODYLOGIC II</v>
          </cell>
        </row>
        <row r="98">
          <cell r="A98" t="str">
            <v>C-170</v>
          </cell>
        </row>
        <row r="98">
          <cell r="C98" t="str">
            <v>HIMNO PATRIO S/N</v>
          </cell>
          <cell r="D98" t="str">
            <v>TERRENO HIMNO PATRIO ANA PAULA CHÁVEZ</v>
          </cell>
        </row>
        <row r="99">
          <cell r="A99" t="str">
            <v>C-176</v>
          </cell>
        </row>
        <row r="99">
          <cell r="C99" t="str">
            <v>CIRCUITO MADRIGAL</v>
          </cell>
          <cell r="D99" t="str">
            <v>COTO COLINAS</v>
          </cell>
        </row>
        <row r="100">
          <cell r="A100" t="str">
            <v>C-180</v>
          </cell>
        </row>
        <row r="100">
          <cell r="C100" t="str">
            <v>ZONA IND</v>
          </cell>
          <cell r="D100" t="str">
            <v>REMEDIACIÓN SISTEMA DE AGUA ORALES</v>
          </cell>
        </row>
        <row r="101">
          <cell r="A101" t="str">
            <v>C-183</v>
          </cell>
        </row>
        <row r="101">
          <cell r="C101" t="str">
            <v>TLAJOMULCO</v>
          </cell>
          <cell r="D101" t="str">
            <v>RELACIÓN DE GASTOS EFECTUADOS MANTENIMIENTO DIRECCIÓN ELECTROLIT</v>
          </cell>
        </row>
        <row r="102">
          <cell r="A102" t="str">
            <v>C-188</v>
          </cell>
        </row>
        <row r="102">
          <cell r="C102" t="str">
            <v>PUERTA PLATA</v>
          </cell>
          <cell r="D102" t="str">
            <v>CRISTÓBAL GARCIARCE ÁLVAREZ</v>
          </cell>
        </row>
        <row r="103">
          <cell r="A103" t="str">
            <v>C-193</v>
          </cell>
        </row>
        <row r="103">
          <cell r="C103" t="str">
            <v>TLAJOMULCO</v>
          </cell>
          <cell r="D103" t="str">
            <v>INSUMOS 3 EN MANZANA 3</v>
          </cell>
        </row>
        <row r="104">
          <cell r="A104" t="str">
            <v>C-193A</v>
          </cell>
        </row>
        <row r="104">
          <cell r="C104" t="str">
            <v>TLAJOMULCO</v>
          </cell>
          <cell r="D104" t="str">
            <v>ALMACÉN DE INSUMOS 3 EN MANZANA 3 OBRA INTERNA</v>
          </cell>
        </row>
        <row r="105">
          <cell r="A105" t="str">
            <v>C-194</v>
          </cell>
        </row>
        <row r="105">
          <cell r="C105" t="str">
            <v>TLAJOMULCO</v>
          </cell>
          <cell r="D105" t="str">
            <v>PRODUCCIÓN 3 EN MANZANA 3</v>
          </cell>
        </row>
        <row r="106">
          <cell r="A106" t="str">
            <v>C-194A</v>
          </cell>
        </row>
        <row r="106">
          <cell r="C106" t="str">
            <v>TLAJOMULCO</v>
          </cell>
          <cell r="D106" t="str">
            <v>NAVE DE PRODUCCIÓN 3 EN MANZANA 3 OBRA INTERNA</v>
          </cell>
        </row>
        <row r="107">
          <cell r="A107" t="str">
            <v>C-195</v>
          </cell>
        </row>
        <row r="107">
          <cell r="C107" t="str">
            <v>TLAJOMULCO</v>
          </cell>
          <cell r="D107" t="str">
            <v>ALMACÉN DE MATERIALES 3 EN MANZANA 3</v>
          </cell>
        </row>
        <row r="108">
          <cell r="A108" t="str">
            <v>C-195A</v>
          </cell>
        </row>
        <row r="108">
          <cell r="C108" t="str">
            <v>TLAJOMULCO</v>
          </cell>
          <cell r="D108" t="str">
            <v>ALMACÉN DE MATERIALES 3 EN MANZANA 3 OBRA INTERNA</v>
          </cell>
        </row>
        <row r="109">
          <cell r="A109" t="str">
            <v>C-196</v>
          </cell>
        </row>
        <row r="109">
          <cell r="C109" t="str">
            <v>TLAJOMULCO</v>
          </cell>
          <cell r="D109" t="str">
            <v>PATIOS DE MATERIALES EN MANZANA 3</v>
          </cell>
        </row>
        <row r="110">
          <cell r="A110" t="str">
            <v>C-199</v>
          </cell>
        </row>
        <row r="110">
          <cell r="C110" t="str">
            <v>PARQUE CAB</v>
          </cell>
          <cell r="D110" t="str">
            <v>CUARTO DE BOMBAS PYMPSA/CAB</v>
          </cell>
        </row>
        <row r="111">
          <cell r="A111" t="str">
            <v>C-202</v>
          </cell>
        </row>
        <row r="111">
          <cell r="C111" t="str">
            <v>TLAJOMULCO</v>
          </cell>
          <cell r="D111" t="str">
            <v>REMEDIACIÓN PASILLOS GENERALES ISO 9 EDIFICIO A</v>
          </cell>
        </row>
        <row r="112">
          <cell r="A112" t="str">
            <v>C-205</v>
          </cell>
        </row>
        <row r="112">
          <cell r="C112" t="str">
            <v>TLAJOMULCO</v>
          </cell>
          <cell r="D112" t="str">
            <v>REMEDIACIÓN PASILLOS ISO 09 VIALES</v>
          </cell>
        </row>
        <row r="113">
          <cell r="A113" t="str">
            <v>C-206</v>
          </cell>
        </row>
        <row r="113">
          <cell r="C113" t="str">
            <v>TLAJOMULCO</v>
          </cell>
          <cell r="D113" t="str">
            <v>BASE PUENTE Y SILO EDIFICIO A</v>
          </cell>
        </row>
        <row r="114">
          <cell r="A114" t="str">
            <v>C-207</v>
          </cell>
        </row>
        <row r="114">
          <cell r="C114" t="str">
            <v>TLAJOMULCO</v>
          </cell>
          <cell r="D114" t="str">
            <v>ARCHIVOS REGULATORIOS EDIFICIO B</v>
          </cell>
        </row>
        <row r="115">
          <cell r="A115" t="str">
            <v>C-209</v>
          </cell>
        </row>
        <row r="115">
          <cell r="C115" t="str">
            <v>TEJABANES</v>
          </cell>
          <cell r="D115" t="str">
            <v>ADECUACIONES DE NAVES 5 y 6</v>
          </cell>
        </row>
        <row r="116">
          <cell r="A116" t="str">
            <v>C-214</v>
          </cell>
        </row>
        <row r="116">
          <cell r="C116" t="str">
            <v>TLAJOMULCO</v>
          </cell>
          <cell r="D116" t="str">
            <v>TRABAJOS DE MANTENIMIENTO EN EXTERIORES Y ÁREAS GENERALES</v>
          </cell>
        </row>
        <row r="117">
          <cell r="A117" t="str">
            <v>C-215</v>
          </cell>
        </row>
        <row r="117">
          <cell r="C117" t="str">
            <v>ZONA IND</v>
          </cell>
          <cell r="D117" t="str">
            <v>OFICINAS DE MANTENIMIENTO</v>
          </cell>
        </row>
        <row r="118">
          <cell r="A118" t="str">
            <v>C-216</v>
          </cell>
        </row>
        <row r="118">
          <cell r="C118" t="str">
            <v>ZONA IND</v>
          </cell>
          <cell r="D118" t="str">
            <v>MEZANINNE PARA ARCHIVOS DE DOCUMENTACIÓN</v>
          </cell>
        </row>
        <row r="119">
          <cell r="A119" t="str">
            <v>C-221</v>
          </cell>
        </row>
        <row r="119">
          <cell r="C119" t="str">
            <v>TLAJOMULCO</v>
          </cell>
          <cell r="D119" t="str">
            <v>REMEDIACIÓN PLANTA PENICILÍNICOS</v>
          </cell>
        </row>
        <row r="120">
          <cell r="A120" t="str">
            <v>C-224</v>
          </cell>
        </row>
        <row r="120">
          <cell r="C120" t="str">
            <v>ZONA IND</v>
          </cell>
          <cell r="D120" t="str">
            <v>CLASIFICACIÓN DE PASILLOS PLANTA</v>
          </cell>
        </row>
        <row r="121">
          <cell r="A121" t="str">
            <v>C-225</v>
          </cell>
        </row>
        <row r="121">
          <cell r="C121" t="str">
            <v>TLAJOMULCO</v>
          </cell>
          <cell r="D121" t="str">
            <v>SALAS DE CAPACITACIÓN NAVE 3, EDIFICIO B</v>
          </cell>
        </row>
        <row r="122">
          <cell r="A122" t="str">
            <v>C-226</v>
          </cell>
        </row>
        <row r="122">
          <cell r="C122" t="str">
            <v>16 DE SEPTIEMBRE 1066 COL. MODERNA, GUADALAJARA, JALISCO</v>
          </cell>
          <cell r="D122" t="str">
            <v>REMODELACIÓN AGENCIA AUTONOVA</v>
          </cell>
        </row>
        <row r="123">
          <cell r="A123" t="str">
            <v>C-228</v>
          </cell>
        </row>
        <row r="123">
          <cell r="C123" t="str">
            <v>ZAPOPAN, JALISCO</v>
          </cell>
          <cell r="D123" t="str">
            <v>PARQUE INDUSTRIAL INDORAMA</v>
          </cell>
        </row>
        <row r="124">
          <cell r="A124" t="str">
            <v>C-231</v>
          </cell>
        </row>
        <row r="124">
          <cell r="C124" t="str">
            <v>TLAJOMULCO</v>
          </cell>
          <cell r="D124" t="str">
            <v>RECUPERACIÓN DE AGUAS RESIDUALES DEL COMPLEJO TLAJOMULCO</v>
          </cell>
        </row>
        <row r="125">
          <cell r="A125" t="str">
            <v>C-232</v>
          </cell>
        </row>
        <row r="125">
          <cell r="C125" t="str">
            <v>TLAJOMULCO</v>
          </cell>
          <cell r="D125" t="str">
            <v>MANTENIMIENTO A INGRESO DE OFICINAS DE MANTENIMIENTO</v>
          </cell>
        </row>
        <row r="126">
          <cell r="A126" t="str">
            <v>C-234</v>
          </cell>
        </row>
        <row r="126">
          <cell r="C126" t="str">
            <v>TLAJOMULCO</v>
          </cell>
          <cell r="D126" t="str">
            <v>INCREMENTO DE CAPACIDAD POZO 7</v>
          </cell>
        </row>
        <row r="127">
          <cell r="A127" t="str">
            <v>C-244</v>
          </cell>
        </row>
        <row r="127">
          <cell r="C127" t="str">
            <v>ZONA IND</v>
          </cell>
          <cell r="D127" t="str">
            <v>ALMACÉN MP CALLE 6</v>
          </cell>
        </row>
        <row r="128">
          <cell r="A128" t="str">
            <v>C-247</v>
          </cell>
        </row>
        <row r="128">
          <cell r="C128" t="str">
            <v>EL COTO</v>
          </cell>
          <cell r="D128" t="str">
            <v>PÉRGOLA Y ASADORES EL COTO</v>
          </cell>
        </row>
        <row r="129">
          <cell r="A129" t="str">
            <v>C-249</v>
          </cell>
        </row>
        <row r="129">
          <cell r="C129" t="str">
            <v>TLAJOMULCO</v>
          </cell>
          <cell r="D129" t="str">
            <v>MANTENIMIENTO EDIFICIO B VIALES</v>
          </cell>
        </row>
        <row r="130">
          <cell r="A130" t="str">
            <v>C-255</v>
          </cell>
        </row>
        <row r="130">
          <cell r="C130" t="str">
            <v>ZONA INDUSTRIAL</v>
          </cell>
          <cell r="D130" t="str">
            <v>MUESTREO DE ESTÉRIL MATERIAS PRIMAS</v>
          </cell>
        </row>
        <row r="131">
          <cell r="A131" t="str">
            <v>C-256</v>
          </cell>
        </row>
        <row r="131">
          <cell r="C131" t="str">
            <v>AV ESPAÑA</v>
          </cell>
          <cell r="D131" t="str">
            <v>CONEXIÓN DE TRANSFORMADOR BODYLOGIC AV. ESPAÑA</v>
          </cell>
        </row>
        <row r="132">
          <cell r="A132" t="str">
            <v>C-258</v>
          </cell>
        </row>
        <row r="132">
          <cell r="C132" t="str">
            <v>TLAJOMULCO</v>
          </cell>
          <cell r="D132" t="str">
            <v>MANTENIMIENTO DE TUBERÍA DE AFORO PARA AGUA DE LAVANDERÍA</v>
          </cell>
        </row>
        <row r="133">
          <cell r="A133" t="str">
            <v>C-259</v>
          </cell>
        </row>
        <row r="133">
          <cell r="C133" t="str">
            <v>TLAJOMULCO</v>
          </cell>
          <cell r="D133" t="str">
            <v>OBRA CIVIL MEJORA INCUBACIÓN LABORATORIO EDIFICIO E</v>
          </cell>
        </row>
        <row r="134">
          <cell r="A134" t="str">
            <v>C-260</v>
          </cell>
        </row>
        <row r="134">
          <cell r="C134" t="str">
            <v>TLAJOMULCO</v>
          </cell>
          <cell r="D134" t="str">
            <v>OBRA CIVIL MEJORA LABORATORIO DE METROLOGÍA NAVE 5 EDIFICIO E</v>
          </cell>
        </row>
        <row r="135">
          <cell r="A135" t="str">
            <v>C-261</v>
          </cell>
        </row>
        <row r="135">
          <cell r="C135" t="str">
            <v>TLAJOMULCO</v>
          </cell>
          <cell r="D135" t="str">
            <v>OBRA CIVIL MEJORA ESTABILIDADES LABORATORIO EDIFICIO E</v>
          </cell>
        </row>
        <row r="136">
          <cell r="A136" t="str">
            <v>C-262</v>
          </cell>
        </row>
        <row r="136">
          <cell r="C136" t="str">
            <v>TLAJOMULCO</v>
          </cell>
          <cell r="D136" t="str">
            <v>MANTENIMIENTO DE FOSA PARA BÁSCULA EREMA</v>
          </cell>
        </row>
        <row r="137">
          <cell r="A137" t="str">
            <v>C-263</v>
          </cell>
        </row>
        <row r="137">
          <cell r="C137" t="str">
            <v>TLAJOMULCO</v>
          </cell>
          <cell r="D137" t="str">
            <v>MANTENIMIENTO EREMA PP</v>
          </cell>
        </row>
        <row r="138">
          <cell r="A138" t="str">
            <v>C-264</v>
          </cell>
        </row>
        <row r="138">
          <cell r="C138" t="str">
            <v>TLAJOMULCO</v>
          </cell>
          <cell r="D138" t="str">
            <v>INSTALACIÓN DE SISTEMA DE INSPECCIÓN DE FUGAS L2 EDIF A ELECTROLIT</v>
          </cell>
        </row>
        <row r="139">
          <cell r="A139" t="str">
            <v>C-265</v>
          </cell>
        </row>
        <row r="139">
          <cell r="C139" t="str">
            <v>TLAJOMULCO</v>
          </cell>
          <cell r="D139" t="str">
            <v>MEJORA RECUPERACIÓN DE BOLSA OVER LÍNEA 5</v>
          </cell>
        </row>
        <row r="140">
          <cell r="A140" t="str">
            <v>C-266</v>
          </cell>
        </row>
        <row r="140">
          <cell r="C140" t="str">
            <v>TLAJOMULCO</v>
          </cell>
          <cell r="D140" t="str">
            <v>MANTENIMIENTO DE LABORATORIO PRUEBAS DE ESTERILIDAD EDIFICIO E</v>
          </cell>
        </row>
        <row r="141">
          <cell r="A141" t="str">
            <v>C-267</v>
          </cell>
        </row>
        <row r="141">
          <cell r="C141" t="str">
            <v>ZONA INDUSTRIAL</v>
          </cell>
          <cell r="D141" t="str">
            <v>PASO DE GATO LABORATORIO</v>
          </cell>
        </row>
        <row r="142">
          <cell r="A142" t="str">
            <v>C-268</v>
          </cell>
        </row>
        <row r="142">
          <cell r="C142" t="str">
            <v>TLAJOMULCO</v>
          </cell>
          <cell r="D142" t="str">
            <v>SALA DE JUNTAS EN TALLERES DE MANTENIMIENTO EDIFICIO A</v>
          </cell>
        </row>
        <row r="143">
          <cell r="A143" t="str">
            <v>C-269</v>
          </cell>
        </row>
        <row r="143">
          <cell r="C143" t="str">
            <v>ZONA INDUSTRIAL</v>
          </cell>
          <cell r="D143" t="str">
            <v>REFORZAMIENTO DE LOSA ALMACÉN CALLE 6</v>
          </cell>
        </row>
        <row r="144">
          <cell r="A144" t="str">
            <v>C-270</v>
          </cell>
        </row>
        <row r="144">
          <cell r="C144" t="str">
            <v>TLAJOMULCO</v>
          </cell>
          <cell r="D144" t="str">
            <v>REJA TERRENO TECNAAL</v>
          </cell>
        </row>
        <row r="145">
          <cell r="A145" t="str">
            <v>C-271</v>
          </cell>
        </row>
        <row r="145">
          <cell r="C145" t="str">
            <v>TLAJOMULCO</v>
          </cell>
          <cell r="D145" t="str">
            <v>INSUMOS 4 EN MANZANA 3</v>
          </cell>
        </row>
        <row r="146">
          <cell r="A146" t="str">
            <v>C-272</v>
          </cell>
        </row>
        <row r="146">
          <cell r="D146" t="str">
            <v>JUAN FRANCISCO LÓPEZ GALINDO</v>
          </cell>
        </row>
        <row r="147">
          <cell r="A147" t="str">
            <v>C-273</v>
          </cell>
        </row>
        <row r="147">
          <cell r="C147" t="str">
            <v>TLAJOMULCO</v>
          </cell>
          <cell r="D147" t="str">
            <v>MANTENIMIENTO A PISO TÉCNICO DE RTN EDIFICIO E</v>
          </cell>
        </row>
        <row r="148">
          <cell r="A148" t="str">
            <v>C-274</v>
          </cell>
        </row>
        <row r="148">
          <cell r="C148" t="str">
            <v>PYMPSA</v>
          </cell>
          <cell r="D148" t="str">
            <v>CLORHEXIDINA TEJABANES</v>
          </cell>
        </row>
        <row r="149">
          <cell r="A149" t="str">
            <v>C-275</v>
          </cell>
        </row>
        <row r="149">
          <cell r="C149" t="str">
            <v>COAHUILA</v>
          </cell>
          <cell r="D149" t="str">
            <v>2 CABAÑAS</v>
          </cell>
        </row>
        <row r="150">
          <cell r="A150" t="str">
            <v>C-277</v>
          </cell>
        </row>
        <row r="150">
          <cell r="C150" t="str">
            <v>TLAJOMULCO</v>
          </cell>
          <cell r="D150" t="str">
            <v>NAVE DE PRODUCCIÓN 4 LÍNEA 10</v>
          </cell>
        </row>
        <row r="151">
          <cell r="A151" t="str">
            <v>C-278</v>
          </cell>
        </row>
        <row r="151">
          <cell r="C151" t="str">
            <v>PYMPSA</v>
          </cell>
          <cell r="D151" t="str">
            <v>CUARTO DE HORNOS PYMPSA</v>
          </cell>
        </row>
        <row r="152">
          <cell r="A152" t="str">
            <v>C-279</v>
          </cell>
        </row>
        <row r="152">
          <cell r="C152" t="str">
            <v>ZONA INDUSTRIAL</v>
          </cell>
          <cell r="D152" t="str">
            <v>SALIDA DE DESECHOS ALMACÉN PT</v>
          </cell>
        </row>
        <row r="153">
          <cell r="A153" t="str">
            <v>C-281</v>
          </cell>
        </row>
        <row r="153">
          <cell r="C153" t="str">
            <v>TAPALPA</v>
          </cell>
          <cell r="D153" t="str">
            <v>HUGO CUESTA</v>
          </cell>
        </row>
        <row r="154">
          <cell r="A154" t="str">
            <v>C-282</v>
          </cell>
        </row>
        <row r="154">
          <cell r="C154" t="str">
            <v>TEJABANES</v>
          </cell>
          <cell r="D154" t="str">
            <v>TRABAJOS DE DUROCK PARA PUENTE ESTRUCTURAL DE CASETA PPAL CDN</v>
          </cell>
        </row>
        <row r="155">
          <cell r="A155" t="str">
            <v>C-283</v>
          </cell>
        </row>
        <row r="155">
          <cell r="C155" t="str">
            <v>ZONA INDUSTRIAL</v>
          </cell>
          <cell r="D155" t="str">
            <v>SISTEMA DE GENERACIÓN DE AGUA PURIFICADA</v>
          </cell>
        </row>
        <row r="156">
          <cell r="A156" t="str">
            <v>C-284</v>
          </cell>
        </row>
        <row r="156">
          <cell r="C156" t="str">
            <v>TLAJOMULCO</v>
          </cell>
          <cell r="D156" t="str">
            <v>ADECUACIÓN DE OBRA CIVIL EN NAVE DE SERVICIOS EDIFICIO C</v>
          </cell>
        </row>
        <row r="157">
          <cell r="A157" t="str">
            <v>C-285</v>
          </cell>
        </row>
        <row r="157">
          <cell r="C157" t="str">
            <v>ZONA INDUSTRIAL</v>
          </cell>
          <cell r="D157" t="str">
            <v>LÍNEA 3 Y 4 AMPOLLETAS VIDRIO CALLE 6</v>
          </cell>
        </row>
        <row r="158">
          <cell r="A158" t="str">
            <v>C-290</v>
          </cell>
        </row>
        <row r="158">
          <cell r="C158" t="str">
            <v>TLAJOMULCO</v>
          </cell>
          <cell r="D158" t="str">
            <v>PROYECTO REMEDIACIÓN HVAC LÍNEAS BOLSAS EDIFICIO A</v>
          </cell>
        </row>
        <row r="159">
          <cell r="A159" t="str">
            <v>C-292</v>
          </cell>
        </row>
        <row r="159">
          <cell r="C159" t="str">
            <v>ZONA INDUSTRIAL</v>
          </cell>
          <cell r="D159" t="str">
            <v>BASE REACTOR GALBER</v>
          </cell>
        </row>
        <row r="160">
          <cell r="A160" t="str">
            <v>C-294</v>
          </cell>
        </row>
        <row r="160">
          <cell r="C160" t="str">
            <v>TLAJOMULCO</v>
          </cell>
          <cell r="D160" t="str">
            <v>AMPLIACIÓN LABORATORIO CONTROL ANALÍTICO</v>
          </cell>
        </row>
        <row r="161">
          <cell r="A161" t="str">
            <v>C-295</v>
          </cell>
        </row>
        <row r="161">
          <cell r="C161" t="str">
            <v>TLAJOMULCO</v>
          </cell>
          <cell r="D161" t="str">
            <v>CDN 2 PISA TLAJOMULCO</v>
          </cell>
        </row>
        <row r="162">
          <cell r="A162" t="str">
            <v>C-296</v>
          </cell>
        </row>
        <row r="162">
          <cell r="C162" t="str">
            <v>ZONA INDUSTRIAL</v>
          </cell>
          <cell r="D162" t="str">
            <v>BAÑOS DE PASILLO INGENIERÍA</v>
          </cell>
        </row>
        <row r="163">
          <cell r="A163" t="str">
            <v>C-297</v>
          </cell>
        </row>
        <row r="163">
          <cell r="C163" t="str">
            <v>TLAJOMULCO</v>
          </cell>
          <cell r="D163" t="str">
            <v>PLANTA DE TAPAS</v>
          </cell>
        </row>
        <row r="164">
          <cell r="A164" t="str">
            <v>C-298</v>
          </cell>
        </row>
        <row r="164">
          <cell r="C164" t="str">
            <v>ZONA INDUSTRIAL</v>
          </cell>
          <cell r="D164" t="str">
            <v>REGISTROS PARA CONTADORES DE PARTÍCULAS</v>
          </cell>
        </row>
        <row r="165">
          <cell r="A165" t="str">
            <v>C-299</v>
          </cell>
        </row>
        <row r="165">
          <cell r="C165" t="str">
            <v>TEJABANES</v>
          </cell>
          <cell r="D165" t="str">
            <v>OFICINAS NAVE 14 PARQUE CAB</v>
          </cell>
        </row>
        <row r="166">
          <cell r="A166" t="str">
            <v>C-300</v>
          </cell>
        </row>
        <row r="166">
          <cell r="C166" t="str">
            <v>TAPALPA ( FERNANDO SOLÍS )</v>
          </cell>
          <cell r="D166" t="str">
            <v>LOTE D y E OLMOS</v>
          </cell>
        </row>
        <row r="167">
          <cell r="A167" t="str">
            <v>C-301</v>
          </cell>
        </row>
        <row r="167">
          <cell r="C167" t="str">
            <v>TLAJOMULCO</v>
          </cell>
          <cell r="D167" t="str">
            <v>PLANTA DE TRATAMIENTO DE AGUAS RESIDUALES 24 LTS</v>
          </cell>
        </row>
        <row r="168">
          <cell r="A168" t="str">
            <v>C-302</v>
          </cell>
        </row>
        <row r="168">
          <cell r="C168" t="str">
            <v>ZONA INDUSTRIAL</v>
          </cell>
          <cell r="D168" t="str">
            <v>OFICINA DE INGENIERÍA DE PROYECTOS</v>
          </cell>
        </row>
        <row r="169">
          <cell r="A169" t="str">
            <v>C-303</v>
          </cell>
        </row>
        <row r="169">
          <cell r="C169" t="str">
            <v>TLAJOMULCO</v>
          </cell>
          <cell r="D169" t="str">
            <v>NAVE 5 DE PRODUCCIÓN M3 LÍNEA 11 ELECTROLIT</v>
          </cell>
        </row>
        <row r="170">
          <cell r="A170" t="str">
            <v>C-304</v>
          </cell>
        </row>
        <row r="170">
          <cell r="C170" t="str">
            <v>TLAJOMULCO</v>
          </cell>
          <cell r="D170" t="str">
            <v>OI PARA OBRA CIVIL ESTABILIDADES</v>
          </cell>
        </row>
        <row r="171">
          <cell r="A171" t="str">
            <v>C-305</v>
          </cell>
        </row>
        <row r="171">
          <cell r="C171" t="str">
            <v>TAPALPA</v>
          </cell>
          <cell r="D171" t="str">
            <v>ANTIGUO CAMINO A FERRERÍA</v>
          </cell>
        </row>
        <row r="172">
          <cell r="A172" t="str">
            <v>C-307</v>
          </cell>
        </row>
        <row r="172">
          <cell r="C172" t="str">
            <v>TLAJOMULCO</v>
          </cell>
          <cell r="D172" t="str">
            <v>CONSTRUCCIÓN DE ANDÉN ASRS</v>
          </cell>
        </row>
        <row r="173">
          <cell r="A173" t="str">
            <v>C-308</v>
          </cell>
        </row>
        <row r="173">
          <cell r="C173" t="str">
            <v>TLAJOMULCO</v>
          </cell>
          <cell r="D173" t="str">
            <v>PROYECTO PUNTOS DE REUNIÓN</v>
          </cell>
        </row>
        <row r="174">
          <cell r="A174" t="str">
            <v>C-309</v>
          </cell>
        </row>
        <row r="174">
          <cell r="C174" t="str">
            <v>TLAJOMULCO</v>
          </cell>
          <cell r="D174" t="str">
            <v>ALMACÉN PT5 ONCOLÓGICOS</v>
          </cell>
        </row>
        <row r="175">
          <cell r="A175" t="str">
            <v>C-310</v>
          </cell>
        </row>
        <row r="175">
          <cell r="C175" t="str">
            <v>ZONA INDUSTRIAL</v>
          </cell>
          <cell r="D175" t="str">
            <v>ADECUACIÓN CUARTO DE SUB-ESTACIÓN</v>
          </cell>
        </row>
        <row r="176">
          <cell r="A176" t="str">
            <v>C-311</v>
          </cell>
        </row>
        <row r="176">
          <cell r="C176" t="str">
            <v>ZONA INDUSTRIAL</v>
          </cell>
          <cell r="D176" t="str">
            <v>PLATAFORMA PARA CUARTO ELÉCTRICO</v>
          </cell>
        </row>
        <row r="177">
          <cell r="A177" t="str">
            <v>C-312</v>
          </cell>
        </row>
        <row r="177">
          <cell r="C177" t="str">
            <v>ZONA INDUSTRIAL</v>
          </cell>
          <cell r="D177" t="str">
            <v>ARREGLO DE BANQUETAS Y VÍAS DEL TREN CALLE 7</v>
          </cell>
        </row>
        <row r="178">
          <cell r="A178" t="str">
            <v>C-313</v>
          </cell>
        </row>
        <row r="178">
          <cell r="C178" t="str">
            <v>ZONA INDUSTRIAL</v>
          </cell>
          <cell r="D178" t="str">
            <v>REMEDIACIÓN DE SOLUCIONES ORALES</v>
          </cell>
        </row>
        <row r="179">
          <cell r="A179" t="str">
            <v>C-314</v>
          </cell>
        </row>
        <row r="179">
          <cell r="C179" t="str">
            <v>LA ALAMEDA</v>
          </cell>
          <cell r="D179" t="str">
            <v>PARQUE INDUSTRIAL LA ALAMEDA</v>
          </cell>
        </row>
        <row r="180">
          <cell r="A180" t="str">
            <v>C-315</v>
          </cell>
        </row>
        <row r="180">
          <cell r="C180" t="str">
            <v>TLAJOMULCO</v>
          </cell>
          <cell r="D180" t="str">
            <v>REMODELACIÓN OFICINAS BODYLOGIC</v>
          </cell>
        </row>
        <row r="181">
          <cell r="A181" t="str">
            <v>C-316</v>
          </cell>
        </row>
        <row r="181">
          <cell r="C181" t="str">
            <v>JALES ESTEBAN ÁLVAREZ VEGA</v>
          </cell>
          <cell r="D181" t="str">
            <v>TERRAZA Y ALBERCA</v>
          </cell>
        </row>
        <row r="182">
          <cell r="A182" t="str">
            <v>C-317</v>
          </cell>
        </row>
        <row r="182">
          <cell r="C182" t="str">
            <v>CLUB ATLAS COLOMOS</v>
          </cell>
          <cell r="D182" t="str">
            <v>CASA HABITACIÓN DIEGO VILLASEÑOR</v>
          </cell>
        </row>
        <row r="183">
          <cell r="A183" t="str">
            <v>C-318</v>
          </cell>
        </row>
        <row r="183">
          <cell r="C183" t="str">
            <v>TAPALPA</v>
          </cell>
          <cell r="D183" t="str">
            <v>JUAN CARLOS ÁLVAREZ LA ESTRELLA</v>
          </cell>
        </row>
        <row r="184">
          <cell r="A184" t="str">
            <v>C-321</v>
          </cell>
        </row>
        <row r="184">
          <cell r="C184" t="str">
            <v>TLAJOMULCO</v>
          </cell>
          <cell r="D184" t="str">
            <v>AMPLIACIÓN DE OFICINAS DE CALIDAD EN NAVE 4 EDIFICIO A</v>
          </cell>
        </row>
        <row r="185">
          <cell r="A185" t="str">
            <v>C-322</v>
          </cell>
        </row>
        <row r="185">
          <cell r="C185" t="str">
            <v>TLAJOMULCO</v>
          </cell>
          <cell r="D185" t="str">
            <v>TALLER DE MOLDES PARA HUSKY EDIFICIO A, E y C</v>
          </cell>
        </row>
        <row r="186">
          <cell r="A186" t="str">
            <v>C-325</v>
          </cell>
        </row>
        <row r="186">
          <cell r="C186" t="str">
            <v>TLAJOMULCO</v>
          </cell>
          <cell r="D186" t="str">
            <v>ALMACÉN DE EQUIPOS EDF</v>
          </cell>
        </row>
        <row r="187">
          <cell r="A187" t="str">
            <v>C-326</v>
          </cell>
        </row>
        <row r="187">
          <cell r="C187" t="str">
            <v>TLAJOMULCO</v>
          </cell>
          <cell r="D187" t="str">
            <v>ARCHIVO REGULATORIO EDIFICIO E</v>
          </cell>
        </row>
        <row r="188">
          <cell r="A188" t="str">
            <v>C-327</v>
          </cell>
        </row>
        <row r="188">
          <cell r="C188" t="str">
            <v>TLAJOMULCO</v>
          </cell>
          <cell r="D188" t="str">
            <v>ALMACÉN DE PT4 y PT5 Y SALAS DE PESADOS</v>
          </cell>
        </row>
        <row r="189">
          <cell r="A189" t="str">
            <v>C-329</v>
          </cell>
        </row>
        <row r="189">
          <cell r="C189" t="str">
            <v>TLAJOMULCO</v>
          </cell>
          <cell r="D189" t="str">
            <v>PLANTA PILOTO</v>
          </cell>
        </row>
        <row r="190">
          <cell r="A190" t="str">
            <v>C-330</v>
          </cell>
        </row>
        <row r="190">
          <cell r="C190" t="str">
            <v>TLAJOMULCO</v>
          </cell>
          <cell r="D190" t="str">
            <v>ADECUACIONES OBRA CIVIL PASILLOS ISO 9 AGROPECUARIA</v>
          </cell>
        </row>
        <row r="191">
          <cell r="A191" t="str">
            <v>C-331</v>
          </cell>
        </row>
        <row r="191">
          <cell r="C191" t="str">
            <v>ZONA INDUSTRIAL</v>
          </cell>
          <cell r="D191" t="str">
            <v>ACONDICIONADO AV L-2</v>
          </cell>
        </row>
        <row r="192">
          <cell r="A192" t="str">
            <v>C-332</v>
          </cell>
        </row>
        <row r="192">
          <cell r="C192" t="str">
            <v>TLAJOMULCO</v>
          </cell>
          <cell r="D192" t="str">
            <v>REDUCCIÓN RIESGOS NORMATIVOS LIOFILIZADOS NO ONCOLÓGICOS</v>
          </cell>
        </row>
        <row r="193">
          <cell r="A193" t="str">
            <v>C-333</v>
          </cell>
        </row>
        <row r="193">
          <cell r="C193" t="str">
            <v>ALCOLAHUAS 3467 FRACCIONAMIENTO MONRAZ, GUADALAJARA, JALISCO CP 44670</v>
          </cell>
          <cell r="D193" t="str">
            <v>CASA MONRAZ</v>
          </cell>
        </row>
        <row r="194">
          <cell r="A194" t="str">
            <v>C-334</v>
          </cell>
        </row>
        <row r="194">
          <cell r="C194" t="str">
            <v>TLAJOMULCO</v>
          </cell>
          <cell r="D194" t="str">
            <v>CANCHA DE PADEL ENRIQUE PARTIDA</v>
          </cell>
        </row>
        <row r="195">
          <cell r="A195" t="str">
            <v>C-335</v>
          </cell>
        </row>
        <row r="195">
          <cell r="C195" t="str">
            <v>TEJABANES</v>
          </cell>
          <cell r="D195" t="str">
            <v>OFICINAS ( NAVE A ) ÁLAMO PARK</v>
          </cell>
        </row>
        <row r="196">
          <cell r="A196" t="str">
            <v>C-336</v>
          </cell>
        </row>
        <row r="196">
          <cell r="C196" t="str">
            <v>ZONA INDUSTRIAL</v>
          </cell>
          <cell r="D196" t="str">
            <v>ALMACÉN DE CALLE 6</v>
          </cell>
        </row>
        <row r="197">
          <cell r="A197" t="str">
            <v>C-339</v>
          </cell>
        </row>
        <row r="197">
          <cell r="C197" t="str">
            <v>LA LLAVE L-38</v>
          </cell>
          <cell r="D197" t="str">
            <v>LA LLAVE L-38</v>
          </cell>
        </row>
        <row r="198">
          <cell r="A198" t="str">
            <v>C-340</v>
          </cell>
        </row>
        <row r="198">
          <cell r="C198" t="str">
            <v>LA LLAVE L-40</v>
          </cell>
          <cell r="D198" t="str">
            <v>LA LLAVE L-40</v>
          </cell>
        </row>
        <row r="199">
          <cell r="A199" t="str">
            <v>C-341</v>
          </cell>
        </row>
        <row r="199">
          <cell r="C199" t="str">
            <v>ZONA INDUSTRIAL</v>
          </cell>
          <cell r="D199" t="str">
            <v>DRENAJES TANQUES 100,000 CALLE 6</v>
          </cell>
        </row>
        <row r="200">
          <cell r="A200" t="str">
            <v>C-342</v>
          </cell>
        </row>
        <row r="200">
          <cell r="C200" t="str">
            <v>TLAJOMULCO</v>
          </cell>
          <cell r="D200" t="str">
            <v>LÍNEA DE VIALES 3 EN EDIFICIO B</v>
          </cell>
        </row>
        <row r="201">
          <cell r="A201" t="str">
            <v>C-343</v>
          </cell>
        </row>
        <row r="201">
          <cell r="C201" t="str">
            <v>ZONA INDUSTRIAL</v>
          </cell>
          <cell r="D201" t="str">
            <v>DEMOLICIONES AMPOLLETAS PLÁSTICO</v>
          </cell>
        </row>
        <row r="202">
          <cell r="A202" t="str">
            <v>C-344</v>
          </cell>
        </row>
        <row r="202">
          <cell r="C202" t="str">
            <v>TLAJOMULCO</v>
          </cell>
          <cell r="D202" t="str">
            <v>INSUMOS 5 EN MANZANA 3</v>
          </cell>
        </row>
        <row r="203">
          <cell r="A203" t="str">
            <v>C-345</v>
          </cell>
        </row>
        <row r="203">
          <cell r="C203" t="str">
            <v>TEJABANES</v>
          </cell>
          <cell r="D203" t="str">
            <v>DIVISIÓN IARE/TECNOMED CDN ÁLAMO</v>
          </cell>
        </row>
        <row r="204">
          <cell r="A204" t="str">
            <v>C-347</v>
          </cell>
        </row>
        <row r="204">
          <cell r="C204" t="str">
            <v>ZONA INDUSTRIAL</v>
          </cell>
          <cell r="D204" t="str">
            <v>MEZANINNE 2DO NIVEL</v>
          </cell>
        </row>
        <row r="205">
          <cell r="A205" t="str">
            <v>C-348</v>
          </cell>
        </row>
        <row r="205">
          <cell r="C205" t="str">
            <v>ZONA INDUSTRIAL</v>
          </cell>
          <cell r="D205" t="str">
            <v>PERFORACIÓN DE POZO 10 JARDÍN CENTRAL</v>
          </cell>
        </row>
        <row r="206">
          <cell r="A206" t="str">
            <v>C-349</v>
          </cell>
        </row>
        <row r="206">
          <cell r="C206" t="str">
            <v>PYMPSA</v>
          </cell>
          <cell r="D206" t="str">
            <v>ACCESO TALLER DE TORNO PYMPSA</v>
          </cell>
        </row>
        <row r="207">
          <cell r="A207" t="str">
            <v>C-350</v>
          </cell>
        </row>
        <row r="207">
          <cell r="C207" t="str">
            <v>TLAJOMULCO</v>
          </cell>
          <cell r="D207" t="str">
            <v>ALMACÉN DE MATERIALES 04</v>
          </cell>
        </row>
        <row r="208">
          <cell r="A208" t="str">
            <v>C-352</v>
          </cell>
        </row>
        <row r="208">
          <cell r="C208" t="str">
            <v>TLAJOMULCO</v>
          </cell>
          <cell r="D208" t="str">
            <v>NAVE DE SERVICIOS 2 MZ3</v>
          </cell>
        </row>
        <row r="209">
          <cell r="A209" t="str">
            <v>C-354</v>
          </cell>
        </row>
        <row r="209">
          <cell r="C209" t="str">
            <v>TLAJOMULCO</v>
          </cell>
          <cell r="D209" t="str">
            <v>AUTOCLAVES DE DESECHO DE LABORATORIOS DE MICROBIOLOGÍA EDIF A y E</v>
          </cell>
        </row>
        <row r="210">
          <cell r="A210" t="str">
            <v>C-355</v>
          </cell>
        </row>
        <row r="210">
          <cell r="C210" t="str">
            <v>TLAJOMULCO</v>
          </cell>
          <cell r="D210" t="str">
            <v>PROYECTO BARDA PERIMETRAL</v>
          </cell>
        </row>
        <row r="211">
          <cell r="A211" t="str">
            <v>C-356</v>
          </cell>
        </row>
        <row r="211">
          <cell r="C211" t="str">
            <v>TLAJOMULCO</v>
          </cell>
          <cell r="D211" t="str">
            <v>REVISIÓN AV3</v>
          </cell>
        </row>
        <row r="212">
          <cell r="A212" t="str">
            <v>C-357</v>
          </cell>
        </row>
        <row r="212">
          <cell r="C212" t="str">
            <v>ZONA INDUSTRIAL</v>
          </cell>
          <cell r="D212" t="str">
            <v>CONTENEDORES DE SUB-ESTACIONES</v>
          </cell>
        </row>
        <row r="213">
          <cell r="A213" t="str">
            <v>C-363</v>
          </cell>
        </row>
        <row r="213">
          <cell r="C213" t="str">
            <v>CORPORATIVO BELENES</v>
          </cell>
          <cell r="D213" t="str">
            <v>NAVES FLOR DE CÓRDOBA</v>
          </cell>
        </row>
        <row r="214">
          <cell r="A214" t="str">
            <v>C-364</v>
          </cell>
        </row>
        <row r="214">
          <cell r="C214" t="str">
            <v>ACAPULCO</v>
          </cell>
          <cell r="D214" t="str">
            <v>RADEC ACAPULCO</v>
          </cell>
        </row>
        <row r="215">
          <cell r="A215" t="str">
            <v>C-365</v>
          </cell>
        </row>
        <row r="215">
          <cell r="C215" t="str">
            <v>TLAJOMULCO</v>
          </cell>
          <cell r="D215" t="str">
            <v>PLANTA DE ACONDICIONADO FORMAS SÓLIDAS ( BAJO VOLUMEN )</v>
          </cell>
        </row>
        <row r="216">
          <cell r="A216" t="str">
            <v>C-366</v>
          </cell>
        </row>
        <row r="216">
          <cell r="C216" t="str">
            <v>TLAJOMULCO</v>
          </cell>
          <cell r="D216" t="str">
            <v>NAVE DE PRODUCCIÓN 6 LÍNEA 12</v>
          </cell>
        </row>
        <row r="217">
          <cell r="A217" t="str">
            <v>C-367</v>
          </cell>
        </row>
        <row r="217">
          <cell r="C217" t="str">
            <v>TESISTÁN</v>
          </cell>
          <cell r="D217" t="str">
            <v>FRACCIONAMIENTO TESISTÁN</v>
          </cell>
        </row>
        <row r="218">
          <cell r="A218" t="str">
            <v>C-368</v>
          </cell>
        </row>
        <row r="218">
          <cell r="C218" t="str">
            <v>TLAJOMULCO</v>
          </cell>
          <cell r="D218" t="str">
            <v>TRABAJOS ESCLUSA MICROBIOLOGÍA EDIF A</v>
          </cell>
        </row>
        <row r="219">
          <cell r="A219" t="str">
            <v>C-371</v>
          </cell>
        </row>
        <row r="219">
          <cell r="C219" t="str">
            <v>TEJABANES</v>
          </cell>
          <cell r="D219" t="str">
            <v>EQUIPOS BIOMÉDICOS</v>
          </cell>
        </row>
        <row r="220">
          <cell r="A220" t="str">
            <v>C-372</v>
          </cell>
        </row>
        <row r="220">
          <cell r="C220" t="str">
            <v>ZONA INDUSTRIAL</v>
          </cell>
          <cell r="D220" t="str">
            <v>RAMPA SALIDA DE DESECHOS BIOTECNOLÓGICOS</v>
          </cell>
        </row>
        <row r="221">
          <cell r="A221" t="str">
            <v>C-374</v>
          </cell>
        </row>
        <row r="221">
          <cell r="C221" t="str">
            <v>AVANT</v>
          </cell>
          <cell r="D221" t="str">
            <v>NAVE 4 PARQUE AVANT</v>
          </cell>
        </row>
        <row r="222">
          <cell r="A222" t="str">
            <v>C-375</v>
          </cell>
        </row>
        <row r="222">
          <cell r="C222" t="str">
            <v>RADEC ACATLÁN</v>
          </cell>
          <cell r="D222" t="str">
            <v>CEDIS RADEC 2</v>
          </cell>
        </row>
        <row r="223">
          <cell r="A223" t="str">
            <v>C-377</v>
          </cell>
        </row>
        <row r="223">
          <cell r="C223" t="str">
            <v>ZONA INDUSTRIAL</v>
          </cell>
          <cell r="D223" t="str">
            <v>TRABAJOS MANTENIMIENTO PLATAFORMA TORRES DE ENFRIAMIENTO</v>
          </cell>
        </row>
        <row r="224">
          <cell r="A224" t="str">
            <v>C-378</v>
          </cell>
        </row>
        <row r="224">
          <cell r="C224" t="str">
            <v>SAN JUAN DE ALIMA</v>
          </cell>
          <cell r="D224" t="str">
            <v>REPARACIÓN TEMBLOR STELLA MARIS</v>
          </cell>
        </row>
        <row r="225">
          <cell r="A225" t="str">
            <v>C-379</v>
          </cell>
        </row>
        <row r="225">
          <cell r="C225" t="str">
            <v>SAN JUAN DE ALIMA</v>
          </cell>
          <cell r="D225" t="str">
            <v>REPARACIÓN TEMBLOR VILLA</v>
          </cell>
        </row>
        <row r="226">
          <cell r="A226" t="str">
            <v>C-380</v>
          </cell>
        </row>
        <row r="226">
          <cell r="C226" t="str">
            <v>SAN JUAN DE ALIMA</v>
          </cell>
          <cell r="D226" t="str">
            <v>REPARACIÓN TEMBLOR JUAN CARLOS</v>
          </cell>
        </row>
        <row r="227">
          <cell r="A227" t="str">
            <v>C-381</v>
          </cell>
        </row>
        <row r="227">
          <cell r="C227" t="str">
            <v>SAN JUAN DE ALIMA</v>
          </cell>
          <cell r="D227" t="str">
            <v>REPARACIÓN TEMBLOR ESTEBAN ÁLVAREZ</v>
          </cell>
        </row>
        <row r="228">
          <cell r="A228" t="str">
            <v>C-382</v>
          </cell>
        </row>
        <row r="228">
          <cell r="C228" t="str">
            <v>TLAJOMULCO</v>
          </cell>
          <cell r="D228" t="str">
            <v>CDN 3 PISA TLAJOMULCO</v>
          </cell>
        </row>
        <row r="229">
          <cell r="A229" t="str">
            <v>C-383</v>
          </cell>
        </row>
        <row r="229">
          <cell r="C229" t="str">
            <v>TLAJOMULCO</v>
          </cell>
          <cell r="D229" t="str">
            <v>SEGREGACIÓN PISA GLOBAL</v>
          </cell>
        </row>
        <row r="230">
          <cell r="A230" t="str">
            <v>C-384</v>
          </cell>
        </row>
        <row r="230">
          <cell r="C230" t="str">
            <v>ZAPOPAN</v>
          </cell>
          <cell r="D230" t="str">
            <v>MIXTÓN 18</v>
          </cell>
        </row>
        <row r="231">
          <cell r="A231" t="str">
            <v>C-385</v>
          </cell>
        </row>
        <row r="231">
          <cell r="C231" t="str">
            <v>SAN JUAN DE ALIMA</v>
          </cell>
          <cell r="D231" t="str">
            <v>BUNGALOWS STELLA MARIS TEMBLOR</v>
          </cell>
        </row>
        <row r="232">
          <cell r="A232" t="str">
            <v>C-386</v>
          </cell>
        </row>
        <row r="232">
          <cell r="C232" t="str">
            <v>TLAJOMULCO</v>
          </cell>
          <cell r="D232" t="str">
            <v>ALMACÉN DE MATERIALES 5 EN MANZANA 3</v>
          </cell>
        </row>
        <row r="233">
          <cell r="A233" t="str">
            <v>C-387</v>
          </cell>
        </row>
        <row r="233">
          <cell r="C233" t="str">
            <v>COLIMA</v>
          </cell>
          <cell r="D233" t="str">
            <v>AMPLIACIÓN SANEFRO COLIMA</v>
          </cell>
        </row>
        <row r="234">
          <cell r="A234" t="str">
            <v>C-388</v>
          </cell>
        </row>
        <row r="234">
          <cell r="C234" t="str">
            <v>ÁLAMO INDUSTRIAL</v>
          </cell>
          <cell r="D234" t="str">
            <v>CAMBIO DE RAMPAS NIVELADORAS AMSA</v>
          </cell>
        </row>
        <row r="235">
          <cell r="A235" t="str">
            <v>C-389</v>
          </cell>
        </row>
        <row r="235">
          <cell r="C235" t="str">
            <v>COLINAS DE SAN JAVIER</v>
          </cell>
          <cell r="D235" t="str">
            <v>PASEO DEL TORREÓN</v>
          </cell>
        </row>
        <row r="236">
          <cell r="A236" t="str">
            <v>C-390</v>
          </cell>
        </row>
        <row r="236">
          <cell r="C236" t="str">
            <v>COUNTRY</v>
          </cell>
          <cell r="D236" t="str">
            <v>DEPARTAMENTO OTTAWA</v>
          </cell>
        </row>
        <row r="237">
          <cell r="A237" t="str">
            <v>C-391</v>
          </cell>
        </row>
        <row r="237">
          <cell r="C237" t="str">
            <v>ZONA INDUSTRIAL</v>
          </cell>
          <cell r="D237" t="str">
            <v>TRABAJO DE REMODELACIÓN EN OFICINAS DE ABASTECIMIENTO</v>
          </cell>
        </row>
        <row r="238">
          <cell r="A238" t="str">
            <v>C-392</v>
          </cell>
        </row>
        <row r="238">
          <cell r="C238" t="str">
            <v>TIJUANA</v>
          </cell>
          <cell r="D238" t="str">
            <v>AMPLIACIÓN SANEFRO TIJUANA 2022</v>
          </cell>
        </row>
        <row r="239">
          <cell r="A239" t="str">
            <v>C-393</v>
          </cell>
        </row>
        <row r="239">
          <cell r="C239" t="str">
            <v>MANZANILLO</v>
          </cell>
          <cell r="D239" t="str">
            <v>MANTENIMIENTO SANEFRO MANZANILLO</v>
          </cell>
        </row>
        <row r="240">
          <cell r="A240" t="str">
            <v>C-395</v>
          </cell>
        </row>
        <row r="240">
          <cell r="C240" t="str">
            <v>SANEFRO VENEZUELA</v>
          </cell>
          <cell r="D240" t="str">
            <v>TARJAS INOXIDABLE SANEFRO</v>
          </cell>
        </row>
        <row r="241">
          <cell r="A241" t="str">
            <v>C-396</v>
          </cell>
        </row>
        <row r="241">
          <cell r="C241" t="str">
            <v>TLAJOMULCO</v>
          </cell>
          <cell r="D241" t="str">
            <v>REMEDIACIÓN DE SALAS DE PESADO EDIFICIO E</v>
          </cell>
        </row>
        <row r="242">
          <cell r="A242" t="str">
            <v>C-397</v>
          </cell>
        </row>
        <row r="242">
          <cell r="C242" t="str">
            <v>ZONA INDUSTRIAL</v>
          </cell>
          <cell r="D242" t="str">
            <v>EVENTO PISA</v>
          </cell>
        </row>
        <row r="243">
          <cell r="A243" t="str">
            <v>C-398</v>
          </cell>
        </row>
        <row r="243">
          <cell r="C243" t="str">
            <v>AV FRANCIA</v>
          </cell>
          <cell r="D243" t="str">
            <v>PUERTA DE EMERGENCIA PISA AGROPECUARIA</v>
          </cell>
        </row>
        <row r="244">
          <cell r="A244" t="str">
            <v>C-399</v>
          </cell>
        </row>
        <row r="244">
          <cell r="C244" t="str">
            <v>ZONA INDUSTRIAL</v>
          </cell>
          <cell r="D244" t="str">
            <v>LÍNEA AV7 AMPOLLETAS</v>
          </cell>
        </row>
        <row r="245">
          <cell r="A245" t="str">
            <v>C-400</v>
          </cell>
        </row>
        <row r="245">
          <cell r="C245" t="str">
            <v>TLAJOMULCO</v>
          </cell>
          <cell r="D245" t="str">
            <v>REUBICACIÓN DE RANCHO LA STELLA</v>
          </cell>
        </row>
        <row r="246">
          <cell r="A246" t="str">
            <v>C-401</v>
          </cell>
        </row>
        <row r="246">
          <cell r="C246" t="str">
            <v>TLAJOMULCO</v>
          </cell>
          <cell r="D246" t="str">
            <v>PROYECTO URBANIZACIÓN</v>
          </cell>
        </row>
        <row r="247">
          <cell r="A247" t="str">
            <v>C-402</v>
          </cell>
        </row>
        <row r="247">
          <cell r="C247" t="str">
            <v>PYMPSA</v>
          </cell>
          <cell r="D247" t="str">
            <v>REMEDIACIÓN ÁREAS PYMPSA</v>
          </cell>
        </row>
        <row r="248">
          <cell r="A248" t="str">
            <v>C-403</v>
          </cell>
        </row>
        <row r="248">
          <cell r="C248" t="str">
            <v>PYMPSA</v>
          </cell>
          <cell r="D248" t="str">
            <v>ADECUACIONES AZOTEA SUB-ESTACIÓN PYMPSA</v>
          </cell>
        </row>
        <row r="249">
          <cell r="A249" t="str">
            <v>C-404</v>
          </cell>
        </row>
        <row r="249">
          <cell r="C249" t="str">
            <v>ATOTONILCO</v>
          </cell>
          <cell r="D249" t="str">
            <v>CASA HÉCTOR GALINDO</v>
          </cell>
        </row>
        <row r="250">
          <cell r="A250" t="str">
            <v>C-405</v>
          </cell>
        </row>
        <row r="250">
          <cell r="C250" t="str">
            <v>PARQUE CAB</v>
          </cell>
          <cell r="D250" t="str">
            <v>OFICINAS NAVE 5</v>
          </cell>
        </row>
        <row r="251">
          <cell r="A251" t="str">
            <v>C-406</v>
          </cell>
        </row>
        <row r="251">
          <cell r="C251" t="str">
            <v>ZONA INDUSTRIAL</v>
          </cell>
          <cell r="D251" t="str">
            <v>LOSA ENTREPISO ANDÉN PENICILÍNICOS</v>
          </cell>
        </row>
        <row r="252">
          <cell r="A252" t="str">
            <v>C-407</v>
          </cell>
        </row>
        <row r="252">
          <cell r="C252" t="str">
            <v>ZONA INDUSTRIAL</v>
          </cell>
          <cell r="D252" t="str">
            <v>LAVANDERÍA PENICILÍNICOS</v>
          </cell>
        </row>
        <row r="253">
          <cell r="A253" t="str">
            <v>C-408</v>
          </cell>
        </row>
        <row r="253">
          <cell r="C253" t="str">
            <v>ZONA INDUSTRIAL</v>
          </cell>
          <cell r="D253" t="str">
            <v>CUARTO DE MUESTREO PLANTA BAJA PENICILÍNICOS</v>
          </cell>
        </row>
        <row r="254">
          <cell r="A254" t="str">
            <v>C-409</v>
          </cell>
        </row>
        <row r="254">
          <cell r="C254" t="str">
            <v>INDUSTRIAL</v>
          </cell>
          <cell r="D254" t="str">
            <v>SALA DE PESADOS PENICILÍNICOS 1ER NIVEL</v>
          </cell>
        </row>
        <row r="255">
          <cell r="A255" t="str">
            <v>C-412</v>
          </cell>
        </row>
        <row r="255">
          <cell r="C255" t="str">
            <v>TLAJOMULCO</v>
          </cell>
          <cell r="D255" t="str">
            <v>PATIO DE MANIOBRAS DE ANDÉN # 9 ASRS</v>
          </cell>
        </row>
        <row r="256">
          <cell r="A256" t="str">
            <v>C-413</v>
          </cell>
        </row>
        <row r="256">
          <cell r="C256" t="str">
            <v>COAHUILA</v>
          </cell>
          <cell r="D256" t="str">
            <v>MANTENIMIENTO 2023 RANCHO EL BONITO</v>
          </cell>
        </row>
        <row r="257">
          <cell r="A257" t="str">
            <v>C-414</v>
          </cell>
        </row>
        <row r="257">
          <cell r="C257" t="str">
            <v>TLAJOMULCO</v>
          </cell>
          <cell r="D257" t="str">
            <v>INCREMENTO DE CAPACIDAD NAVE 3</v>
          </cell>
        </row>
        <row r="258">
          <cell r="A258" t="str">
            <v>C-415</v>
          </cell>
        </row>
        <row r="258">
          <cell r="C258" t="str">
            <v>TLAJOMULCO</v>
          </cell>
          <cell r="D258" t="str">
            <v>MEJORA DE MEZANINNE LÍNEA 9 Y LÍNEA 10</v>
          </cell>
        </row>
        <row r="259">
          <cell r="A259" t="str">
            <v>C-416</v>
          </cell>
        </row>
        <row r="259">
          <cell r="C259" t="str">
            <v>ZONA INDUSTRIAL</v>
          </cell>
          <cell r="D259" t="str">
            <v>PASILLO DE SUPERVISIÓN PENICILÍNICOS</v>
          </cell>
        </row>
        <row r="260">
          <cell r="A260" t="str">
            <v>C-417</v>
          </cell>
        </row>
        <row r="260">
          <cell r="C260" t="str">
            <v>AV VALLARTA ESQUINA ATENAS 1246 CP 44160 ( ANTES FUNERARIA )</v>
          </cell>
          <cell r="D260" t="str">
            <v>GALERÍA DE ARTE</v>
          </cell>
        </row>
        <row r="261">
          <cell r="A261" t="str">
            <v>O-001</v>
          </cell>
          <cell r="B261" t="str">
            <v>GP</v>
          </cell>
          <cell r="C261" t="str">
            <v>HIDALGO 1892 ENTRE PEREZ VERDIA Y FCO ROJAS</v>
          </cell>
          <cell r="D261" t="str">
            <v>MANTENIMIENTOS GENERALES</v>
          </cell>
        </row>
        <row r="261">
          <cell r="F261" t="str">
            <v>N/A</v>
          </cell>
        </row>
        <row r="262">
          <cell r="A262" t="str">
            <v>O-002</v>
          </cell>
          <cell r="B262" t="str">
            <v>GP</v>
          </cell>
          <cell r="C262" t="str">
            <v>S/D</v>
          </cell>
          <cell r="D262" t="str">
            <v>CASA MAR AMARILLO No 1525</v>
          </cell>
        </row>
        <row r="262">
          <cell r="F262" t="str">
            <v>JP</v>
          </cell>
        </row>
        <row r="262">
          <cell r="H262" t="str">
            <v>ARQ</v>
          </cell>
        </row>
        <row r="263">
          <cell r="A263" t="str">
            <v>O-011</v>
          </cell>
          <cell r="B263" t="str">
            <v>GP</v>
          </cell>
          <cell r="C263" t="str">
            <v>S/D</v>
          </cell>
          <cell r="D263" t="str">
            <v>GASTOS ING. JUAN PABLO CHAVEZ</v>
          </cell>
        </row>
        <row r="264">
          <cell r="A264" t="str">
            <v>O-012</v>
          </cell>
          <cell r="B264" t="str">
            <v>GP</v>
          </cell>
          <cell r="C264" t="str">
            <v>S/D</v>
          </cell>
          <cell r="D264" t="str">
            <v>VILLA C</v>
          </cell>
        </row>
        <row r="264">
          <cell r="F264" t="str">
            <v>N/A</v>
          </cell>
        </row>
        <row r="300">
          <cell r="D300" t="str">
            <v>}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O"/>
      <sheetName val="PU"/>
      <sheetName val="BASEDATOS_TOTAL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</v>
          </cell>
        </row>
        <row r="10"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614.8</v>
          </cell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</v>
          </cell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938.78</v>
          </cell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655.66</v>
          </cell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</v>
          </cell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</v>
          </cell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</row>
        <row r="61">
          <cell r="A61">
            <v>501</v>
          </cell>
          <cell r="B61" t="str">
            <v>VAZQUEZ FLORES EVERARDO</v>
          </cell>
          <cell r="C61" t="str">
            <v>MAESTRO</v>
          </cell>
        </row>
        <row r="62">
          <cell r="A62">
            <v>674</v>
          </cell>
          <cell r="B62" t="str">
            <v>CHAVEZ ALVAREZ JUAN PABLO</v>
          </cell>
          <cell r="C62" t="str">
            <v>S.INTTE.</v>
          </cell>
          <cell r="D62">
            <v>0</v>
          </cell>
        </row>
        <row r="62">
          <cell r="F62">
            <v>0</v>
          </cell>
        </row>
        <row r="63">
          <cell r="A63">
            <v>706</v>
          </cell>
          <cell r="B63" t="str">
            <v>NAVARRO VEGA RICARDO</v>
          </cell>
          <cell r="C63" t="str">
            <v>PEON</v>
          </cell>
          <cell r="D63">
            <v>507.6</v>
          </cell>
        </row>
        <row r="64">
          <cell r="A64">
            <v>712</v>
          </cell>
          <cell r="B64" t="str">
            <v>PACHECO GRACIANO JOSE LUIS</v>
          </cell>
          <cell r="C64" t="str">
            <v>OF</v>
          </cell>
          <cell r="D64">
            <v>608.38</v>
          </cell>
        </row>
        <row r="65">
          <cell r="A65">
            <v>964</v>
          </cell>
          <cell r="B65" t="str">
            <v>GARCIA SANDOVAL ALBERTO</v>
          </cell>
          <cell r="C65" t="str">
            <v>OF</v>
          </cell>
          <cell r="D65">
            <v>730.06</v>
          </cell>
        </row>
        <row r="66">
          <cell r="A66">
            <v>998</v>
          </cell>
          <cell r="B66" t="str">
            <v>GARCIA RENTERIA RAUL</v>
          </cell>
          <cell r="C66" t="str">
            <v>OF</v>
          </cell>
          <cell r="D66">
            <v>608.38</v>
          </cell>
        </row>
        <row r="67">
          <cell r="A67">
            <v>999</v>
          </cell>
          <cell r="B67" t="str">
            <v>GARCIA RENTERIA ROBERTO</v>
          </cell>
          <cell r="C67" t="str">
            <v>OF</v>
          </cell>
          <cell r="D67">
            <v>608.38</v>
          </cell>
        </row>
        <row r="68">
          <cell r="A68">
            <v>1009</v>
          </cell>
          <cell r="B68" t="str">
            <v>LOPEZ GONZALEZ JOSE MANUEL</v>
          </cell>
          <cell r="C68" t="str">
            <v>VELADOR</v>
          </cell>
          <cell r="D68">
            <v>307.25</v>
          </cell>
        </row>
        <row r="69">
          <cell r="A69">
            <v>1119</v>
          </cell>
          <cell r="B69" t="str">
            <v>VÁZQUEZ FLORES MAURO</v>
          </cell>
          <cell r="C69" t="str">
            <v>OF</v>
          </cell>
          <cell r="D69">
            <v>608.38</v>
          </cell>
        </row>
        <row r="70">
          <cell r="A70">
            <v>1201</v>
          </cell>
          <cell r="B70" t="str">
            <v>FLORES OROPEZA ENRIQUE</v>
          </cell>
          <cell r="C70" t="str">
            <v>OF</v>
          </cell>
          <cell r="D70">
            <v>608.38</v>
          </cell>
        </row>
        <row r="71">
          <cell r="A71">
            <v>1345</v>
          </cell>
          <cell r="B71" t="str">
            <v>RIVERA CAMBEROS JOSE ISABEL</v>
          </cell>
          <cell r="C71" t="str">
            <v>OF</v>
          </cell>
          <cell r="D71">
            <v>608.38</v>
          </cell>
        </row>
        <row r="72">
          <cell r="A72">
            <v>1361</v>
          </cell>
          <cell r="B72" t="str">
            <v>FLORES OROPEZA JUAN</v>
          </cell>
          <cell r="C72" t="str">
            <v>OF</v>
          </cell>
          <cell r="D72">
            <v>608.38</v>
          </cell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608.38</v>
          </cell>
        </row>
        <row r="74">
          <cell r="A74">
            <v>1417</v>
          </cell>
          <cell r="B74" t="str">
            <v>SEGURA MANRIQUE JUAN</v>
          </cell>
          <cell r="C74" t="str">
            <v>OF</v>
          </cell>
          <cell r="D74">
            <v>608.38</v>
          </cell>
        </row>
        <row r="75">
          <cell r="A75">
            <v>1448</v>
          </cell>
          <cell r="B75" t="str">
            <v>RUIZ CEJA LUIS ALBERTO</v>
          </cell>
          <cell r="C75" t="str">
            <v>OF</v>
          </cell>
          <cell r="D75">
            <v>608.38</v>
          </cell>
        </row>
        <row r="76">
          <cell r="A76">
            <v>1499</v>
          </cell>
          <cell r="B76" t="str">
            <v>RODRÍGUEZ SÁNCHEZ FERNANDO</v>
          </cell>
          <cell r="C76" t="str">
            <v>OF</v>
          </cell>
          <cell r="D76">
            <v>608.38</v>
          </cell>
        </row>
        <row r="77">
          <cell r="A77">
            <v>1560</v>
          </cell>
          <cell r="B77" t="str">
            <v>RANGEL SEGURA JUAN RAMON</v>
          </cell>
          <cell r="C77" t="str">
            <v>OF</v>
          </cell>
          <cell r="D77">
            <v>730.06</v>
          </cell>
        </row>
        <row r="78">
          <cell r="A78">
            <v>1576</v>
          </cell>
          <cell r="B78" t="str">
            <v>ORTEGA PLATA JOSE JUVENAL</v>
          </cell>
          <cell r="C78" t="str">
            <v>PEON</v>
          </cell>
          <cell r="D78">
            <v>337.98</v>
          </cell>
        </row>
        <row r="79">
          <cell r="A79">
            <v>1587</v>
          </cell>
          <cell r="B79" t="str">
            <v>DE LOS SANTOS RENTERIA SERVANDO</v>
          </cell>
          <cell r="C79" t="str">
            <v>OF</v>
          </cell>
          <cell r="D79">
            <v>608.38</v>
          </cell>
        </row>
        <row r="80">
          <cell r="A80">
            <v>1626</v>
          </cell>
          <cell r="B80" t="str">
            <v>FLORES RENTERIA JORGE GERMAN</v>
          </cell>
          <cell r="C80" t="str">
            <v>OF</v>
          </cell>
          <cell r="D80">
            <v>608.38</v>
          </cell>
        </row>
        <row r="81">
          <cell r="A81">
            <v>1631</v>
          </cell>
          <cell r="B81" t="str">
            <v>NUÑEZ PALACIOS ARMANDO</v>
          </cell>
          <cell r="C81" t="str">
            <v>OF</v>
          </cell>
          <cell r="D81">
            <v>608.38</v>
          </cell>
        </row>
        <row r="82">
          <cell r="A82">
            <v>1632</v>
          </cell>
          <cell r="B82" t="str">
            <v>AVALOS PICAZO EMILIO</v>
          </cell>
          <cell r="C82" t="str">
            <v>MAESTRO</v>
          </cell>
          <cell r="D82">
            <v>904.24</v>
          </cell>
        </row>
        <row r="83">
          <cell r="A83">
            <v>1688</v>
          </cell>
          <cell r="B83" t="str">
            <v>AGUILAR HERRERA OSCAR</v>
          </cell>
          <cell r="C83" t="str">
            <v>OF</v>
          </cell>
          <cell r="D83">
            <v>608.38</v>
          </cell>
        </row>
        <row r="84">
          <cell r="A84">
            <v>1689</v>
          </cell>
          <cell r="B84" t="str">
            <v>MARTÍNEZ LÓPEZ ANTONIO</v>
          </cell>
          <cell r="C84" t="str">
            <v>OF</v>
          </cell>
          <cell r="D84">
            <v>608.38</v>
          </cell>
        </row>
        <row r="85">
          <cell r="A85">
            <v>1847</v>
          </cell>
          <cell r="B85" t="str">
            <v>TORO RENTERIA ALEJANDRO</v>
          </cell>
          <cell r="C85" t="str">
            <v>OF</v>
          </cell>
          <cell r="D85">
            <v>608.38</v>
          </cell>
        </row>
        <row r="86">
          <cell r="A86">
            <v>1869</v>
          </cell>
          <cell r="B86" t="str">
            <v>VAZQUEZ IBARRA GERARDO</v>
          </cell>
          <cell r="C86" t="str">
            <v>OF</v>
          </cell>
          <cell r="D86">
            <v>608.38</v>
          </cell>
        </row>
        <row r="87">
          <cell r="A87">
            <v>1897</v>
          </cell>
          <cell r="B87" t="str">
            <v>REYES PEREZ OSCAR</v>
          </cell>
          <cell r="C87" t="str">
            <v>OF</v>
          </cell>
          <cell r="D87">
            <v>608.38</v>
          </cell>
        </row>
        <row r="88">
          <cell r="A88">
            <v>1951</v>
          </cell>
          <cell r="B88" t="str">
            <v>AVALOS GIL IGNACIO</v>
          </cell>
          <cell r="C88" t="str">
            <v>OF</v>
          </cell>
          <cell r="D88">
            <v>608.38</v>
          </cell>
        </row>
        <row r="89">
          <cell r="A89">
            <v>1964</v>
          </cell>
          <cell r="B89" t="str">
            <v>LOPEZ PACHECO JOSE MARTIN</v>
          </cell>
          <cell r="C89" t="str">
            <v>PEON</v>
          </cell>
          <cell r="D89">
            <v>337.98</v>
          </cell>
        </row>
        <row r="90">
          <cell r="A90">
            <v>1990</v>
          </cell>
          <cell r="B90" t="str">
            <v>GUARDADO SÁNCHEZ MARTÍN</v>
          </cell>
          <cell r="C90" t="str">
            <v>PEON</v>
          </cell>
          <cell r="D90">
            <v>337.98</v>
          </cell>
        </row>
        <row r="91">
          <cell r="A91">
            <v>2001</v>
          </cell>
          <cell r="B91" t="str">
            <v>AGUILAR HERRERA LUIS FERNANDO</v>
          </cell>
          <cell r="C91" t="str">
            <v>OF</v>
          </cell>
          <cell r="D91">
            <v>608.38</v>
          </cell>
        </row>
        <row r="92">
          <cell r="A92">
            <v>2022</v>
          </cell>
          <cell r="B92" t="str">
            <v>PEREZ CONTRERAS JESUS</v>
          </cell>
          <cell r="C92" t="str">
            <v>OF</v>
          </cell>
          <cell r="D92">
            <v>608.38</v>
          </cell>
        </row>
        <row r="93">
          <cell r="A93">
            <v>2045</v>
          </cell>
          <cell r="B93" t="str">
            <v>LOPEZ GALINDO JUAN FRANCISCO</v>
          </cell>
          <cell r="C93" t="str">
            <v>CHOFER</v>
          </cell>
          <cell r="D93">
            <v>695.95</v>
          </cell>
        </row>
        <row r="94">
          <cell r="A94">
            <v>2078</v>
          </cell>
          <cell r="B94" t="str">
            <v>CHAVEZ ZAPATA CARLOS</v>
          </cell>
          <cell r="C94" t="str">
            <v>PEON</v>
          </cell>
          <cell r="D94">
            <v>337.98</v>
          </cell>
        </row>
        <row r="95">
          <cell r="A95">
            <v>2109</v>
          </cell>
          <cell r="B95" t="str">
            <v>OROPEZA RODRIGUEZ SANTIAGO EFREN</v>
          </cell>
          <cell r="C95" t="str">
            <v>OF</v>
          </cell>
          <cell r="D95">
            <v>608.38</v>
          </cell>
        </row>
        <row r="96">
          <cell r="A96">
            <v>2143</v>
          </cell>
          <cell r="B96" t="str">
            <v>MARTÍNEZ DUEÑAS JOSÉ ARMANDO</v>
          </cell>
          <cell r="C96" t="str">
            <v>OF</v>
          </cell>
          <cell r="D96">
            <v>608.38</v>
          </cell>
        </row>
        <row r="97">
          <cell r="A97">
            <v>2229</v>
          </cell>
          <cell r="B97" t="str">
            <v>ZAVALA MEDINA BENITO</v>
          </cell>
          <cell r="C97" t="str">
            <v>OF</v>
          </cell>
          <cell r="D97">
            <v>608.38</v>
          </cell>
        </row>
        <row r="98">
          <cell r="A98">
            <v>2245</v>
          </cell>
          <cell r="B98" t="str">
            <v>VEGA ESPARZA SALVADOR</v>
          </cell>
          <cell r="C98" t="str">
            <v>OF</v>
          </cell>
          <cell r="D98">
            <v>608.38</v>
          </cell>
        </row>
        <row r="99">
          <cell r="A99">
            <v>2258</v>
          </cell>
          <cell r="B99" t="str">
            <v>FLORES RENTERIA JULIAN ALEJANDRO</v>
          </cell>
          <cell r="C99" t="str">
            <v>OF</v>
          </cell>
          <cell r="D99">
            <v>608.38</v>
          </cell>
        </row>
        <row r="100">
          <cell r="A100">
            <v>2276</v>
          </cell>
          <cell r="B100" t="str">
            <v>MARTINEZ DUEÑAS ARNULFO FRANCISCO</v>
          </cell>
          <cell r="C100" t="str">
            <v>OF</v>
          </cell>
          <cell r="D100">
            <v>608.38</v>
          </cell>
        </row>
        <row r="101">
          <cell r="A101">
            <v>2281</v>
          </cell>
          <cell r="B101" t="str">
            <v>DE LOS SANTOS MANJARRES RODRIGO</v>
          </cell>
          <cell r="C101" t="str">
            <v>OF</v>
          </cell>
          <cell r="D101">
            <v>608.38</v>
          </cell>
        </row>
        <row r="102">
          <cell r="A102">
            <v>2282</v>
          </cell>
          <cell r="B102" t="str">
            <v>CANTOR GARCIA ALVARO</v>
          </cell>
          <cell r="C102" t="str">
            <v>OF</v>
          </cell>
          <cell r="D102">
            <v>608.38</v>
          </cell>
        </row>
        <row r="103">
          <cell r="A103">
            <v>2299</v>
          </cell>
          <cell r="B103" t="str">
            <v>ENRIQUEZ AGUILAR SEBASTIAN</v>
          </cell>
          <cell r="C103" t="str">
            <v>OF</v>
          </cell>
          <cell r="D103">
            <v>608.38</v>
          </cell>
        </row>
        <row r="104">
          <cell r="A104">
            <v>2316</v>
          </cell>
          <cell r="B104" t="str">
            <v>ENRIQUEZ FLORES JUAN</v>
          </cell>
          <cell r="C104" t="str">
            <v>OF</v>
          </cell>
          <cell r="D104">
            <v>608.38</v>
          </cell>
        </row>
        <row r="105">
          <cell r="A105">
            <v>2346</v>
          </cell>
          <cell r="B105" t="str">
            <v>PINTOR CALVARIO JUAN</v>
          </cell>
          <cell r="C105" t="str">
            <v>OF</v>
          </cell>
          <cell r="D105">
            <v>608.38</v>
          </cell>
        </row>
        <row r="106">
          <cell r="A106">
            <v>2407</v>
          </cell>
          <cell r="B106" t="str">
            <v>DE LOS SANTOS RENTERIA ISIDRO</v>
          </cell>
          <cell r="C106" t="str">
            <v>OF</v>
          </cell>
          <cell r="D106">
            <v>608.38</v>
          </cell>
        </row>
        <row r="107">
          <cell r="A107">
            <v>2410</v>
          </cell>
          <cell r="B107" t="str">
            <v>BARRAGAN LAZCANO JOSE ANTONIO</v>
          </cell>
          <cell r="C107" t="str">
            <v>OF</v>
          </cell>
          <cell r="D107">
            <v>608.38</v>
          </cell>
        </row>
        <row r="108">
          <cell r="A108">
            <v>2441</v>
          </cell>
          <cell r="B108" t="str">
            <v>GARCIA VIDALES JOSE DE JESUS</v>
          </cell>
          <cell r="C108" t="str">
            <v>OF</v>
          </cell>
          <cell r="D108">
            <v>608.38</v>
          </cell>
        </row>
        <row r="109">
          <cell r="A109">
            <v>2443</v>
          </cell>
          <cell r="B109" t="str">
            <v>VIDALES ROSALES JOSÉ GUADALUPE</v>
          </cell>
          <cell r="C109" t="str">
            <v>PINTOR</v>
          </cell>
          <cell r="D109">
            <v>608.38</v>
          </cell>
        </row>
        <row r="110">
          <cell r="A110">
            <v>2446</v>
          </cell>
          <cell r="B110" t="str">
            <v>ENRIQUEZ XILONZOCHITL MIGUEL ANGEL</v>
          </cell>
          <cell r="C110" t="str">
            <v>OF</v>
          </cell>
          <cell r="D110">
            <v>608.38</v>
          </cell>
        </row>
        <row r="111">
          <cell r="A111">
            <v>2466</v>
          </cell>
          <cell r="B111" t="str">
            <v>HERRERA GARCIA JUAN FRANCISCO</v>
          </cell>
          <cell r="C111" t="str">
            <v>SOLD</v>
          </cell>
          <cell r="D111">
            <v>699.64</v>
          </cell>
        </row>
        <row r="112">
          <cell r="A112">
            <v>2473</v>
          </cell>
          <cell r="B112" t="str">
            <v>CERVANTES MONJARAS JOSE LUIS</v>
          </cell>
          <cell r="C112" t="str">
            <v>OF</v>
          </cell>
          <cell r="D112">
            <v>608.38</v>
          </cell>
        </row>
        <row r="113">
          <cell r="A113">
            <v>2506</v>
          </cell>
          <cell r="B113" t="str">
            <v>HERNANDEZ VILLANUEVA DARIO</v>
          </cell>
          <cell r="C113" t="str">
            <v>PEON</v>
          </cell>
          <cell r="D113">
            <v>588.5</v>
          </cell>
        </row>
        <row r="114">
          <cell r="A114">
            <v>2515</v>
          </cell>
          <cell r="B114" t="str">
            <v>RODRIGUEZ SANCHEZ JUAN ANTONIO</v>
          </cell>
          <cell r="C114" t="str">
            <v>OF</v>
          </cell>
          <cell r="D114">
            <v>608.38</v>
          </cell>
        </row>
        <row r="115">
          <cell r="A115">
            <v>2555</v>
          </cell>
          <cell r="B115" t="str">
            <v>GUERRERO CHÁVEZ JUAN DANIEL</v>
          </cell>
          <cell r="C115" t="str">
            <v>OF</v>
          </cell>
          <cell r="D115">
            <v>608.38</v>
          </cell>
        </row>
        <row r="116">
          <cell r="A116">
            <v>2634</v>
          </cell>
          <cell r="B116" t="str">
            <v>OROPEZA RODRIGUEZ LUIS EDUARDO</v>
          </cell>
          <cell r="C116" t="str">
            <v>OF</v>
          </cell>
          <cell r="D116">
            <v>608.38</v>
          </cell>
        </row>
        <row r="117">
          <cell r="A117">
            <v>2696</v>
          </cell>
          <cell r="B117" t="str">
            <v>RODRIGUEZ SANCHEZ CHRISTIAN</v>
          </cell>
          <cell r="C117" t="str">
            <v>OF</v>
          </cell>
          <cell r="D117">
            <v>608.38</v>
          </cell>
        </row>
        <row r="118">
          <cell r="A118">
            <v>2703</v>
          </cell>
          <cell r="B118" t="str">
            <v>MARTÍNEZ DUEÑAS FRANCISCO</v>
          </cell>
          <cell r="C118" t="str">
            <v>OF</v>
          </cell>
          <cell r="D118">
            <v>608.38</v>
          </cell>
        </row>
        <row r="119">
          <cell r="A119">
            <v>2733</v>
          </cell>
          <cell r="B119" t="str">
            <v>ZAVALA RUIZ BENITO</v>
          </cell>
          <cell r="C119" t="str">
            <v>OF</v>
          </cell>
          <cell r="D119">
            <v>608.38</v>
          </cell>
        </row>
        <row r="120">
          <cell r="A120">
            <v>2774</v>
          </cell>
          <cell r="B120" t="str">
            <v>MACIAS TOVAR NOE</v>
          </cell>
          <cell r="C120" t="str">
            <v>OF</v>
          </cell>
          <cell r="D120">
            <v>608.38</v>
          </cell>
        </row>
        <row r="121">
          <cell r="A121">
            <v>2779</v>
          </cell>
          <cell r="B121" t="str">
            <v>MARES DE JESUS ISMAEL</v>
          </cell>
          <cell r="C121" t="str">
            <v>OF</v>
          </cell>
          <cell r="D121">
            <v>608.38</v>
          </cell>
        </row>
        <row r="122">
          <cell r="A122">
            <v>2798</v>
          </cell>
          <cell r="B122" t="str">
            <v>MARTINEZ DUEÑAS JUAN EDUARDO</v>
          </cell>
          <cell r="C122" t="str">
            <v>OF</v>
          </cell>
          <cell r="D122">
            <v>608.38</v>
          </cell>
        </row>
        <row r="123">
          <cell r="A123">
            <v>2807</v>
          </cell>
          <cell r="B123" t="str">
            <v>INFANTE RAMÍREZ PABLO GABRIEL</v>
          </cell>
          <cell r="C123" t="str">
            <v>PINTOR</v>
          </cell>
          <cell r="D123">
            <v>608.38</v>
          </cell>
        </row>
        <row r="124">
          <cell r="A124">
            <v>2835</v>
          </cell>
          <cell r="B124" t="str">
            <v>ENRIQUEZ XILONZOCHILT JUAN</v>
          </cell>
          <cell r="C124" t="str">
            <v>OF</v>
          </cell>
          <cell r="D124">
            <v>608.38</v>
          </cell>
        </row>
        <row r="125">
          <cell r="A125">
            <v>2862</v>
          </cell>
          <cell r="B125" t="str">
            <v>RODRIGUEZ CASTREJON FELIPE</v>
          </cell>
          <cell r="C125" t="str">
            <v>PEON</v>
          </cell>
          <cell r="D125">
            <v>386.07</v>
          </cell>
        </row>
        <row r="126">
          <cell r="A126">
            <v>2874</v>
          </cell>
          <cell r="B126" t="str">
            <v>JUAREZ RODRIGUEZ RAMIRO</v>
          </cell>
          <cell r="C126" t="str">
            <v>PEON</v>
          </cell>
          <cell r="D126">
            <v>337.98</v>
          </cell>
        </row>
        <row r="127">
          <cell r="A127">
            <v>2925</v>
          </cell>
          <cell r="B127" t="str">
            <v>CHAVEZ ALMADA DANIEL</v>
          </cell>
          <cell r="C127" t="str">
            <v>RESID</v>
          </cell>
          <cell r="D127">
            <v>751.49</v>
          </cell>
        </row>
        <row r="128">
          <cell r="A128">
            <v>2970</v>
          </cell>
          <cell r="B128" t="str">
            <v>CABRERA LEON EFRAIN</v>
          </cell>
          <cell r="C128" t="str">
            <v>OF</v>
          </cell>
          <cell r="D128">
            <v>608.38</v>
          </cell>
        </row>
        <row r="129">
          <cell r="A129">
            <v>3013</v>
          </cell>
          <cell r="B129" t="str">
            <v>SEGURA DIAZ OSCAR</v>
          </cell>
          <cell r="C129" t="str">
            <v>OF</v>
          </cell>
          <cell r="D129">
            <v>608.38</v>
          </cell>
        </row>
        <row r="130">
          <cell r="A130">
            <v>3034</v>
          </cell>
          <cell r="B130" t="str">
            <v>MENDOZA MURILLO IVAN</v>
          </cell>
          <cell r="C130" t="str">
            <v>OF</v>
          </cell>
          <cell r="D130">
            <v>608.38</v>
          </cell>
        </row>
        <row r="131">
          <cell r="A131">
            <v>3066</v>
          </cell>
          <cell r="B131" t="str">
            <v>GARCIA REYES ANDRES</v>
          </cell>
          <cell r="C131" t="str">
            <v>OF</v>
          </cell>
          <cell r="D131">
            <v>608.38</v>
          </cell>
        </row>
        <row r="132">
          <cell r="A132">
            <v>3091</v>
          </cell>
          <cell r="B132" t="str">
            <v>SÁNCHEZ LEÓN JOSÉ ANTONIO</v>
          </cell>
          <cell r="C132" t="str">
            <v>MAESTRO</v>
          </cell>
          <cell r="D132">
            <v>1000</v>
          </cell>
        </row>
        <row r="133">
          <cell r="A133">
            <v>3397</v>
          </cell>
          <cell r="B133" t="str">
            <v>RODRIGUEZ RODRIGUEZ ANTONIO</v>
          </cell>
          <cell r="C133" t="str">
            <v>VELADOR</v>
          </cell>
          <cell r="D133">
            <v>337.98</v>
          </cell>
        </row>
        <row r="134">
          <cell r="A134">
            <v>3405</v>
          </cell>
          <cell r="B134" t="str">
            <v>BIZARRO GARCIA MARCO ANTONIO</v>
          </cell>
          <cell r="C134" t="str">
            <v>OF</v>
          </cell>
          <cell r="D134">
            <v>608.38</v>
          </cell>
        </row>
        <row r="135">
          <cell r="A135">
            <v>3407</v>
          </cell>
          <cell r="B135" t="str">
            <v>GARCÍA LÓPEZ JORGE OMAR</v>
          </cell>
          <cell r="C135" t="str">
            <v>PEON</v>
          </cell>
          <cell r="D135">
            <v>337.98</v>
          </cell>
        </row>
        <row r="136">
          <cell r="A136">
            <v>3410</v>
          </cell>
          <cell r="B136" t="str">
            <v>HERRERA MENDOZA JOSE CRUZ</v>
          </cell>
          <cell r="C136" t="str">
            <v>OF</v>
          </cell>
          <cell r="D136">
            <v>608.38</v>
          </cell>
        </row>
        <row r="137">
          <cell r="A137">
            <v>3411</v>
          </cell>
          <cell r="B137" t="str">
            <v>GARCIA BRAVO EDUARDO</v>
          </cell>
          <cell r="C137" t="str">
            <v>OF</v>
          </cell>
          <cell r="D137">
            <v>608.38</v>
          </cell>
        </row>
        <row r="138">
          <cell r="A138">
            <v>3412</v>
          </cell>
          <cell r="B138" t="str">
            <v>PLASCENCIA HARO JOSE LUIS</v>
          </cell>
          <cell r="C138" t="str">
            <v>OF</v>
          </cell>
          <cell r="D138">
            <v>608.38</v>
          </cell>
        </row>
        <row r="139">
          <cell r="A139">
            <v>3454</v>
          </cell>
          <cell r="B139" t="str">
            <v>GUERRERO CHÁVEZ JUAN JOSÉ</v>
          </cell>
          <cell r="C139" t="str">
            <v>PEON</v>
          </cell>
          <cell r="D139">
            <v>337.98</v>
          </cell>
        </row>
        <row r="140">
          <cell r="A140">
            <v>3470</v>
          </cell>
          <cell r="B140" t="str">
            <v>ZAMORA CALDERON ALEJANDRO</v>
          </cell>
          <cell r="C140" t="str">
            <v>OF</v>
          </cell>
          <cell r="D140">
            <v>608.38</v>
          </cell>
        </row>
        <row r="141">
          <cell r="A141">
            <v>3482</v>
          </cell>
          <cell r="B141" t="str">
            <v>HERNANDEZ CASTELLON BERNARDO</v>
          </cell>
          <cell r="C141" t="str">
            <v>OF</v>
          </cell>
          <cell r="D141">
            <v>608.38</v>
          </cell>
        </row>
        <row r="142">
          <cell r="A142">
            <v>3512</v>
          </cell>
          <cell r="B142" t="str">
            <v>GARCIA BRAVO JESUS</v>
          </cell>
          <cell r="C142" t="str">
            <v>PEON</v>
          </cell>
          <cell r="D142">
            <v>337.98</v>
          </cell>
        </row>
        <row r="143">
          <cell r="A143">
            <v>3554</v>
          </cell>
          <cell r="B143" t="str">
            <v>MEJIA NAVARRO RICARDO REFUGIO</v>
          </cell>
          <cell r="C143" t="str">
            <v>OF</v>
          </cell>
          <cell r="D143">
            <v>608.38</v>
          </cell>
        </row>
        <row r="144">
          <cell r="A144">
            <v>3569</v>
          </cell>
          <cell r="B144" t="str">
            <v>ENRIQUEZ DOMINGUEZ MOISES</v>
          </cell>
          <cell r="C144" t="str">
            <v>OF</v>
          </cell>
          <cell r="D144">
            <v>608.38</v>
          </cell>
        </row>
        <row r="145">
          <cell r="A145">
            <v>3596</v>
          </cell>
          <cell r="B145" t="str">
            <v>LÓPEZ MARTÍNEZ FRANCISCO JAVIER</v>
          </cell>
          <cell r="C145" t="str">
            <v>OF</v>
          </cell>
          <cell r="D145">
            <v>608.38</v>
          </cell>
        </row>
        <row r="146">
          <cell r="A146">
            <v>3608</v>
          </cell>
          <cell r="B146" t="str">
            <v>LOZANO URISTA BRUNO</v>
          </cell>
          <cell r="C146" t="str">
            <v>PEON</v>
          </cell>
          <cell r="D146">
            <v>440</v>
          </cell>
        </row>
        <row r="147">
          <cell r="A147">
            <v>3610</v>
          </cell>
          <cell r="B147" t="str">
            <v>HERNANDEZ LAUREANO MIGUEL ARMANDO</v>
          </cell>
          <cell r="C147" t="str">
            <v>VELADOR</v>
          </cell>
          <cell r="D147">
            <v>756.65</v>
          </cell>
        </row>
        <row r="148">
          <cell r="A148">
            <v>3612</v>
          </cell>
          <cell r="B148" t="str">
            <v>ORTEGA HERNÁNDEZ JOSÉ ALBERTO</v>
          </cell>
          <cell r="C148" t="str">
            <v>OF</v>
          </cell>
          <cell r="D148">
            <v>608.38</v>
          </cell>
        </row>
        <row r="149">
          <cell r="A149">
            <v>3627</v>
          </cell>
          <cell r="B149" t="str">
            <v>LUEVANO ORTIZ JESUS EDUARDO</v>
          </cell>
          <cell r="C149" t="str">
            <v>PEON</v>
          </cell>
          <cell r="D149">
            <v>337.98</v>
          </cell>
        </row>
        <row r="150">
          <cell r="A150">
            <v>3630</v>
          </cell>
          <cell r="B150" t="str">
            <v>LUEVANOS ORTIZ JOSE JAVIER</v>
          </cell>
          <cell r="C150" t="str">
            <v>PEON</v>
          </cell>
          <cell r="D150">
            <v>337.98</v>
          </cell>
        </row>
        <row r="151">
          <cell r="A151">
            <v>3655</v>
          </cell>
          <cell r="B151" t="str">
            <v>GUERRERO CHAVEZ JOSE LEONARDO</v>
          </cell>
          <cell r="C151" t="str">
            <v>PEON</v>
          </cell>
          <cell r="D151">
            <v>337.98</v>
          </cell>
        </row>
        <row r="152">
          <cell r="A152">
            <v>3682</v>
          </cell>
          <cell r="B152" t="str">
            <v>BARRÓN GARCÍA JOSÉ DAMACIO</v>
          </cell>
          <cell r="C152" t="str">
            <v>OF</v>
          </cell>
          <cell r="D152">
            <v>660</v>
          </cell>
        </row>
        <row r="153">
          <cell r="A153">
            <v>3725</v>
          </cell>
          <cell r="B153" t="str">
            <v>ARROYO SANCHEZ JOSE CARLOS</v>
          </cell>
          <cell r="C153" t="str">
            <v>PEON</v>
          </cell>
          <cell r="D153">
            <v>337.98</v>
          </cell>
        </row>
        <row r="154">
          <cell r="A154">
            <v>3753</v>
          </cell>
          <cell r="B154" t="str">
            <v>TOSCANO LOPEZ SERGIO</v>
          </cell>
          <cell r="C154" t="str">
            <v>PEON</v>
          </cell>
          <cell r="D154">
            <v>383.4</v>
          </cell>
        </row>
        <row r="155">
          <cell r="A155">
            <v>3759</v>
          </cell>
          <cell r="B155" t="str">
            <v>RUVALCABA VERGARA JOSE LUIS</v>
          </cell>
          <cell r="C155" t="str">
            <v>OF</v>
          </cell>
          <cell r="D155">
            <v>516.89</v>
          </cell>
        </row>
        <row r="156">
          <cell r="A156">
            <v>3792</v>
          </cell>
          <cell r="B156" t="str">
            <v>RAMOS ALVARADO JOSE DE JESUS</v>
          </cell>
          <cell r="C156" t="str">
            <v>PEON</v>
          </cell>
          <cell r="D156">
            <v>383.4</v>
          </cell>
        </row>
        <row r="157">
          <cell r="A157">
            <v>3799</v>
          </cell>
          <cell r="B157" t="str">
            <v>VAZQUEZ HERNANDEZ JORGE</v>
          </cell>
          <cell r="C157" t="str">
            <v>OF</v>
          </cell>
          <cell r="D157">
            <v>608.38</v>
          </cell>
        </row>
        <row r="158">
          <cell r="A158">
            <v>3850</v>
          </cell>
          <cell r="B158" t="str">
            <v>SILONXOCHILT HERRERA HERIBERTO</v>
          </cell>
          <cell r="C158" t="str">
            <v>OF</v>
          </cell>
          <cell r="D158">
            <v>608.38</v>
          </cell>
        </row>
        <row r="159">
          <cell r="A159">
            <v>3859</v>
          </cell>
          <cell r="B159" t="str">
            <v>SALAZAR DE LOS SANTOS JORGE ADRIAN</v>
          </cell>
          <cell r="C159" t="str">
            <v>OF</v>
          </cell>
          <cell r="D159">
            <v>608.38</v>
          </cell>
        </row>
        <row r="160">
          <cell r="A160">
            <v>3870</v>
          </cell>
          <cell r="B160" t="str">
            <v>NAJAR TORRES JUAN MANUEL</v>
          </cell>
          <cell r="C160" t="str">
            <v>PEON</v>
          </cell>
          <cell r="D160">
            <v>383.4</v>
          </cell>
        </row>
        <row r="161">
          <cell r="A161">
            <v>3872</v>
          </cell>
          <cell r="B161" t="str">
            <v>HERNANDEZ ESTRADA JOSE LUIS</v>
          </cell>
          <cell r="C161" t="str">
            <v>PEON</v>
          </cell>
          <cell r="D161">
            <v>337.98</v>
          </cell>
        </row>
        <row r="162">
          <cell r="A162">
            <v>3879</v>
          </cell>
          <cell r="B162" t="str">
            <v>SOTO SOTO ROGELIO</v>
          </cell>
          <cell r="C162" t="str">
            <v>PEON</v>
          </cell>
          <cell r="D162">
            <v>337.98</v>
          </cell>
        </row>
        <row r="163">
          <cell r="A163">
            <v>3883</v>
          </cell>
          <cell r="B163" t="str">
            <v>RAMIREZ RUBIO CARLOS</v>
          </cell>
          <cell r="C163" t="str">
            <v>PEON</v>
          </cell>
          <cell r="D163">
            <v>383.4</v>
          </cell>
        </row>
        <row r="164">
          <cell r="A164">
            <v>3892</v>
          </cell>
          <cell r="B164" t="str">
            <v>MEDELLIN LOPEZ FELIX ALEJANDRO</v>
          </cell>
          <cell r="C164" t="str">
            <v>OF</v>
          </cell>
          <cell r="D164">
            <v>608.38</v>
          </cell>
        </row>
        <row r="165">
          <cell r="A165">
            <v>3914</v>
          </cell>
          <cell r="B165" t="str">
            <v>BIZARRO MACIAS PEDRO</v>
          </cell>
          <cell r="C165" t="str">
            <v>OF</v>
          </cell>
          <cell r="D165">
            <v>608.38</v>
          </cell>
        </row>
        <row r="166">
          <cell r="A166">
            <v>3918</v>
          </cell>
          <cell r="B166" t="str">
            <v>PEREZ MENDOZA JOSE FLORENTINO</v>
          </cell>
          <cell r="C166" t="str">
            <v>OF</v>
          </cell>
          <cell r="D166">
            <v>608.38</v>
          </cell>
        </row>
        <row r="167">
          <cell r="A167">
            <v>3919</v>
          </cell>
          <cell r="B167" t="str">
            <v>HERNANDEZ LOPEZ VALENTIN</v>
          </cell>
          <cell r="C167" t="str">
            <v>PEON</v>
          </cell>
          <cell r="D167">
            <v>337.98</v>
          </cell>
        </row>
        <row r="168">
          <cell r="A168">
            <v>3920</v>
          </cell>
          <cell r="B168" t="str">
            <v>BIZARRO XILONZOCHITL MISAEL</v>
          </cell>
          <cell r="C168" t="str">
            <v>OF</v>
          </cell>
          <cell r="D168">
            <v>608.38</v>
          </cell>
        </row>
        <row r="169">
          <cell r="A169">
            <v>3925</v>
          </cell>
          <cell r="B169" t="str">
            <v>AGUILAR SAUCEDO RICARDO JAVIER</v>
          </cell>
          <cell r="C169" t="str">
            <v>OF</v>
          </cell>
          <cell r="D169">
            <v>608.38</v>
          </cell>
        </row>
        <row r="170">
          <cell r="A170">
            <v>3926</v>
          </cell>
          <cell r="B170" t="str">
            <v>ESCOTO MENDOZA JOSE EDUARDO</v>
          </cell>
          <cell r="C170" t="str">
            <v>OF</v>
          </cell>
          <cell r="D170">
            <v>608.38</v>
          </cell>
        </row>
        <row r="171">
          <cell r="A171">
            <v>3930</v>
          </cell>
          <cell r="B171" t="str">
            <v>ENRIQUEZ CAMARENA GREGORIO</v>
          </cell>
          <cell r="C171" t="str">
            <v>OF</v>
          </cell>
          <cell r="D171">
            <v>608.38</v>
          </cell>
        </row>
        <row r="172">
          <cell r="A172">
            <v>3932</v>
          </cell>
          <cell r="B172" t="str">
            <v>ENRÍQUEZ XILONZOCHITL CARLOS DAVID</v>
          </cell>
          <cell r="C172" t="str">
            <v>OF</v>
          </cell>
          <cell r="D172">
            <v>608.38</v>
          </cell>
        </row>
        <row r="173">
          <cell r="A173">
            <v>3934</v>
          </cell>
          <cell r="B173" t="str">
            <v>SANCHEZ DIAZ DANIEL</v>
          </cell>
          <cell r="C173" t="str">
            <v>OF</v>
          </cell>
          <cell r="D173">
            <v>608.38</v>
          </cell>
        </row>
        <row r="174">
          <cell r="A174">
            <v>3951</v>
          </cell>
          <cell r="B174" t="str">
            <v>AGUILAR ENRRIQUEZ LUIS FELIPE</v>
          </cell>
          <cell r="C174" t="str">
            <v>OF</v>
          </cell>
          <cell r="D174">
            <v>608.38</v>
          </cell>
        </row>
        <row r="175">
          <cell r="A175">
            <v>3965</v>
          </cell>
          <cell r="B175" t="str">
            <v>BAÑUELOS MEJIA ALFREDO</v>
          </cell>
          <cell r="C175" t="str">
            <v>OF</v>
          </cell>
          <cell r="D175">
            <v>608.38</v>
          </cell>
        </row>
        <row r="176">
          <cell r="A176">
            <v>3993</v>
          </cell>
          <cell r="B176" t="str">
            <v>JIMENEZ FLORES ANTONIO RAFAEL</v>
          </cell>
          <cell r="C176" t="str">
            <v>OF</v>
          </cell>
          <cell r="D176">
            <v>608.38</v>
          </cell>
        </row>
        <row r="177">
          <cell r="A177">
            <v>3998</v>
          </cell>
          <cell r="B177" t="str">
            <v>MELENDEZ JIMENEZ FAUSTINO</v>
          </cell>
          <cell r="C177" t="str">
            <v>OF</v>
          </cell>
          <cell r="D177">
            <v>608.38</v>
          </cell>
        </row>
        <row r="178">
          <cell r="A178">
            <v>4005</v>
          </cell>
          <cell r="B178" t="str">
            <v>XILONZOCHITL OCAMPO FORTUNATO</v>
          </cell>
          <cell r="C178" t="str">
            <v>OF</v>
          </cell>
          <cell r="D178">
            <v>608.38</v>
          </cell>
        </row>
        <row r="179">
          <cell r="A179">
            <v>4016</v>
          </cell>
          <cell r="B179" t="str">
            <v>CANDELARIO CORDOBA ALEJANDRO</v>
          </cell>
          <cell r="C179" t="str">
            <v>OF</v>
          </cell>
          <cell r="D179">
            <v>608.38</v>
          </cell>
        </row>
        <row r="180">
          <cell r="A180">
            <v>4025</v>
          </cell>
          <cell r="B180" t="str">
            <v>GONZALEZ NAVARRO HECTOR MIGUEL</v>
          </cell>
          <cell r="C180" t="str">
            <v>PEON</v>
          </cell>
          <cell r="D180">
            <v>337.98</v>
          </cell>
        </row>
        <row r="181">
          <cell r="A181">
            <v>4031</v>
          </cell>
          <cell r="B181" t="str">
            <v>SALAZAR DE LOS SANTOS JESÚS IGNACIO</v>
          </cell>
          <cell r="C181" t="str">
            <v>OF</v>
          </cell>
          <cell r="D181">
            <v>608.38</v>
          </cell>
        </row>
        <row r="182">
          <cell r="A182">
            <v>4044</v>
          </cell>
          <cell r="B182" t="str">
            <v>FLORES RODRIGUEZ JESUS</v>
          </cell>
          <cell r="C182" t="str">
            <v>VELADOR</v>
          </cell>
          <cell r="D182">
            <v>337.98</v>
          </cell>
        </row>
        <row r="183">
          <cell r="A183">
            <v>4057</v>
          </cell>
          <cell r="B183" t="str">
            <v>VALENTIN HERRERA MIGUEL ANGEL</v>
          </cell>
          <cell r="C183" t="str">
            <v>OF</v>
          </cell>
          <cell r="D183">
            <v>608.38</v>
          </cell>
        </row>
        <row r="184">
          <cell r="A184">
            <v>4066</v>
          </cell>
          <cell r="B184" t="str">
            <v>ELVIRA TADEO GABRIEL</v>
          </cell>
          <cell r="C184" t="str">
            <v>OF</v>
          </cell>
          <cell r="D184">
            <v>608.38</v>
          </cell>
        </row>
        <row r="185">
          <cell r="A185">
            <v>4072</v>
          </cell>
          <cell r="B185" t="str">
            <v>OROZCO FLORES RODOLFO MAXIMILIANO</v>
          </cell>
          <cell r="C185" t="str">
            <v>PEON</v>
          </cell>
          <cell r="D185">
            <v>337.98</v>
          </cell>
        </row>
        <row r="186">
          <cell r="A186">
            <v>4083</v>
          </cell>
          <cell r="B186" t="str">
            <v>CÓRDOVA NICASIO SAMUEL ENRIQUE</v>
          </cell>
          <cell r="C186" t="str">
            <v>PEON</v>
          </cell>
          <cell r="D186">
            <v>337.98</v>
          </cell>
        </row>
        <row r="187">
          <cell r="A187">
            <v>4120</v>
          </cell>
          <cell r="B187" t="str">
            <v>GAVILAN MACIAS JOAQUIN</v>
          </cell>
          <cell r="C187" t="str">
            <v>PINTOR</v>
          </cell>
          <cell r="D187">
            <v>608.38</v>
          </cell>
        </row>
        <row r="188">
          <cell r="A188">
            <v>4121</v>
          </cell>
          <cell r="B188" t="str">
            <v>GARCIA CRUZ JOSE RAMON</v>
          </cell>
          <cell r="C188" t="str">
            <v>OF</v>
          </cell>
          <cell r="D188">
            <v>608.38</v>
          </cell>
        </row>
        <row r="189">
          <cell r="A189">
            <v>4144</v>
          </cell>
          <cell r="B189" t="str">
            <v>MARTÍNEZ DUEÑAS RIGOBERTO</v>
          </cell>
          <cell r="C189" t="str">
            <v>OF</v>
          </cell>
          <cell r="D189">
            <v>608.38</v>
          </cell>
        </row>
        <row r="190">
          <cell r="A190">
            <v>4150</v>
          </cell>
          <cell r="B190" t="str">
            <v>CORDOVA CRUZ JUAN CARLOS</v>
          </cell>
          <cell r="C190" t="str">
            <v>JARD</v>
          </cell>
          <cell r="D190">
            <v>619.7</v>
          </cell>
        </row>
        <row r="191">
          <cell r="A191">
            <v>4186</v>
          </cell>
          <cell r="B191" t="str">
            <v>DURAN GONZALEZ ELIAS GUADALUPE</v>
          </cell>
          <cell r="C191" t="str">
            <v>OF</v>
          </cell>
          <cell r="D191">
            <v>608.38</v>
          </cell>
        </row>
        <row r="192">
          <cell r="A192">
            <v>4209</v>
          </cell>
          <cell r="B192" t="str">
            <v>TORRES CASILLAS LEOBARDO</v>
          </cell>
          <cell r="C192" t="str">
            <v>PINTOR</v>
          </cell>
          <cell r="D192">
            <v>608.38</v>
          </cell>
        </row>
        <row r="193">
          <cell r="A193">
            <v>4220</v>
          </cell>
          <cell r="B193" t="str">
            <v>CORTES CAMPOS ROBERTO</v>
          </cell>
          <cell r="C193" t="str">
            <v>OF</v>
          </cell>
          <cell r="D193">
            <v>608.38</v>
          </cell>
        </row>
        <row r="194">
          <cell r="A194">
            <v>4222</v>
          </cell>
          <cell r="B194" t="str">
            <v>SOLANO GONZALEZ JUAN MANUEL</v>
          </cell>
          <cell r="C194" t="str">
            <v>JARD</v>
          </cell>
          <cell r="D194">
            <v>646.69</v>
          </cell>
        </row>
        <row r="195">
          <cell r="A195">
            <v>4231</v>
          </cell>
          <cell r="B195" t="str">
            <v>HERRERA ORTEGA RAYMUNDO SEBASTIAN</v>
          </cell>
          <cell r="C195" t="str">
            <v>SOLD</v>
          </cell>
          <cell r="D195">
            <v>608.38</v>
          </cell>
        </row>
        <row r="196">
          <cell r="A196">
            <v>4252</v>
          </cell>
          <cell r="B196" t="str">
            <v>ARANDA OROZCO FIDEL</v>
          </cell>
          <cell r="C196" t="str">
            <v>PEON</v>
          </cell>
          <cell r="D196">
            <v>383.4</v>
          </cell>
        </row>
        <row r="197">
          <cell r="A197">
            <v>4254</v>
          </cell>
          <cell r="B197" t="str">
            <v>ARANDA OROZCO GABRIEL</v>
          </cell>
          <cell r="C197" t="str">
            <v>PEON</v>
          </cell>
          <cell r="D197">
            <v>383.4</v>
          </cell>
        </row>
        <row r="198">
          <cell r="A198">
            <v>4256</v>
          </cell>
          <cell r="B198" t="str">
            <v>VÁZQUEZ HERNÁNDEZ GILBERTO</v>
          </cell>
          <cell r="C198" t="str">
            <v>OF</v>
          </cell>
          <cell r="D198">
            <v>608.38</v>
          </cell>
        </row>
        <row r="199">
          <cell r="A199">
            <v>4263</v>
          </cell>
          <cell r="B199" t="str">
            <v>DAMIAN MARTINEZ GERARDO</v>
          </cell>
          <cell r="C199" t="str">
            <v>PEON</v>
          </cell>
          <cell r="D199">
            <v>383.4</v>
          </cell>
        </row>
        <row r="200">
          <cell r="A200">
            <v>4264</v>
          </cell>
          <cell r="B200" t="str">
            <v>GONZÁLEZ CAMPOS FELIPE</v>
          </cell>
          <cell r="C200" t="str">
            <v>PEON</v>
          </cell>
          <cell r="D200">
            <v>337.98</v>
          </cell>
        </row>
        <row r="201">
          <cell r="A201">
            <v>4268</v>
          </cell>
          <cell r="B201" t="str">
            <v>NAVARRO ACOSTA ALEJANDRO</v>
          </cell>
          <cell r="C201" t="str">
            <v>PEON</v>
          </cell>
          <cell r="D201">
            <v>383.4</v>
          </cell>
        </row>
        <row r="202">
          <cell r="A202">
            <v>4281</v>
          </cell>
          <cell r="B202" t="str">
            <v>BRISEÑO PINTOR SALVADOR</v>
          </cell>
          <cell r="C202" t="str">
            <v>PEON</v>
          </cell>
          <cell r="D202">
            <v>337.98</v>
          </cell>
        </row>
        <row r="203">
          <cell r="A203">
            <v>4282</v>
          </cell>
          <cell r="B203" t="str">
            <v>DE LA TORRE BRISEÑO OSCAR</v>
          </cell>
          <cell r="C203" t="str">
            <v>OF</v>
          </cell>
          <cell r="D203">
            <v>608.38</v>
          </cell>
        </row>
        <row r="204">
          <cell r="A204">
            <v>4285</v>
          </cell>
          <cell r="B204" t="str">
            <v>XILONZOCHILT OCAMPO GENARO</v>
          </cell>
          <cell r="C204" t="str">
            <v>OF</v>
          </cell>
          <cell r="D204">
            <v>608.38</v>
          </cell>
        </row>
        <row r="205">
          <cell r="A205">
            <v>4286</v>
          </cell>
          <cell r="B205" t="str">
            <v>XILONZOCHITL SALDAÑA ALBERTO DIONICIO</v>
          </cell>
          <cell r="C205" t="str">
            <v>PEON</v>
          </cell>
          <cell r="D205">
            <v>337.98</v>
          </cell>
        </row>
        <row r="206">
          <cell r="A206">
            <v>4287</v>
          </cell>
          <cell r="B206" t="str">
            <v>XILONZOCHITL SALDAÑA JOSÉ LUIS</v>
          </cell>
          <cell r="C206" t="str">
            <v>OF</v>
          </cell>
          <cell r="D206">
            <v>608.38</v>
          </cell>
        </row>
        <row r="207">
          <cell r="A207">
            <v>4297</v>
          </cell>
          <cell r="B207" t="str">
            <v>GUTIÉRREZ CONTRERAS IRAK IVÁN</v>
          </cell>
          <cell r="C207" t="str">
            <v>PEON</v>
          </cell>
          <cell r="D207">
            <v>337.98</v>
          </cell>
        </row>
        <row r="208">
          <cell r="A208">
            <v>4298</v>
          </cell>
          <cell r="B208" t="str">
            <v>SEGURA DIAZ JAVIER</v>
          </cell>
          <cell r="C208" t="str">
            <v>PEON</v>
          </cell>
          <cell r="D208">
            <v>451</v>
          </cell>
        </row>
        <row r="209">
          <cell r="A209">
            <v>4302</v>
          </cell>
          <cell r="B209" t="str">
            <v>GARCIA CRUZ FLAVIO CESAR</v>
          </cell>
          <cell r="C209" t="str">
            <v>PEON</v>
          </cell>
          <cell r="D209">
            <v>337.98</v>
          </cell>
        </row>
        <row r="210">
          <cell r="A210">
            <v>4303</v>
          </cell>
          <cell r="B210" t="str">
            <v>VALENTIN OLIVO DAVID</v>
          </cell>
          <cell r="C210" t="str">
            <v>OF</v>
          </cell>
          <cell r="D210">
            <v>608.38</v>
          </cell>
        </row>
        <row r="211">
          <cell r="A211">
            <v>4310</v>
          </cell>
          <cell r="B211" t="str">
            <v>ENRÍQUEZ XILONZÓCHITL JUAN CARLOS</v>
          </cell>
          <cell r="C211" t="str">
            <v>OF</v>
          </cell>
          <cell r="D211">
            <v>608.38</v>
          </cell>
        </row>
        <row r="212">
          <cell r="A212">
            <v>4319</v>
          </cell>
          <cell r="B212" t="str">
            <v>CRUZ CABRERA SERGIO</v>
          </cell>
          <cell r="C212" t="str">
            <v>PEON</v>
          </cell>
          <cell r="D212">
            <v>337.98</v>
          </cell>
        </row>
        <row r="213">
          <cell r="A213">
            <v>4325</v>
          </cell>
          <cell r="B213" t="str">
            <v>AVALOS PICAZO EDGAR ISAAC</v>
          </cell>
          <cell r="C213" t="str">
            <v>PEON</v>
          </cell>
          <cell r="D213">
            <v>337.98</v>
          </cell>
        </row>
        <row r="214">
          <cell r="A214">
            <v>4329</v>
          </cell>
          <cell r="B214" t="str">
            <v>CAMPOS NARVAEZ JUAN PABLO</v>
          </cell>
          <cell r="C214" t="str">
            <v>OF</v>
          </cell>
          <cell r="D214">
            <v>608.38</v>
          </cell>
        </row>
        <row r="215">
          <cell r="A215">
            <v>4332</v>
          </cell>
          <cell r="B215" t="str">
            <v>HERNANDEZ REYES PEDRO</v>
          </cell>
          <cell r="C215" t="str">
            <v>PEON</v>
          </cell>
          <cell r="D215">
            <v>337.98</v>
          </cell>
        </row>
        <row r="216">
          <cell r="A216">
            <v>4362</v>
          </cell>
          <cell r="B216" t="str">
            <v>DE LA TORRE BRISEÑO RICARDO</v>
          </cell>
          <cell r="C216" t="str">
            <v>PEON</v>
          </cell>
          <cell r="D216">
            <v>337.98</v>
          </cell>
        </row>
        <row r="217">
          <cell r="A217">
            <v>4365</v>
          </cell>
          <cell r="B217" t="str">
            <v>RAMIREZ ROSALES FEDERICO</v>
          </cell>
          <cell r="C217" t="str">
            <v>PEON</v>
          </cell>
          <cell r="D217">
            <v>383.4</v>
          </cell>
        </row>
        <row r="218">
          <cell r="A218">
            <v>4368</v>
          </cell>
          <cell r="B218" t="str">
            <v>MORA MACIAS OCTAVIANO</v>
          </cell>
          <cell r="C218" t="str">
            <v>OF</v>
          </cell>
          <cell r="D218">
            <v>608.38</v>
          </cell>
        </row>
        <row r="219">
          <cell r="A219">
            <v>4369</v>
          </cell>
          <cell r="B219" t="str">
            <v>MORA JIMENEZ ELI EMMANUEL</v>
          </cell>
          <cell r="C219" t="str">
            <v>OF</v>
          </cell>
          <cell r="D219">
            <v>608.38</v>
          </cell>
        </row>
        <row r="220">
          <cell r="A220">
            <v>4377</v>
          </cell>
          <cell r="B220" t="str">
            <v>RODRIGUEZ PADILLA JUAN LUIS</v>
          </cell>
          <cell r="C220" t="str">
            <v>PEON</v>
          </cell>
          <cell r="D220">
            <v>337.98</v>
          </cell>
        </row>
        <row r="221">
          <cell r="A221">
            <v>4380</v>
          </cell>
          <cell r="B221" t="str">
            <v>DURAN GONZALEZ JUAN ALONSO</v>
          </cell>
          <cell r="C221" t="str">
            <v>OF</v>
          </cell>
          <cell r="D221">
            <v>608.38</v>
          </cell>
        </row>
        <row r="222">
          <cell r="A222">
            <v>4382</v>
          </cell>
          <cell r="B222" t="str">
            <v>MORA GARCIA RAFAEL</v>
          </cell>
          <cell r="C222" t="str">
            <v>OF</v>
          </cell>
          <cell r="D222">
            <v>608.38</v>
          </cell>
        </row>
        <row r="223">
          <cell r="A223">
            <v>4416</v>
          </cell>
          <cell r="B223" t="str">
            <v>SAUCEDO GARCIA JUAN FELIPE</v>
          </cell>
          <cell r="C223" t="str">
            <v>PEON</v>
          </cell>
          <cell r="D223">
            <v>337.98</v>
          </cell>
        </row>
        <row r="224">
          <cell r="A224">
            <v>4423</v>
          </cell>
          <cell r="B224" t="str">
            <v>ARREGUIN ATILANO ANDRES</v>
          </cell>
          <cell r="C224" t="str">
            <v>PEON</v>
          </cell>
          <cell r="D224">
            <v>383.4</v>
          </cell>
        </row>
        <row r="225">
          <cell r="A225">
            <v>4439</v>
          </cell>
          <cell r="B225" t="str">
            <v>CORDOVA CRUZ HUGO</v>
          </cell>
          <cell r="C225" t="str">
            <v>PEON</v>
          </cell>
          <cell r="D225">
            <v>337.98</v>
          </cell>
        </row>
        <row r="226">
          <cell r="A226">
            <v>4442</v>
          </cell>
          <cell r="B226" t="str">
            <v>CERVANTES BENITES ANGEL OMAR</v>
          </cell>
          <cell r="C226" t="str">
            <v>OF</v>
          </cell>
          <cell r="D226">
            <v>608.38</v>
          </cell>
        </row>
        <row r="227">
          <cell r="A227">
            <v>4443</v>
          </cell>
          <cell r="B227" t="str">
            <v>ROQUE PINEDA OMAR ABDIAS</v>
          </cell>
          <cell r="C227" t="str">
            <v>PEON</v>
          </cell>
          <cell r="D227">
            <v>451</v>
          </cell>
        </row>
        <row r="228">
          <cell r="A228">
            <v>4465</v>
          </cell>
          <cell r="B228" t="str">
            <v>GARCIA HERNANDEZ GENARO</v>
          </cell>
          <cell r="C228" t="str">
            <v>PEON</v>
          </cell>
          <cell r="D228">
            <v>432</v>
          </cell>
        </row>
        <row r="229">
          <cell r="A229">
            <v>4467</v>
          </cell>
          <cell r="B229" t="str">
            <v>SOLANO GALINDO GREGORIO SILVINO</v>
          </cell>
          <cell r="C229" t="str">
            <v>OF</v>
          </cell>
          <cell r="D229">
            <v>608.38</v>
          </cell>
        </row>
        <row r="230">
          <cell r="A230">
            <v>4475</v>
          </cell>
          <cell r="B230" t="str">
            <v>RODRIGUEZ GARCIA MARCOS ALBERTO</v>
          </cell>
          <cell r="C230" t="str">
            <v>PEON</v>
          </cell>
          <cell r="D230">
            <v>337.98</v>
          </cell>
        </row>
        <row r="231">
          <cell r="A231">
            <v>4476</v>
          </cell>
          <cell r="B231" t="str">
            <v>GARCIA HERNANDEZ EFREN</v>
          </cell>
          <cell r="C231" t="str">
            <v>PEON</v>
          </cell>
          <cell r="D231">
            <v>383.4</v>
          </cell>
        </row>
        <row r="232">
          <cell r="A232">
            <v>4477</v>
          </cell>
          <cell r="B232" t="str">
            <v>VILLA LOPEZ GERARDO</v>
          </cell>
          <cell r="C232" t="str">
            <v>OF</v>
          </cell>
          <cell r="D232">
            <v>608.38</v>
          </cell>
        </row>
        <row r="233">
          <cell r="A233">
            <v>4480</v>
          </cell>
          <cell r="B233" t="str">
            <v>VILLA LÓPEZ FRANCISCO</v>
          </cell>
          <cell r="C233" t="str">
            <v>OF</v>
          </cell>
          <cell r="D233">
            <v>608.38</v>
          </cell>
        </row>
        <row r="234">
          <cell r="A234">
            <v>4489</v>
          </cell>
          <cell r="B234" t="str">
            <v>AGUILA HEREDIA EMILIO</v>
          </cell>
          <cell r="C234" t="str">
            <v>PEON</v>
          </cell>
          <cell r="D234">
            <v>337.98</v>
          </cell>
        </row>
        <row r="235">
          <cell r="A235">
            <v>4506</v>
          </cell>
          <cell r="B235" t="str">
            <v>GONZALEZ RAMIREZ MIGUEL</v>
          </cell>
          <cell r="C235" t="str">
            <v>OF</v>
          </cell>
          <cell r="D235">
            <v>608.38</v>
          </cell>
        </row>
        <row r="236">
          <cell r="A236">
            <v>4513</v>
          </cell>
          <cell r="B236" t="str">
            <v>AMEZQUITA PACHECO VICTOR</v>
          </cell>
          <cell r="C236" t="str">
            <v>PEON</v>
          </cell>
          <cell r="D236">
            <v>383.4</v>
          </cell>
        </row>
        <row r="237">
          <cell r="A237">
            <v>4516</v>
          </cell>
          <cell r="B237" t="str">
            <v>XILONZOCHITL SALDAÑA ANGEL ASENCION</v>
          </cell>
          <cell r="C237" t="str">
            <v>PEON</v>
          </cell>
          <cell r="D237">
            <v>337.98</v>
          </cell>
        </row>
        <row r="238">
          <cell r="A238">
            <v>4520</v>
          </cell>
          <cell r="B238" t="str">
            <v>GONZALEZ NAVARRO CARLOS EDUARDO</v>
          </cell>
          <cell r="C238" t="str">
            <v>PEON</v>
          </cell>
          <cell r="D238">
            <v>337.98</v>
          </cell>
        </row>
        <row r="239">
          <cell r="A239">
            <v>4524</v>
          </cell>
          <cell r="B239" t="str">
            <v>ULLOA HERNANDEZ JOSE MANUEL</v>
          </cell>
          <cell r="C239" t="str">
            <v>OF</v>
          </cell>
          <cell r="D239">
            <v>608.38</v>
          </cell>
        </row>
        <row r="240">
          <cell r="A240">
            <v>4529</v>
          </cell>
          <cell r="B240" t="str">
            <v>GONZALEZ BRACAMONTES JESUS</v>
          </cell>
          <cell r="C240" t="str">
            <v>PINTOR</v>
          </cell>
          <cell r="D240">
            <v>608.38</v>
          </cell>
        </row>
        <row r="241">
          <cell r="A241">
            <v>4530</v>
          </cell>
          <cell r="B241" t="str">
            <v>CASTREJON FLORES JOSE</v>
          </cell>
          <cell r="C241" t="str">
            <v>PEON</v>
          </cell>
          <cell r="D241">
            <v>383.4</v>
          </cell>
        </row>
        <row r="242">
          <cell r="A242">
            <v>4531</v>
          </cell>
          <cell r="B242" t="str">
            <v>VILLA LOPEZ JOSE MARIA</v>
          </cell>
          <cell r="C242" t="str">
            <v>OF</v>
          </cell>
          <cell r="D242">
            <v>608.38</v>
          </cell>
        </row>
        <row r="243">
          <cell r="A243">
            <v>4533</v>
          </cell>
          <cell r="B243" t="str">
            <v>DIAZ ARCINIEGA GILBERTO</v>
          </cell>
          <cell r="C243" t="str">
            <v>PEON</v>
          </cell>
          <cell r="D243">
            <v>337.98</v>
          </cell>
        </row>
        <row r="244">
          <cell r="A244">
            <v>4534</v>
          </cell>
          <cell r="B244" t="str">
            <v>VILLA LÓPEZ JORGE ARMANDO</v>
          </cell>
          <cell r="C244" t="str">
            <v>OF</v>
          </cell>
          <cell r="D244">
            <v>608.38</v>
          </cell>
        </row>
        <row r="245">
          <cell r="A245">
            <v>4537</v>
          </cell>
          <cell r="B245" t="str">
            <v>VILLA LÓPEZ RUBÉN ERASMO</v>
          </cell>
          <cell r="C245" t="str">
            <v>OF</v>
          </cell>
          <cell r="D245">
            <v>608.38</v>
          </cell>
        </row>
        <row r="246">
          <cell r="A246">
            <v>4543</v>
          </cell>
          <cell r="B246" t="str">
            <v>RODRIGUEZ GARZA HILARIO</v>
          </cell>
          <cell r="C246" t="str">
            <v>OF</v>
          </cell>
          <cell r="D246">
            <v>608.38</v>
          </cell>
        </row>
        <row r="247">
          <cell r="A247">
            <v>4544</v>
          </cell>
          <cell r="B247" t="str">
            <v>RANGEL IBARRA RUBEN</v>
          </cell>
          <cell r="C247" t="str">
            <v>PEON</v>
          </cell>
          <cell r="D247">
            <v>337.98</v>
          </cell>
        </row>
        <row r="248">
          <cell r="A248">
            <v>4550</v>
          </cell>
          <cell r="B248" t="str">
            <v>VEGA ESPARZA MAYRA MARGARITA</v>
          </cell>
          <cell r="C248" t="str">
            <v>ASEO</v>
          </cell>
          <cell r="D248">
            <v>428.571428571429</v>
          </cell>
        </row>
        <row r="249">
          <cell r="A249">
            <v>4556</v>
          </cell>
          <cell r="B249" t="str">
            <v>ROSAS RAMIREZ MACARIO</v>
          </cell>
          <cell r="C249" t="str">
            <v>PEON</v>
          </cell>
          <cell r="D249">
            <v>383.4</v>
          </cell>
        </row>
        <row r="250">
          <cell r="A250">
            <v>4560</v>
          </cell>
          <cell r="B250" t="str">
            <v>XILONZOCHITL MORA RICARDO</v>
          </cell>
          <cell r="C250" t="str">
            <v>PEON</v>
          </cell>
          <cell r="D250">
            <v>337.98</v>
          </cell>
        </row>
        <row r="251">
          <cell r="A251">
            <v>4573</v>
          </cell>
          <cell r="B251" t="str">
            <v>DE LA TORRE LOPEZ GUILLERMO</v>
          </cell>
          <cell r="C251" t="str">
            <v>OF</v>
          </cell>
          <cell r="D251">
            <v>608.38</v>
          </cell>
        </row>
        <row r="252">
          <cell r="A252">
            <v>4579</v>
          </cell>
          <cell r="B252" t="str">
            <v>LOPEZ NICASIO ISELA NOEMI</v>
          </cell>
          <cell r="C252" t="str">
            <v>ASEO</v>
          </cell>
          <cell r="D252">
            <v>441.38</v>
          </cell>
        </row>
        <row r="253">
          <cell r="A253">
            <v>4580</v>
          </cell>
          <cell r="B253" t="str">
            <v>ENRIQUEZ CAMARENA MOISES ALEJANDRO</v>
          </cell>
          <cell r="C253" t="str">
            <v>PEON</v>
          </cell>
          <cell r="D253">
            <v>337.98</v>
          </cell>
        </row>
        <row r="254">
          <cell r="A254">
            <v>4582</v>
          </cell>
          <cell r="B254" t="str">
            <v>SALCIDO SANTIBAÑEZ GABRIEL</v>
          </cell>
          <cell r="C254" t="str">
            <v>PEON</v>
          </cell>
          <cell r="D254">
            <v>383.4</v>
          </cell>
        </row>
        <row r="255">
          <cell r="A255">
            <v>4586</v>
          </cell>
          <cell r="B255" t="str">
            <v>RAMÍREZ VILLA JOSÉ EDUARDO</v>
          </cell>
          <cell r="C255" t="str">
            <v>PEON</v>
          </cell>
          <cell r="D255">
            <v>337.98</v>
          </cell>
        </row>
        <row r="256">
          <cell r="A256">
            <v>4587</v>
          </cell>
          <cell r="B256" t="str">
            <v>VILLA LÓPEZ DAVID RIGOBERTO</v>
          </cell>
          <cell r="C256" t="str">
            <v>OF</v>
          </cell>
          <cell r="D256">
            <v>608.38</v>
          </cell>
        </row>
        <row r="257">
          <cell r="A257">
            <v>4602</v>
          </cell>
          <cell r="B257" t="str">
            <v>MARES ECHEVERRIA JUAN ISMAEL</v>
          </cell>
          <cell r="C257" t="str">
            <v>PEON</v>
          </cell>
          <cell r="D257">
            <v>337.98</v>
          </cell>
        </row>
        <row r="258">
          <cell r="A258">
            <v>4614</v>
          </cell>
          <cell r="B258" t="str">
            <v>ENRIQUEZ CAMARENA CHRISTIAN</v>
          </cell>
          <cell r="C258" t="str">
            <v>OF</v>
          </cell>
          <cell r="D258">
            <v>608.38</v>
          </cell>
        </row>
        <row r="259">
          <cell r="A259">
            <v>4626</v>
          </cell>
          <cell r="B259" t="str">
            <v>AMÉZQUITA NAVA JOSÉ GUADALUPE</v>
          </cell>
          <cell r="C259" t="str">
            <v>PEON</v>
          </cell>
          <cell r="D259">
            <v>337.98</v>
          </cell>
        </row>
        <row r="260">
          <cell r="A260">
            <v>4631</v>
          </cell>
          <cell r="B260" t="str">
            <v>LOPEZ MATA FRANCISCO JAVIER</v>
          </cell>
          <cell r="C260" t="str">
            <v>PEON</v>
          </cell>
          <cell r="D260">
            <v>307.25</v>
          </cell>
        </row>
        <row r="261">
          <cell r="A261">
            <v>4636</v>
          </cell>
          <cell r="B261" t="str">
            <v>VERA CAMACHO VALENTIN</v>
          </cell>
          <cell r="C261" t="str">
            <v>PEON</v>
          </cell>
          <cell r="D261">
            <v>337.98</v>
          </cell>
        </row>
        <row r="262">
          <cell r="A262">
            <v>4639</v>
          </cell>
          <cell r="B262" t="str">
            <v>SALINAS ENRÍQUEZ SABINO DANIEL</v>
          </cell>
          <cell r="C262" t="str">
            <v>PEON</v>
          </cell>
          <cell r="D262">
            <v>337.98</v>
          </cell>
        </row>
        <row r="263">
          <cell r="A263">
            <v>4640</v>
          </cell>
          <cell r="B263" t="str">
            <v>DE LOS SANTOS GENTIL MAURICIO</v>
          </cell>
          <cell r="C263" t="str">
            <v>PEON</v>
          </cell>
          <cell r="D263">
            <v>337.98</v>
          </cell>
        </row>
        <row r="264">
          <cell r="A264">
            <v>4641</v>
          </cell>
          <cell r="B264" t="str">
            <v>GONZALEZ SOLANO MONICO OMAR</v>
          </cell>
          <cell r="C264" t="str">
            <v>PEON</v>
          </cell>
          <cell r="D264">
            <v>337.98</v>
          </cell>
        </row>
        <row r="265">
          <cell r="A265">
            <v>4644</v>
          </cell>
          <cell r="B265" t="str">
            <v>CASTELLON LOPEZ LUIS MANUEL</v>
          </cell>
          <cell r="C265" t="str">
            <v>PEON</v>
          </cell>
          <cell r="D265">
            <v>337.98</v>
          </cell>
        </row>
        <row r="266">
          <cell r="A266">
            <v>4645</v>
          </cell>
          <cell r="B266" t="str">
            <v>CORTEZ SANTOS EDGAR IVAN</v>
          </cell>
          <cell r="C266" t="str">
            <v>PEON</v>
          </cell>
          <cell r="D266">
            <v>337.98</v>
          </cell>
        </row>
        <row r="267">
          <cell r="A267">
            <v>4652</v>
          </cell>
          <cell r="B267" t="str">
            <v>CORDOVA GARCIA ALEJANDRO FILEMON</v>
          </cell>
          <cell r="C267" t="str">
            <v>PEON</v>
          </cell>
          <cell r="D267">
            <v>337.98</v>
          </cell>
        </row>
        <row r="268">
          <cell r="A268">
            <v>4653</v>
          </cell>
          <cell r="B268" t="str">
            <v>IBARRA LOPEZ RODOLFO</v>
          </cell>
          <cell r="C268" t="str">
            <v>PEON</v>
          </cell>
          <cell r="D268">
            <v>337.98</v>
          </cell>
        </row>
        <row r="269">
          <cell r="A269">
            <v>4656</v>
          </cell>
          <cell r="B269" t="str">
            <v>APARICIO LAMAS JOSE GUADALUPE</v>
          </cell>
          <cell r="C269" t="str">
            <v>PEON</v>
          </cell>
          <cell r="D269">
            <v>337.98</v>
          </cell>
        </row>
        <row r="270">
          <cell r="A270">
            <v>4657</v>
          </cell>
          <cell r="B270" t="str">
            <v>RODRIGUEZ TAPIA ROCIO ELIZABETH</v>
          </cell>
          <cell r="C270" t="str">
            <v>ASEO</v>
          </cell>
          <cell r="D270">
            <v>391.33</v>
          </cell>
        </row>
        <row r="271">
          <cell r="A271">
            <v>4659</v>
          </cell>
          <cell r="B271" t="str">
            <v>LOMELÍ MADRIGAL MANUEL EDUARDO</v>
          </cell>
          <cell r="C271" t="str">
            <v>PEON</v>
          </cell>
          <cell r="D271">
            <v>337.98</v>
          </cell>
        </row>
        <row r="272">
          <cell r="A272">
            <v>4660</v>
          </cell>
          <cell r="B272" t="str">
            <v>DÁVALOS ROCHA CARLOS</v>
          </cell>
          <cell r="C272" t="str">
            <v>OF</v>
          </cell>
          <cell r="D272">
            <v>608.38</v>
          </cell>
        </row>
        <row r="273">
          <cell r="A273">
            <v>4662</v>
          </cell>
          <cell r="B273" t="str">
            <v>SANCHEZ ALCALA JOSE CARLOS</v>
          </cell>
          <cell r="C273" t="str">
            <v>PEON</v>
          </cell>
          <cell r="D273">
            <v>337.98</v>
          </cell>
        </row>
        <row r="274">
          <cell r="A274">
            <v>4665</v>
          </cell>
          <cell r="B274" t="str">
            <v>HERNANDEZ HERNANDEZ JONATHAN</v>
          </cell>
          <cell r="C274" t="str">
            <v>PEON</v>
          </cell>
          <cell r="D274">
            <v>337.98</v>
          </cell>
        </row>
        <row r="275">
          <cell r="A275">
            <v>4669</v>
          </cell>
          <cell r="B275" t="str">
            <v>VELAZQUEZ BARRIOS JORGE</v>
          </cell>
          <cell r="C275" t="str">
            <v>PEON</v>
          </cell>
          <cell r="D275">
            <v>337.98</v>
          </cell>
        </row>
        <row r="276">
          <cell r="A276">
            <v>4671</v>
          </cell>
          <cell r="B276" t="str">
            <v>MARTINEZ JACOBO JOSE LUIS</v>
          </cell>
          <cell r="C276" t="str">
            <v>PEON</v>
          </cell>
          <cell r="D276">
            <v>337.98</v>
          </cell>
        </row>
        <row r="277">
          <cell r="A277">
            <v>4672</v>
          </cell>
          <cell r="B277" t="str">
            <v>LOPEZ PADILLA JUAN PABLO</v>
          </cell>
          <cell r="C277" t="str">
            <v>PEON</v>
          </cell>
          <cell r="D277">
            <v>337.98</v>
          </cell>
        </row>
        <row r="278">
          <cell r="A278">
            <v>4674</v>
          </cell>
          <cell r="B278" t="str">
            <v>VEGA GUZMAN JOSE MANUEL</v>
          </cell>
          <cell r="C278" t="str">
            <v>PEON</v>
          </cell>
          <cell r="D278">
            <v>337.98</v>
          </cell>
        </row>
        <row r="279">
          <cell r="A279">
            <v>4675</v>
          </cell>
          <cell r="B279" t="str">
            <v>FLORES PATRICIO CESAR ANTONIO</v>
          </cell>
          <cell r="C279" t="str">
            <v>PEON</v>
          </cell>
          <cell r="D279">
            <v>337.98</v>
          </cell>
        </row>
        <row r="280">
          <cell r="A280">
            <v>4677</v>
          </cell>
          <cell r="B280" t="str">
            <v>GONZALEZ NAVARRO LUIS FERNANDO</v>
          </cell>
          <cell r="C280" t="str">
            <v>PEON</v>
          </cell>
          <cell r="D280">
            <v>337.98</v>
          </cell>
        </row>
        <row r="281">
          <cell r="A281">
            <v>4678</v>
          </cell>
          <cell r="B281" t="str">
            <v>RANGEL VARGAS MANUEL</v>
          </cell>
          <cell r="C281" t="str">
            <v>PEON</v>
          </cell>
          <cell r="D281">
            <v>337.98</v>
          </cell>
        </row>
        <row r="282">
          <cell r="A282">
            <v>4679</v>
          </cell>
          <cell r="B282" t="str">
            <v>SILVA PALOMERA HÉCTOR FABIÁN</v>
          </cell>
          <cell r="C282" t="str">
            <v>PEON</v>
          </cell>
          <cell r="D282">
            <v>337.98</v>
          </cell>
        </row>
        <row r="283">
          <cell r="A283">
            <v>4680</v>
          </cell>
          <cell r="B283" t="str">
            <v>CORDOVA CANDELARIO JOSE ENRIQUE</v>
          </cell>
          <cell r="C283" t="str">
            <v>PEON</v>
          </cell>
          <cell r="D283">
            <v>337.98</v>
          </cell>
        </row>
        <row r="284">
          <cell r="A284">
            <v>4685</v>
          </cell>
          <cell r="B284" t="str">
            <v>ZAMORA JIMENEZ JOSE DE JESUS</v>
          </cell>
          <cell r="C284" t="str">
            <v>PEON</v>
          </cell>
          <cell r="D284">
            <v>337.98</v>
          </cell>
        </row>
        <row r="285">
          <cell r="A285">
            <v>4686</v>
          </cell>
          <cell r="B285" t="str">
            <v>TORRES DANIEL VICTOR MANUEL</v>
          </cell>
          <cell r="C285" t="str">
            <v>PEON</v>
          </cell>
          <cell r="D285">
            <v>337.98</v>
          </cell>
        </row>
        <row r="286">
          <cell r="A286">
            <v>4687</v>
          </cell>
          <cell r="B286" t="str">
            <v>RUBIO FLORES JOSE ANGEL</v>
          </cell>
          <cell r="C286" t="str">
            <v>PEON</v>
          </cell>
          <cell r="D286">
            <v>337.98</v>
          </cell>
        </row>
        <row r="287">
          <cell r="A287">
            <v>4691</v>
          </cell>
          <cell r="B287" t="str">
            <v>MELCHOR ROBLES HECTOR ANDRES</v>
          </cell>
          <cell r="C287" t="str">
            <v>PINTOR</v>
          </cell>
          <cell r="D287">
            <v>608.38</v>
          </cell>
        </row>
        <row r="288">
          <cell r="A288">
            <v>4692</v>
          </cell>
          <cell r="B288" t="str">
            <v>GUILLEN LOPEZ JOSE ANTONIO</v>
          </cell>
          <cell r="C288" t="str">
            <v>PEON</v>
          </cell>
          <cell r="D288">
            <v>337.98</v>
          </cell>
        </row>
        <row r="289">
          <cell r="A289">
            <v>4693</v>
          </cell>
          <cell r="B289" t="str">
            <v>DELGADO MEDINA LUIS ALBERTO</v>
          </cell>
          <cell r="C289" t="str">
            <v>OF</v>
          </cell>
          <cell r="D289">
            <v>608.38</v>
          </cell>
        </row>
        <row r="290">
          <cell r="A290">
            <v>4695</v>
          </cell>
          <cell r="B290" t="str">
            <v>GODINEZ JIMENEZ SALVADOR</v>
          </cell>
          <cell r="C290" t="str">
            <v>PEON</v>
          </cell>
          <cell r="D290">
            <v>337.98</v>
          </cell>
        </row>
        <row r="291">
          <cell r="A291">
            <v>4696</v>
          </cell>
          <cell r="B291" t="str">
            <v>GONZALEZ MORA JOSE MANUEL</v>
          </cell>
          <cell r="C291" t="str">
            <v>PEON</v>
          </cell>
          <cell r="D291">
            <v>337.98</v>
          </cell>
        </row>
        <row r="292">
          <cell r="A292">
            <v>4701</v>
          </cell>
          <cell r="B292" t="str">
            <v>TORRES VEGA JUAN CARLOS</v>
          </cell>
          <cell r="C292" t="str">
            <v>PEON</v>
          </cell>
          <cell r="D292">
            <v>337.98</v>
          </cell>
        </row>
        <row r="293">
          <cell r="A293">
            <v>4702</v>
          </cell>
          <cell r="B293" t="str">
            <v>MARTINEZ GOMEZ JOSE CRISTIAN</v>
          </cell>
          <cell r="C293" t="str">
            <v>PEON</v>
          </cell>
          <cell r="D293">
            <v>337.98</v>
          </cell>
        </row>
        <row r="294">
          <cell r="A294">
            <v>4704</v>
          </cell>
          <cell r="B294" t="str">
            <v>ROCHA MICHEL OSCAR MARTIN</v>
          </cell>
          <cell r="C294" t="str">
            <v>PEON</v>
          </cell>
          <cell r="D294">
            <v>337.98</v>
          </cell>
        </row>
        <row r="295">
          <cell r="A295">
            <v>4705</v>
          </cell>
          <cell r="B295" t="str">
            <v>YAÑEZ DE LA CRUZ JOSE JUAN</v>
          </cell>
          <cell r="C295" t="str">
            <v>PEON</v>
          </cell>
          <cell r="D295">
            <v>337.98</v>
          </cell>
        </row>
        <row r="296">
          <cell r="A296">
            <v>4706</v>
          </cell>
          <cell r="B296" t="str">
            <v>MARIN LOPEZ MARCOS MANUEL</v>
          </cell>
          <cell r="C296" t="str">
            <v>PEON</v>
          </cell>
          <cell r="D296">
            <v>337.98</v>
          </cell>
        </row>
        <row r="297">
          <cell r="A297">
            <v>4707</v>
          </cell>
          <cell r="B297" t="str">
            <v>VALLE MORA DANIEL</v>
          </cell>
          <cell r="C297" t="str">
            <v>PEON</v>
          </cell>
          <cell r="D297">
            <v>337.98</v>
          </cell>
        </row>
        <row r="298">
          <cell r="A298">
            <v>4708</v>
          </cell>
          <cell r="B298" t="str">
            <v>REYNAGA RITO SONIA</v>
          </cell>
          <cell r="C298" t="str">
            <v>ASEO</v>
          </cell>
          <cell r="D298">
            <v>441.38</v>
          </cell>
        </row>
        <row r="299">
          <cell r="A299">
            <v>4709</v>
          </cell>
          <cell r="B299" t="str">
            <v>AVALOS VAZQUEZ PABLO ALBERTO</v>
          </cell>
          <cell r="C299" t="str">
            <v>PEON</v>
          </cell>
          <cell r="D299">
            <v>337.98</v>
          </cell>
        </row>
        <row r="300">
          <cell r="A300">
            <v>4710</v>
          </cell>
          <cell r="B300" t="str">
            <v>ENRIQUEZ DOMINGUEZ JOSUE DAVID</v>
          </cell>
          <cell r="C300" t="str">
            <v>PEON</v>
          </cell>
          <cell r="D300">
            <v>337.98</v>
          </cell>
        </row>
        <row r="301">
          <cell r="A301">
            <v>4711</v>
          </cell>
          <cell r="B301" t="str">
            <v>VILLAVICENCIO CASTAÑEDA DIEGO</v>
          </cell>
          <cell r="C301" t="str">
            <v>PEON</v>
          </cell>
          <cell r="D301">
            <v>337.98</v>
          </cell>
        </row>
        <row r="302">
          <cell r="A302">
            <v>4712</v>
          </cell>
          <cell r="B302" t="str">
            <v>FLORES DIAZ SERGIO</v>
          </cell>
          <cell r="C302" t="str">
            <v>PEON</v>
          </cell>
          <cell r="D302">
            <v>337.98</v>
          </cell>
        </row>
        <row r="303">
          <cell r="A303">
            <v>4713</v>
          </cell>
          <cell r="B303" t="str">
            <v>RODRIGUEZ GARZA ROSENDO</v>
          </cell>
          <cell r="C303" t="str">
            <v>OF</v>
          </cell>
          <cell r="D303">
            <v>608.38</v>
          </cell>
        </row>
        <row r="304">
          <cell r="A304">
            <v>4714</v>
          </cell>
          <cell r="B304" t="str">
            <v>MALDONADO ORTEGA LUIS GERARDO</v>
          </cell>
          <cell r="C304" t="str">
            <v>PEON</v>
          </cell>
          <cell r="D304">
            <v>337.98</v>
          </cell>
        </row>
        <row r="305">
          <cell r="A305">
            <v>4715</v>
          </cell>
          <cell r="B305" t="str">
            <v>CABRAL MARTINEZ OSCAR MARTIN</v>
          </cell>
          <cell r="C305" t="str">
            <v>PEON</v>
          </cell>
          <cell r="D305">
            <v>337.98</v>
          </cell>
        </row>
        <row r="306">
          <cell r="A306">
            <v>4716</v>
          </cell>
          <cell r="B306" t="str">
            <v>CONTRERAS CHAVEZ MARIO ARMANDO</v>
          </cell>
          <cell r="C306" t="str">
            <v>PEON</v>
          </cell>
          <cell r="D306">
            <v>337.98</v>
          </cell>
        </row>
        <row r="307">
          <cell r="A307">
            <v>4717</v>
          </cell>
          <cell r="B307" t="str">
            <v>MORALES MUÑOZ OSWALDO RUBEN</v>
          </cell>
          <cell r="C307" t="str">
            <v>PINTOR</v>
          </cell>
          <cell r="D307">
            <v>608.38</v>
          </cell>
        </row>
        <row r="308">
          <cell r="A308">
            <v>4718</v>
          </cell>
          <cell r="B308" t="str">
            <v>MONTELONGO ESPINOZA HERIBERTO</v>
          </cell>
          <cell r="C308" t="str">
            <v>PEON</v>
          </cell>
          <cell r="D308">
            <v>337.98</v>
          </cell>
        </row>
        <row r="309">
          <cell r="A309">
            <v>4719</v>
          </cell>
          <cell r="B309" t="str">
            <v>VALLEJO MENDOZA JOSE LUIS</v>
          </cell>
          <cell r="C309" t="str">
            <v>PEON</v>
          </cell>
          <cell r="D309">
            <v>337.98</v>
          </cell>
        </row>
        <row r="310">
          <cell r="A310">
            <v>4720</v>
          </cell>
          <cell r="B310" t="str">
            <v>CRUZ CABRERA RICARDO</v>
          </cell>
          <cell r="C310" t="str">
            <v>PEON</v>
          </cell>
          <cell r="D310">
            <v>383.4</v>
          </cell>
        </row>
        <row r="311">
          <cell r="A311">
            <v>4721</v>
          </cell>
          <cell r="B311" t="str">
            <v>CLARO GONZALEZ JUAN MANUEL</v>
          </cell>
          <cell r="C311" t="str">
            <v>PEON</v>
          </cell>
          <cell r="D311">
            <v>337.98</v>
          </cell>
        </row>
        <row r="312">
          <cell r="A312">
            <v>4724</v>
          </cell>
          <cell r="B312" t="str">
            <v>TOSCANO HERNANDEZ SERGIO DAVID</v>
          </cell>
          <cell r="C312" t="str">
            <v>PEON</v>
          </cell>
          <cell r="D312">
            <v>337.98</v>
          </cell>
        </row>
        <row r="313">
          <cell r="A313">
            <v>4725</v>
          </cell>
          <cell r="B313" t="str">
            <v>FRAIDE BELTRAN JUAN JOSE</v>
          </cell>
          <cell r="C313" t="str">
            <v>PEON</v>
          </cell>
          <cell r="D313">
            <v>337.98</v>
          </cell>
        </row>
        <row r="314">
          <cell r="A314">
            <v>4726</v>
          </cell>
          <cell r="B314" t="str">
            <v>DELGADILLO GUZMAN JORGE DIEGO</v>
          </cell>
          <cell r="C314" t="str">
            <v>PEON</v>
          </cell>
          <cell r="D314">
            <v>337.98</v>
          </cell>
        </row>
        <row r="315">
          <cell r="A315">
            <v>4727</v>
          </cell>
          <cell r="B315" t="str">
            <v>GARCÍA PONCIANO JOEL ANDRÉS</v>
          </cell>
          <cell r="C315" t="str">
            <v>PEON</v>
          </cell>
          <cell r="D315">
            <v>337.98</v>
          </cell>
        </row>
        <row r="316">
          <cell r="A316">
            <v>4731</v>
          </cell>
          <cell r="B316" t="str">
            <v>MEZA TORRES CESAR SANTIAGO</v>
          </cell>
          <cell r="C316" t="str">
            <v>PEON</v>
          </cell>
          <cell r="D316">
            <v>337.98</v>
          </cell>
        </row>
        <row r="317">
          <cell r="A317">
            <v>4732</v>
          </cell>
          <cell r="B317" t="str">
            <v>GONZALEZ QUINTERO ROBERTO CARLOS</v>
          </cell>
          <cell r="C317" t="str">
            <v>PEON</v>
          </cell>
          <cell r="D317">
            <v>337.98</v>
          </cell>
        </row>
        <row r="318">
          <cell r="A318">
            <v>4733</v>
          </cell>
          <cell r="B318" t="str">
            <v>ROMERO LOPEZ JONATHAN ISRAEL</v>
          </cell>
          <cell r="C318" t="str">
            <v>PEON</v>
          </cell>
          <cell r="D318">
            <v>337.98</v>
          </cell>
        </row>
        <row r="319">
          <cell r="A319">
            <v>4736</v>
          </cell>
          <cell r="B319" t="str">
            <v>ZUÑIGA VELAZQUEZ DAGOBERTO</v>
          </cell>
          <cell r="C319" t="str">
            <v>PEON</v>
          </cell>
          <cell r="D319">
            <v>337.98</v>
          </cell>
        </row>
        <row r="320">
          <cell r="A320">
            <v>4737</v>
          </cell>
          <cell r="B320" t="str">
            <v>GUTIERREZ MENDOZA DIEGO ARTURO</v>
          </cell>
          <cell r="C320" t="str">
            <v>PEON</v>
          </cell>
          <cell r="D320">
            <v>337.98</v>
          </cell>
        </row>
        <row r="321">
          <cell r="A321">
            <v>4738</v>
          </cell>
          <cell r="B321" t="str">
            <v>SAUCEDO SALINAS SERGIO ALBERTO</v>
          </cell>
          <cell r="C321" t="str">
            <v>PEON</v>
          </cell>
          <cell r="D321">
            <v>337.98</v>
          </cell>
        </row>
        <row r="322">
          <cell r="A322">
            <v>4740</v>
          </cell>
          <cell r="B322" t="str">
            <v>RODRIGUEZ RAMOS EDGAR ISAAC</v>
          </cell>
          <cell r="C322" t="str">
            <v>PEON</v>
          </cell>
          <cell r="D322">
            <v>337.98</v>
          </cell>
        </row>
        <row r="323">
          <cell r="A323">
            <v>4742</v>
          </cell>
          <cell r="B323" t="str">
            <v>HERNANDEZ CURIEL SALVADOR</v>
          </cell>
          <cell r="C323" t="str">
            <v>PEON</v>
          </cell>
          <cell r="D323">
            <v>337.98</v>
          </cell>
        </row>
        <row r="324">
          <cell r="A324">
            <v>4748</v>
          </cell>
          <cell r="B324" t="str">
            <v>SALAZAR GARCÍA FLAVIO CÉSAR</v>
          </cell>
          <cell r="C324" t="str">
            <v>OF</v>
          </cell>
          <cell r="D324">
            <v>608.38</v>
          </cell>
        </row>
        <row r="325">
          <cell r="A325">
            <v>4749</v>
          </cell>
          <cell r="B325" t="str">
            <v>REYNA SANCHEZ JORGE</v>
          </cell>
          <cell r="C325" t="str">
            <v>OF</v>
          </cell>
          <cell r="D325">
            <v>608.38</v>
          </cell>
        </row>
        <row r="326">
          <cell r="A326">
            <v>4750</v>
          </cell>
          <cell r="B326" t="str">
            <v>DIAZ IBARRA JUAN JOSE</v>
          </cell>
          <cell r="C326" t="str">
            <v>PEON</v>
          </cell>
          <cell r="D326">
            <v>337.98</v>
          </cell>
        </row>
        <row r="327">
          <cell r="A327">
            <v>4751</v>
          </cell>
          <cell r="B327" t="str">
            <v>GARZA MAGALLANES DANIEL</v>
          </cell>
          <cell r="C327" t="str">
            <v>OF</v>
          </cell>
          <cell r="D327">
            <v>608.38</v>
          </cell>
        </row>
        <row r="328">
          <cell r="A328">
            <v>4752</v>
          </cell>
          <cell r="B328" t="str">
            <v>RODRIGUEZ MALTA JULIO CESAR</v>
          </cell>
          <cell r="C328" t="str">
            <v>PEON</v>
          </cell>
          <cell r="D328">
            <v>337.98</v>
          </cell>
        </row>
        <row r="329">
          <cell r="A329">
            <v>4753</v>
          </cell>
          <cell r="B329" t="str">
            <v>VAZQUEZ CISNEROS FRANCISCO</v>
          </cell>
          <cell r="C329" t="str">
            <v>PEON</v>
          </cell>
          <cell r="D329">
            <v>337.98</v>
          </cell>
        </row>
        <row r="330">
          <cell r="A330">
            <v>4754</v>
          </cell>
          <cell r="B330" t="str">
            <v>ALBA REYES JOSE DE JESUS</v>
          </cell>
          <cell r="C330" t="str">
            <v>OF</v>
          </cell>
          <cell r="D330">
            <v>608.38</v>
          </cell>
        </row>
        <row r="331">
          <cell r="A331">
            <v>4755</v>
          </cell>
          <cell r="B331" t="str">
            <v>FLORES ALBA JOSÉ DARIEL</v>
          </cell>
          <cell r="C331" t="str">
            <v>PEON</v>
          </cell>
          <cell r="D331">
            <v>337.98</v>
          </cell>
        </row>
        <row r="332">
          <cell r="A332">
            <v>4756</v>
          </cell>
          <cell r="B332" t="str">
            <v>ROBLES RUVALCABA MARTÍN ISMAEL</v>
          </cell>
          <cell r="C332" t="str">
            <v>PEON</v>
          </cell>
          <cell r="D332">
            <v>337.98</v>
          </cell>
        </row>
        <row r="333">
          <cell r="A333">
            <v>4757</v>
          </cell>
          <cell r="B333" t="str">
            <v>TELLO PÉREZ ARMANDO ABRAHAM</v>
          </cell>
          <cell r="C333" t="str">
            <v>PEON</v>
          </cell>
          <cell r="D333">
            <v>337.98</v>
          </cell>
        </row>
        <row r="334">
          <cell r="A334">
            <v>4759</v>
          </cell>
          <cell r="B334" t="str">
            <v>DELGADO AVIÑA JOSÉ GUADALUPE</v>
          </cell>
          <cell r="C334" t="str">
            <v>PEON</v>
          </cell>
          <cell r="D334">
            <v>337.98</v>
          </cell>
        </row>
        <row r="335">
          <cell r="A335">
            <v>4760</v>
          </cell>
          <cell r="B335" t="str">
            <v>AGUIRRE VELAZQUEZ JAVIER</v>
          </cell>
          <cell r="C335" t="str">
            <v>PEON</v>
          </cell>
          <cell r="D335">
            <v>337.98</v>
          </cell>
        </row>
        <row r="336">
          <cell r="A336">
            <v>4761</v>
          </cell>
          <cell r="B336" t="str">
            <v>LOPEZ RAMIREZ JORGE ALONSO</v>
          </cell>
          <cell r="C336" t="str">
            <v>PEON</v>
          </cell>
          <cell r="D336">
            <v>337.98</v>
          </cell>
        </row>
        <row r="337">
          <cell r="A337">
            <v>4762</v>
          </cell>
          <cell r="B337" t="str">
            <v>REYES BRAVO MIGUEL ANGEL</v>
          </cell>
          <cell r="C337" t="str">
            <v>PEON</v>
          </cell>
          <cell r="D337">
            <v>337.98</v>
          </cell>
        </row>
        <row r="338">
          <cell r="A338">
            <v>4763</v>
          </cell>
          <cell r="B338" t="str">
            <v>GARCÍA CASTRO JESÚS ANTONIO</v>
          </cell>
          <cell r="C338" t="str">
            <v>PEON</v>
          </cell>
          <cell r="D338">
            <v>337.98</v>
          </cell>
        </row>
        <row r="339">
          <cell r="A339">
            <v>4764</v>
          </cell>
          <cell r="B339" t="str">
            <v>HERNÁNDEZ GARCÍA LUIS ALFONSO</v>
          </cell>
          <cell r="C339" t="str">
            <v>PEON</v>
          </cell>
          <cell r="D339">
            <v>337.98</v>
          </cell>
        </row>
        <row r="340">
          <cell r="A340">
            <v>4765</v>
          </cell>
          <cell r="B340" t="str">
            <v>GARIBAY RUELAS JOSÉ MANUEL</v>
          </cell>
          <cell r="C340" t="str">
            <v>PEON</v>
          </cell>
          <cell r="D340">
            <v>337.98</v>
          </cell>
        </row>
        <row r="341">
          <cell r="A341">
            <v>4767</v>
          </cell>
          <cell r="B341" t="str">
            <v>PAZ VILLANUEVA BRANDON ÓMAR</v>
          </cell>
          <cell r="C341" t="str">
            <v>PEON</v>
          </cell>
          <cell r="D341">
            <v>337.98</v>
          </cell>
        </row>
        <row r="342">
          <cell r="A342">
            <v>4768</v>
          </cell>
          <cell r="B342" t="str">
            <v>RAMOS RODRIGUEZ SAUL ALEJANDRO</v>
          </cell>
          <cell r="C342" t="str">
            <v>PEON</v>
          </cell>
          <cell r="D342">
            <v>337.98</v>
          </cell>
        </row>
        <row r="343">
          <cell r="A343">
            <v>4769</v>
          </cell>
          <cell r="B343" t="str">
            <v>GUERRERO LÓPEZ LEONARDO DANIEL</v>
          </cell>
          <cell r="C343" t="str">
            <v>PEON</v>
          </cell>
          <cell r="D343">
            <v>337.98</v>
          </cell>
        </row>
        <row r="344">
          <cell r="A344">
            <v>4770</v>
          </cell>
          <cell r="B344" t="str">
            <v>BIZARRO XILONZOCHITL MAURICIO JORDÁN</v>
          </cell>
          <cell r="C344" t="str">
            <v>PEON</v>
          </cell>
          <cell r="D344">
            <v>337.98</v>
          </cell>
        </row>
        <row r="345">
          <cell r="A345">
            <v>4771</v>
          </cell>
          <cell r="B345" t="str">
            <v>TORRES BAÑUELOS DIEGO SALATIEL</v>
          </cell>
          <cell r="C345" t="str">
            <v>PEON</v>
          </cell>
          <cell r="D345">
            <v>337.98</v>
          </cell>
        </row>
        <row r="346">
          <cell r="A346">
            <v>4772</v>
          </cell>
          <cell r="B346" t="str">
            <v>MEDINA ALVARADO SERGIO IVÁN</v>
          </cell>
          <cell r="C346" t="str">
            <v>PEON</v>
          </cell>
          <cell r="D346">
            <v>337.98</v>
          </cell>
        </row>
        <row r="347">
          <cell r="A347">
            <v>4773</v>
          </cell>
          <cell r="B347" t="str">
            <v>MEZA NAVARRO ALEXIS RAMIRO</v>
          </cell>
          <cell r="C347" t="str">
            <v>PEON</v>
          </cell>
          <cell r="D347">
            <v>337.98</v>
          </cell>
        </row>
        <row r="348">
          <cell r="A348">
            <v>4774</v>
          </cell>
          <cell r="B348" t="str">
            <v>SALVADOR LEÓN JOSÉ ALFREDO</v>
          </cell>
          <cell r="C348" t="str">
            <v>PEON</v>
          </cell>
          <cell r="D348">
            <v>337.98</v>
          </cell>
        </row>
        <row r="349">
          <cell r="A349">
            <v>4775</v>
          </cell>
          <cell r="B349" t="str">
            <v>MORA JIMÉNEZ JOSUÉ</v>
          </cell>
          <cell r="C349" t="str">
            <v>PEON</v>
          </cell>
          <cell r="D349">
            <v>337.98</v>
          </cell>
        </row>
        <row r="350">
          <cell r="A350">
            <v>4776</v>
          </cell>
          <cell r="B350" t="str">
            <v>PÉREZ MARES JONATAN GUSTAVO</v>
          </cell>
          <cell r="C350" t="str">
            <v>PEON</v>
          </cell>
          <cell r="D350">
            <v>337.98</v>
          </cell>
        </row>
        <row r="351">
          <cell r="A351">
            <v>4777</v>
          </cell>
          <cell r="B351" t="str">
            <v>MEJÍA NAVARRO EMMANUEL</v>
          </cell>
          <cell r="C351" t="str">
            <v>PEON</v>
          </cell>
          <cell r="D351">
            <v>337.98</v>
          </cell>
        </row>
        <row r="352">
          <cell r="A352">
            <v>4778</v>
          </cell>
          <cell r="B352" t="str">
            <v>RODRÍGUEZ AYALA FERNANDO DE JESÚS</v>
          </cell>
          <cell r="C352" t="str">
            <v>PEON</v>
          </cell>
          <cell r="D352">
            <v>337.98</v>
          </cell>
        </row>
        <row r="353">
          <cell r="A353">
            <v>4779</v>
          </cell>
          <cell r="B353" t="str">
            <v>HERNÁNDEZ HUERTA LUIS ÁNGEL</v>
          </cell>
          <cell r="C353" t="str">
            <v>PEON</v>
          </cell>
          <cell r="D353">
            <v>337.98</v>
          </cell>
        </row>
        <row r="354">
          <cell r="A354">
            <v>4780</v>
          </cell>
          <cell r="B354" t="str">
            <v>VÁZQUEZ MARTÍNEZ CRISTOFER DE JESÚS</v>
          </cell>
          <cell r="C354" t="str">
            <v>PEON</v>
          </cell>
          <cell r="D354">
            <v>337.98</v>
          </cell>
        </row>
        <row r="355">
          <cell r="A355">
            <v>4781</v>
          </cell>
          <cell r="B355" t="str">
            <v>VEGA AGUIRRE ABRAHAM</v>
          </cell>
          <cell r="C355" t="str">
            <v>PEON</v>
          </cell>
          <cell r="D355">
            <v>337.98</v>
          </cell>
        </row>
        <row r="356">
          <cell r="A356">
            <v>4782</v>
          </cell>
          <cell r="B356" t="str">
            <v>RAMÍREZ VILLA FRANCISCO JAVIER</v>
          </cell>
          <cell r="C356" t="str">
            <v>PEON</v>
          </cell>
          <cell r="D356">
            <v>337.98</v>
          </cell>
        </row>
        <row r="357">
          <cell r="A357">
            <v>4783</v>
          </cell>
          <cell r="B357" t="str">
            <v>GONZÁLEZ CAMPOS ÓSCAR IVÁN</v>
          </cell>
          <cell r="C357" t="str">
            <v>PEON</v>
          </cell>
          <cell r="D357">
            <v>337.98</v>
          </cell>
        </row>
        <row r="358">
          <cell r="A358">
            <v>4784</v>
          </cell>
          <cell r="B358" t="str">
            <v>RODRÍGUEZ HERNÁNDEZ CARLOS OMAR</v>
          </cell>
          <cell r="C358" t="str">
            <v>PEON</v>
          </cell>
          <cell r="D358">
            <v>337.98</v>
          </cell>
        </row>
        <row r="359">
          <cell r="A359">
            <v>4785</v>
          </cell>
          <cell r="B359" t="str">
            <v>GARCÍA GARCÍA ELVIS RAUL</v>
          </cell>
          <cell r="C359" t="str">
            <v>PEON</v>
          </cell>
          <cell r="D359">
            <v>337.98</v>
          </cell>
        </row>
        <row r="360">
          <cell r="A360">
            <v>4787</v>
          </cell>
          <cell r="B360" t="str">
            <v>ESPINOZA LÓPEZ JONATHAN ARATH</v>
          </cell>
          <cell r="C360" t="str">
            <v>PEON</v>
          </cell>
          <cell r="D360">
            <v>337.98</v>
          </cell>
        </row>
        <row r="361">
          <cell r="A361">
            <v>4788</v>
          </cell>
          <cell r="B361" t="str">
            <v>SAUCEDO FLORES LUIS ENRIQUE</v>
          </cell>
          <cell r="C361" t="str">
            <v>OF</v>
          </cell>
          <cell r="D361">
            <v>608.38</v>
          </cell>
        </row>
        <row r="362">
          <cell r="A362">
            <v>4789</v>
          </cell>
          <cell r="B362" t="str">
            <v>MEJÍA ARÍAS HUGO ALONSO</v>
          </cell>
          <cell r="C362" t="str">
            <v>PEON</v>
          </cell>
          <cell r="D362">
            <v>337.98</v>
          </cell>
        </row>
        <row r="363">
          <cell r="A363">
            <v>4790</v>
          </cell>
          <cell r="B363" t="str">
            <v>CASTILLO OCHOA JESÚS ALONSO</v>
          </cell>
          <cell r="C363" t="str">
            <v>PEON</v>
          </cell>
          <cell r="D363">
            <v>337.98</v>
          </cell>
        </row>
        <row r="364">
          <cell r="A364">
            <v>4791</v>
          </cell>
          <cell r="B364" t="str">
            <v>MORA CUEVAS JUAN MANUEL</v>
          </cell>
          <cell r="C364" t="str">
            <v>PEON</v>
          </cell>
          <cell r="D364">
            <v>337.98</v>
          </cell>
        </row>
        <row r="365">
          <cell r="A365">
            <v>4792</v>
          </cell>
          <cell r="B365" t="str">
            <v>RUIZ RICO FRANCISCO JAVIER</v>
          </cell>
          <cell r="C365" t="str">
            <v>PEON</v>
          </cell>
          <cell r="D365">
            <v>337.98</v>
          </cell>
        </row>
        <row r="366">
          <cell r="A366">
            <v>4793</v>
          </cell>
          <cell r="B366" t="str">
            <v>ROBLES GODÍNEZ LUIS JAVIER</v>
          </cell>
          <cell r="C366" t="str">
            <v>PEON</v>
          </cell>
          <cell r="D366">
            <v>337.98</v>
          </cell>
        </row>
        <row r="367">
          <cell r="A367">
            <v>4794</v>
          </cell>
          <cell r="B367" t="str">
            <v>CARBAJAL GALLARDO FRANCISCO</v>
          </cell>
          <cell r="C367" t="str">
            <v>PEON</v>
          </cell>
          <cell r="D367">
            <v>337.98</v>
          </cell>
        </row>
        <row r="368">
          <cell r="A368">
            <v>4795</v>
          </cell>
          <cell r="B368" t="str">
            <v>MORA RAMÍREZ CÉSAR ALEJANDRO</v>
          </cell>
          <cell r="C368" t="str">
            <v>PEON</v>
          </cell>
          <cell r="D368">
            <v>337.98</v>
          </cell>
        </row>
        <row r="369">
          <cell r="A369">
            <v>4796</v>
          </cell>
          <cell r="B369" t="str">
            <v>PRECIADO PARRA HÉCTOR</v>
          </cell>
          <cell r="C369" t="str">
            <v>PEON</v>
          </cell>
          <cell r="D369">
            <v>337.98</v>
          </cell>
        </row>
        <row r="370">
          <cell r="A370">
            <v>4797</v>
          </cell>
          <cell r="B370" t="str">
            <v>ALCALÁ BERNAL JONATHAN OMAR</v>
          </cell>
          <cell r="C370" t="str">
            <v>PEON</v>
          </cell>
          <cell r="D370">
            <v>337.98</v>
          </cell>
        </row>
        <row r="371">
          <cell r="A371">
            <v>4800</v>
          </cell>
          <cell r="B371" t="str">
            <v>LÓPEZ MATA KEVIN EDUARDO</v>
          </cell>
          <cell r="C371" t="str">
            <v>PEON</v>
          </cell>
          <cell r="D371">
            <v>192.77</v>
          </cell>
        </row>
        <row r="372">
          <cell r="A372">
            <v>4801</v>
          </cell>
          <cell r="B372" t="str">
            <v>ZAMORA MARTÍNEZ MIGUEL IGNACIO</v>
          </cell>
          <cell r="C372" t="str">
            <v>PEON</v>
          </cell>
          <cell r="D372">
            <v>337.98</v>
          </cell>
        </row>
        <row r="373">
          <cell r="A373">
            <v>4802</v>
          </cell>
          <cell r="B373" t="str">
            <v>VILLA JAVIER</v>
          </cell>
          <cell r="C373" t="str">
            <v>PEON</v>
          </cell>
          <cell r="D373">
            <v>337.98</v>
          </cell>
        </row>
        <row r="374">
          <cell r="A374">
            <v>4803</v>
          </cell>
          <cell r="B374" t="str">
            <v>GÓMEZ GARCÍA JUAN PABLO</v>
          </cell>
          <cell r="C374" t="str">
            <v>PEON</v>
          </cell>
          <cell r="D374">
            <v>337.98</v>
          </cell>
        </row>
        <row r="375">
          <cell r="A375">
            <v>4804</v>
          </cell>
          <cell r="B375" t="str">
            <v>SAUCEDO FLORES JUAN MANUEL</v>
          </cell>
          <cell r="C375" t="str">
            <v>OF</v>
          </cell>
          <cell r="D375">
            <v>608.38</v>
          </cell>
        </row>
        <row r="376">
          <cell r="A376">
            <v>4805</v>
          </cell>
          <cell r="B376" t="str">
            <v>LOMELÍ MADRIGAL MARCO ANTONIO</v>
          </cell>
          <cell r="C376" t="str">
            <v>PEON</v>
          </cell>
          <cell r="D376">
            <v>337.98</v>
          </cell>
        </row>
        <row r="377">
          <cell r="A377">
            <v>4806</v>
          </cell>
          <cell r="B377" t="str">
            <v>CAMPOS LÓPEZ JESÚS</v>
          </cell>
          <cell r="C377" t="str">
            <v>PEON</v>
          </cell>
          <cell r="D377">
            <v>337.98</v>
          </cell>
        </row>
        <row r="378">
          <cell r="A378">
            <v>4807</v>
          </cell>
          <cell r="B378" t="str">
            <v>RAMÍREZ ROSALES EMILIO</v>
          </cell>
          <cell r="C378" t="str">
            <v>PEON</v>
          </cell>
          <cell r="D378">
            <v>337.98</v>
          </cell>
        </row>
        <row r="379">
          <cell r="A379">
            <v>4808</v>
          </cell>
          <cell r="B379" t="str">
            <v>FLORES MORENO HÉCTOR MANUEL</v>
          </cell>
          <cell r="C379" t="str">
            <v>PEON</v>
          </cell>
          <cell r="D379">
            <v>337.98</v>
          </cell>
        </row>
        <row r="380">
          <cell r="A380">
            <v>4809</v>
          </cell>
          <cell r="B380" t="str">
            <v>SÁNCHEZ MALDONADO JOSÉ LUIS</v>
          </cell>
          <cell r="C380" t="str">
            <v>PEON</v>
          </cell>
          <cell r="D380">
            <v>337.98</v>
          </cell>
        </row>
        <row r="381">
          <cell r="A381">
            <v>4811</v>
          </cell>
          <cell r="B381" t="str">
            <v>RUVALCABA HERNÁNDEZ JESÚS</v>
          </cell>
          <cell r="C381" t="str">
            <v>OF</v>
          </cell>
          <cell r="D381">
            <v>608.38</v>
          </cell>
        </row>
        <row r="382">
          <cell r="A382">
            <v>4812</v>
          </cell>
          <cell r="B382" t="str">
            <v>DÁVALOS FRAGA ÓSCAR ALEJANDRO</v>
          </cell>
          <cell r="C382" t="str">
            <v>OF</v>
          </cell>
          <cell r="D382">
            <v>608.38</v>
          </cell>
        </row>
        <row r="383">
          <cell r="A383">
            <v>4813</v>
          </cell>
          <cell r="B383" t="str">
            <v>DÁVALOS ÁVILA JOSÉ ÁNGEL</v>
          </cell>
          <cell r="C383" t="str">
            <v>OF</v>
          </cell>
          <cell r="D383">
            <v>608.38</v>
          </cell>
        </row>
        <row r="384">
          <cell r="A384">
            <v>4814</v>
          </cell>
          <cell r="B384" t="str">
            <v>CUESTAS RAMÍREZ JOSÉ JESÚS</v>
          </cell>
          <cell r="C384" t="str">
            <v>OF</v>
          </cell>
          <cell r="D384">
            <v>608.38</v>
          </cell>
        </row>
        <row r="385">
          <cell r="A385">
            <v>4815</v>
          </cell>
          <cell r="B385" t="str">
            <v>NÚÑEZ MUÑOZ ESTIVEN RAUDEL</v>
          </cell>
          <cell r="C385" t="str">
            <v>PEON</v>
          </cell>
          <cell r="D385">
            <v>337.98</v>
          </cell>
        </row>
        <row r="386">
          <cell r="A386">
            <v>4816</v>
          </cell>
          <cell r="B386" t="str">
            <v>XILONZÓCHITL SALDAÑA EDUARDO FRANCISCO</v>
          </cell>
          <cell r="C386" t="str">
            <v>PEON</v>
          </cell>
          <cell r="D386">
            <v>337.98</v>
          </cell>
        </row>
        <row r="387">
          <cell r="A387">
            <v>4817</v>
          </cell>
          <cell r="B387" t="str">
            <v>MENDOZA OCAMPO LUIS MANUEL</v>
          </cell>
          <cell r="C387" t="str">
            <v>JARD</v>
          </cell>
          <cell r="D387">
            <v>550</v>
          </cell>
        </row>
        <row r="388">
          <cell r="A388">
            <v>4818</v>
          </cell>
          <cell r="B388" t="str">
            <v>COVARRUBIAS ROMERO ARNULFO ULISES</v>
          </cell>
          <cell r="C388" t="str">
            <v>PEON</v>
          </cell>
          <cell r="D388">
            <v>337.98</v>
          </cell>
        </row>
        <row r="389">
          <cell r="A389">
            <v>4819</v>
          </cell>
          <cell r="B389" t="str">
            <v>SEGURA DÁVALOS CARLOS ALBERTO</v>
          </cell>
          <cell r="C389" t="str">
            <v>PEON</v>
          </cell>
          <cell r="D389">
            <v>337.98</v>
          </cell>
        </row>
        <row r="390">
          <cell r="A390">
            <v>4820</v>
          </cell>
          <cell r="B390" t="str">
            <v>RODRÍGUEZ ROJAS ÓSCAR IVÁN</v>
          </cell>
          <cell r="C390" t="str">
            <v>PEON</v>
          </cell>
          <cell r="D390">
            <v>337.98</v>
          </cell>
        </row>
        <row r="391">
          <cell r="A391">
            <v>4821</v>
          </cell>
          <cell r="B391" t="str">
            <v>OROPEZA BRIONES DAVID ISRAEL</v>
          </cell>
          <cell r="C391" t="str">
            <v>PEON</v>
          </cell>
          <cell r="D391">
            <v>337.98</v>
          </cell>
        </row>
        <row r="392">
          <cell r="A392">
            <v>4823</v>
          </cell>
          <cell r="B392" t="str">
            <v>BERNAL OCEGUEDA ABRAHAM</v>
          </cell>
          <cell r="C392" t="str">
            <v>TOPOGRAFIA</v>
          </cell>
          <cell r="D392">
            <v>745.58</v>
          </cell>
        </row>
        <row r="393">
          <cell r="A393">
            <v>4824</v>
          </cell>
          <cell r="B393" t="str">
            <v>RAUDALES RODRÍGUEZ CRISTIAN BERNARDO</v>
          </cell>
          <cell r="C393" t="str">
            <v>PEON</v>
          </cell>
          <cell r="D393">
            <v>337.98</v>
          </cell>
        </row>
        <row r="394">
          <cell r="A394">
            <v>4825</v>
          </cell>
          <cell r="B394" t="str">
            <v>BELTRÁN LÓPEZ HÉCTOR</v>
          </cell>
          <cell r="C394" t="str">
            <v>PEON</v>
          </cell>
          <cell r="D394">
            <v>337.98</v>
          </cell>
        </row>
        <row r="395">
          <cell r="A395">
            <v>4826</v>
          </cell>
          <cell r="B395" t="str">
            <v>ROMÁN VÁZQUEZ DAVID EMMANUEL</v>
          </cell>
          <cell r="C395" t="str">
            <v>OF</v>
          </cell>
          <cell r="D395">
            <v>608.38</v>
          </cell>
        </row>
        <row r="396">
          <cell r="A396">
            <v>4827</v>
          </cell>
          <cell r="B396" t="str">
            <v>SÁNCHEZ DÍAZ ALEJANDRO</v>
          </cell>
          <cell r="C396" t="str">
            <v>OF</v>
          </cell>
          <cell r="D396">
            <v>608.38</v>
          </cell>
        </row>
        <row r="397">
          <cell r="A397">
            <v>4828</v>
          </cell>
          <cell r="B397" t="str">
            <v>ENRÍQUEZ CARRETERO ÁNGEL EDUARDO</v>
          </cell>
          <cell r="C397" t="str">
            <v>PEON</v>
          </cell>
          <cell r="D397">
            <v>337.98</v>
          </cell>
        </row>
        <row r="398">
          <cell r="A398">
            <v>4829</v>
          </cell>
          <cell r="B398" t="str">
            <v>HURTADO REAL DARIÉN JEAN CARLO</v>
          </cell>
          <cell r="C398" t="str">
            <v>PEON</v>
          </cell>
          <cell r="D398">
            <v>337.98</v>
          </cell>
        </row>
        <row r="399">
          <cell r="A399">
            <v>4830</v>
          </cell>
          <cell r="B399" t="str">
            <v>ENRÍQUEZ DE LOS SANTOS SERGIO</v>
          </cell>
          <cell r="C399" t="str">
            <v>OF</v>
          </cell>
          <cell r="D399">
            <v>608.38</v>
          </cell>
        </row>
        <row r="400">
          <cell r="A400">
            <v>4831</v>
          </cell>
          <cell r="B400" t="str">
            <v>RODRÍGUEZ BRIONES JUAN LUIS</v>
          </cell>
          <cell r="C400" t="str">
            <v>OF</v>
          </cell>
          <cell r="D400">
            <v>608.38</v>
          </cell>
        </row>
        <row r="401">
          <cell r="A401">
            <v>4832</v>
          </cell>
          <cell r="B401" t="str">
            <v>FLORES GARCÍA SERGIO</v>
          </cell>
          <cell r="C401" t="str">
            <v>OF</v>
          </cell>
          <cell r="D401">
            <v>608.38</v>
          </cell>
        </row>
        <row r="402">
          <cell r="A402">
            <v>4833</v>
          </cell>
          <cell r="B402" t="str">
            <v>ELVIRA DE LOS SANTOS JUAN FELIPE</v>
          </cell>
          <cell r="C402" t="str">
            <v>OF</v>
          </cell>
          <cell r="D402">
            <v>608.38</v>
          </cell>
        </row>
        <row r="403">
          <cell r="A403">
            <v>4836</v>
          </cell>
          <cell r="B403" t="str">
            <v>DE LA TORRE ROSAS ÓSCAR EDUARDO</v>
          </cell>
          <cell r="C403" t="str">
            <v>PEON</v>
          </cell>
          <cell r="D403">
            <v>337.98</v>
          </cell>
        </row>
        <row r="404">
          <cell r="A404">
            <v>4837</v>
          </cell>
          <cell r="B404" t="str">
            <v>ECHEVERRÍA MENDOZA JESÚS OSWALDO</v>
          </cell>
          <cell r="C404" t="str">
            <v>PEON</v>
          </cell>
          <cell r="D404">
            <v>337.98</v>
          </cell>
        </row>
        <row r="405">
          <cell r="A405">
            <v>4838</v>
          </cell>
          <cell r="B405" t="str">
            <v>TRINIDAD TRINIDAD JOSÉ OMAR</v>
          </cell>
          <cell r="C405" t="str">
            <v>OF</v>
          </cell>
          <cell r="D405">
            <v>608.38</v>
          </cell>
        </row>
        <row r="406">
          <cell r="A406">
            <v>4839</v>
          </cell>
          <cell r="B406" t="str">
            <v>GARCÍA HERNÁNDEZ LUIS FERNANDO</v>
          </cell>
          <cell r="C406" t="str">
            <v>PEON</v>
          </cell>
          <cell r="D406">
            <v>337.98</v>
          </cell>
        </row>
        <row r="407">
          <cell r="A407">
            <v>4840</v>
          </cell>
          <cell r="B407" t="str">
            <v>VÁZQUEZ HERNÁNDEZ FRANCISCO SERVANDO</v>
          </cell>
          <cell r="C407" t="str">
            <v>PEON</v>
          </cell>
          <cell r="D407">
            <v>337.98</v>
          </cell>
        </row>
        <row r="408">
          <cell r="A408">
            <v>4841</v>
          </cell>
          <cell r="B408" t="str">
            <v>LÓPEZ HERNÁNDEZ GABRIEL</v>
          </cell>
          <cell r="C408" t="str">
            <v>OF</v>
          </cell>
          <cell r="D408">
            <v>608.38</v>
          </cell>
        </row>
        <row r="409">
          <cell r="A409">
            <v>4842</v>
          </cell>
          <cell r="B409" t="str">
            <v>SOTO SANDOVAL JAIME</v>
          </cell>
          <cell r="C409" t="str">
            <v>OF</v>
          </cell>
          <cell r="D409">
            <v>608.38</v>
          </cell>
        </row>
        <row r="410">
          <cell r="A410">
            <v>4843</v>
          </cell>
          <cell r="B410" t="str">
            <v>VELAZCO SOTO JOSÉ ALFREDO</v>
          </cell>
          <cell r="C410" t="str">
            <v>PEON</v>
          </cell>
          <cell r="D410">
            <v>337.98</v>
          </cell>
        </row>
        <row r="411">
          <cell r="A411">
            <v>4844</v>
          </cell>
          <cell r="B411" t="str">
            <v>HERNÁNDEZ GARCÍA BRANDON MISAEL</v>
          </cell>
          <cell r="C411" t="str">
            <v>PEON</v>
          </cell>
          <cell r="D411">
            <v>337.98</v>
          </cell>
        </row>
        <row r="412">
          <cell r="A412">
            <v>4845</v>
          </cell>
          <cell r="B412" t="str">
            <v>TRINIDAD RODRÍGUEZ JULIO CÉSAR</v>
          </cell>
          <cell r="C412" t="str">
            <v>OF</v>
          </cell>
          <cell r="D412">
            <v>608.38</v>
          </cell>
        </row>
        <row r="413">
          <cell r="A413">
            <v>4846</v>
          </cell>
          <cell r="B413" t="str">
            <v>DE LOS SANTOS GENTIL LUIS ALEJANDRO</v>
          </cell>
          <cell r="C413" t="str">
            <v>PEON</v>
          </cell>
          <cell r="D413">
            <v>337.98</v>
          </cell>
        </row>
        <row r="414">
          <cell r="A414">
            <v>4847</v>
          </cell>
          <cell r="B414" t="str">
            <v>OCHOA AGUILAR JOSÉ LUIS</v>
          </cell>
          <cell r="C414" t="str">
            <v>PEON</v>
          </cell>
          <cell r="D414">
            <v>337.98</v>
          </cell>
        </row>
        <row r="415">
          <cell r="A415">
            <v>4848</v>
          </cell>
          <cell r="B415" t="str">
            <v>CERVANTES GARCÍA JUAN DANIEL</v>
          </cell>
          <cell r="C415" t="str">
            <v>PEON</v>
          </cell>
          <cell r="D415">
            <v>337.98</v>
          </cell>
        </row>
        <row r="416">
          <cell r="A416">
            <v>4850</v>
          </cell>
          <cell r="B416" t="str">
            <v>SUÁREZ TOVAR ÓSCAR IVÁN</v>
          </cell>
          <cell r="C416" t="str">
            <v>PEON</v>
          </cell>
          <cell r="D416">
            <v>383.4</v>
          </cell>
        </row>
        <row r="417">
          <cell r="A417">
            <v>4851</v>
          </cell>
          <cell r="B417" t="str">
            <v>XILONZOCHITL AGUILAR SERGIO ADRIÁN</v>
          </cell>
          <cell r="C417" t="str">
            <v>OF</v>
          </cell>
          <cell r="D417">
            <v>608.38</v>
          </cell>
        </row>
        <row r="418">
          <cell r="A418">
            <v>4852</v>
          </cell>
          <cell r="B418" t="str">
            <v>BÁLBER MARTÍNEZ JORGE HUMBERTO</v>
          </cell>
          <cell r="C418" t="str">
            <v>PEON</v>
          </cell>
          <cell r="D418">
            <v>383.4</v>
          </cell>
        </row>
        <row r="419">
          <cell r="A419">
            <v>4853</v>
          </cell>
          <cell r="B419" t="str">
            <v>PAREDES SÁNCHEZ IVÁN</v>
          </cell>
          <cell r="C419" t="str">
            <v>PEON</v>
          </cell>
          <cell r="D419">
            <v>337.98</v>
          </cell>
        </row>
        <row r="420">
          <cell r="A420">
            <v>4854</v>
          </cell>
          <cell r="B420" t="str">
            <v>CERVANTES GARCÍA MIGUEL ÁNGEL</v>
          </cell>
          <cell r="C420" t="str">
            <v>PEON</v>
          </cell>
          <cell r="D420">
            <v>337.98</v>
          </cell>
        </row>
        <row r="421">
          <cell r="A421">
            <v>4855</v>
          </cell>
          <cell r="B421" t="str">
            <v>GUTIÉRREZ CONTRERAS ERIK EDOARDO</v>
          </cell>
          <cell r="C421" t="str">
            <v>PEON</v>
          </cell>
          <cell r="D421">
            <v>337.98</v>
          </cell>
        </row>
        <row r="422">
          <cell r="A422">
            <v>4856</v>
          </cell>
          <cell r="B422" t="str">
            <v>XILONZOCHITL MORA JESÚS CARLOS</v>
          </cell>
          <cell r="C422" t="str">
            <v>PEON</v>
          </cell>
          <cell r="D422">
            <v>337.98</v>
          </cell>
        </row>
        <row r="423">
          <cell r="A423">
            <v>4857</v>
          </cell>
          <cell r="B423" t="str">
            <v>GUTIÉRREZ FLORES EMMANUEL</v>
          </cell>
          <cell r="C423" t="str">
            <v>PEON</v>
          </cell>
          <cell r="D423">
            <v>383.4</v>
          </cell>
        </row>
        <row r="424">
          <cell r="A424">
            <v>4858</v>
          </cell>
          <cell r="B424" t="str">
            <v>TEJEDA SALCIDO JUAN ANTONIO</v>
          </cell>
          <cell r="C424" t="str">
            <v>PEON</v>
          </cell>
          <cell r="D424">
            <v>383.4</v>
          </cell>
        </row>
        <row r="425">
          <cell r="A425">
            <v>4860</v>
          </cell>
          <cell r="B425" t="str">
            <v>GUARDADO REYES MARTÍN</v>
          </cell>
          <cell r="C425" t="str">
            <v>PEON</v>
          </cell>
          <cell r="D425">
            <v>337.98</v>
          </cell>
        </row>
        <row r="426">
          <cell r="A426">
            <v>4861</v>
          </cell>
          <cell r="B426" t="str">
            <v>GÓMEZ SIMÓN CÉSAR EFRAÍN</v>
          </cell>
          <cell r="C426" t="str">
            <v>OF</v>
          </cell>
          <cell r="D426">
            <v>608.38</v>
          </cell>
        </row>
        <row r="427">
          <cell r="A427">
            <v>4862</v>
          </cell>
          <cell r="B427" t="str">
            <v>GUILLÉN ROMERO EMMANUEL JOSUÉ</v>
          </cell>
          <cell r="C427" t="str">
            <v>OF</v>
          </cell>
          <cell r="D427">
            <v>608.38</v>
          </cell>
        </row>
        <row r="428">
          <cell r="A428">
            <v>4863</v>
          </cell>
          <cell r="B428" t="str">
            <v>RODRÍGUEZ RODRÍGUEZ JUAN LUIS</v>
          </cell>
          <cell r="C428" t="str">
            <v>OF</v>
          </cell>
          <cell r="D428">
            <v>608.38</v>
          </cell>
        </row>
        <row r="429">
          <cell r="A429">
            <v>4864</v>
          </cell>
          <cell r="B429" t="str">
            <v>ALDANA SÁNCHEZ JAIME RODOLFO</v>
          </cell>
          <cell r="C429" t="str">
            <v>PEON</v>
          </cell>
          <cell r="D429">
            <v>337.98</v>
          </cell>
        </row>
        <row r="430">
          <cell r="A430">
            <v>4865</v>
          </cell>
          <cell r="B430" t="str">
            <v>CERVANTES MEDINA JOSÉ FRANCISCO</v>
          </cell>
          <cell r="C430" t="str">
            <v>PEON</v>
          </cell>
          <cell r="D430">
            <v>355</v>
          </cell>
        </row>
        <row r="431">
          <cell r="A431">
            <v>4867</v>
          </cell>
          <cell r="B431" t="str">
            <v>GARCÍA GANCEDA PABLO YOSIMAR</v>
          </cell>
          <cell r="C431" t="str">
            <v>PEON</v>
          </cell>
          <cell r="D431">
            <v>337.98</v>
          </cell>
        </row>
        <row r="432">
          <cell r="A432">
            <v>4868</v>
          </cell>
          <cell r="B432" t="str">
            <v>ÁLVAREZ VALENCIA RAMÓN</v>
          </cell>
          <cell r="C432" t="str">
            <v>PEON</v>
          </cell>
          <cell r="D432">
            <v>337.98</v>
          </cell>
        </row>
        <row r="433">
          <cell r="A433">
            <v>4869</v>
          </cell>
          <cell r="B433" t="str">
            <v>ÁLVAREZ JUÁREZ RAFAEL</v>
          </cell>
          <cell r="C433" t="str">
            <v>OF</v>
          </cell>
          <cell r="D433">
            <v>800</v>
          </cell>
        </row>
        <row r="434">
          <cell r="A434">
            <v>4870</v>
          </cell>
          <cell r="B434" t="str">
            <v>SOLÓRZANO MÉNDEZ FRANCISCO</v>
          </cell>
          <cell r="C434" t="str">
            <v>PEON</v>
          </cell>
          <cell r="D434">
            <v>337.98</v>
          </cell>
        </row>
        <row r="435">
          <cell r="A435">
            <v>4871</v>
          </cell>
          <cell r="B435" t="str">
            <v>MEDINA JIMÉNEZ J. SANTOS</v>
          </cell>
          <cell r="C435" t="str">
            <v>PEON</v>
          </cell>
          <cell r="D435">
            <v>337.98</v>
          </cell>
        </row>
        <row r="436">
          <cell r="A436">
            <v>4872</v>
          </cell>
          <cell r="B436" t="str">
            <v>ARTEAGA CORTÉS NOÉ JULIÁN</v>
          </cell>
          <cell r="C436" t="str">
            <v>PEON</v>
          </cell>
          <cell r="D436">
            <v>337.98</v>
          </cell>
        </row>
        <row r="437">
          <cell r="A437">
            <v>4873</v>
          </cell>
          <cell r="B437" t="str">
            <v>REYES BARRAGÁN MANUEL</v>
          </cell>
          <cell r="C437" t="str">
            <v>PEON</v>
          </cell>
          <cell r="D437">
            <v>337.98</v>
          </cell>
        </row>
        <row r="438">
          <cell r="A438">
            <v>4874</v>
          </cell>
          <cell r="B438" t="str">
            <v>RAMOS GONZÁLEZ HUMBERTO</v>
          </cell>
          <cell r="C438" t="str">
            <v>OF</v>
          </cell>
          <cell r="D438">
            <v>800</v>
          </cell>
        </row>
        <row r="439">
          <cell r="A439">
            <v>4875</v>
          </cell>
          <cell r="B439" t="str">
            <v>MARÍN TINOCO ÉDGAR</v>
          </cell>
          <cell r="C439" t="str">
            <v>PEON</v>
          </cell>
          <cell r="D439">
            <v>337.98</v>
          </cell>
        </row>
        <row r="440">
          <cell r="A440">
            <v>4876</v>
          </cell>
          <cell r="B440" t="str">
            <v>RAMOS GONZÁLEZ ÁNGEL GABRIEL</v>
          </cell>
          <cell r="C440" t="str">
            <v>PEON</v>
          </cell>
          <cell r="D440">
            <v>337.98</v>
          </cell>
        </row>
        <row r="441">
          <cell r="A441">
            <v>4877</v>
          </cell>
          <cell r="B441" t="str">
            <v>RUIZ MELCHOR JUAN ANTONIO</v>
          </cell>
          <cell r="C441" t="str">
            <v>OF</v>
          </cell>
          <cell r="D441">
            <v>800</v>
          </cell>
        </row>
        <row r="442">
          <cell r="A442">
            <v>4878</v>
          </cell>
          <cell r="B442" t="str">
            <v>NAVARRO ÁLVAREZ CARLOS DANIEL</v>
          </cell>
          <cell r="C442" t="str">
            <v>OF</v>
          </cell>
          <cell r="D442">
            <v>800</v>
          </cell>
        </row>
        <row r="443">
          <cell r="A443">
            <v>4879</v>
          </cell>
          <cell r="B443" t="str">
            <v>SOTO LANDÍN JUAN JOSÉ</v>
          </cell>
          <cell r="C443" t="str">
            <v>1/2 CUCHARA</v>
          </cell>
          <cell r="D443">
            <v>650</v>
          </cell>
        </row>
        <row r="444">
          <cell r="A444">
            <v>4880</v>
          </cell>
          <cell r="B444" t="str">
            <v>MARQUEZ CAMPOS VLADIMIR ULISES</v>
          </cell>
          <cell r="C444" t="str">
            <v>PEON</v>
          </cell>
          <cell r="D444">
            <v>337.98</v>
          </cell>
        </row>
        <row r="445">
          <cell r="A445">
            <v>4881</v>
          </cell>
          <cell r="B445" t="str">
            <v>MOLINA MORENO GUSTAVO</v>
          </cell>
          <cell r="C445" t="str">
            <v>PEON</v>
          </cell>
          <cell r="D445">
            <v>337.98</v>
          </cell>
        </row>
        <row r="446">
          <cell r="A446">
            <v>4882</v>
          </cell>
          <cell r="B446" t="str">
            <v>ROMERO RENTERÍA PEDRO</v>
          </cell>
          <cell r="C446" t="str">
            <v>PEON</v>
          </cell>
          <cell r="D446">
            <v>337.98</v>
          </cell>
        </row>
        <row r="447">
          <cell r="A447">
            <v>4883</v>
          </cell>
          <cell r="B447" t="str">
            <v>LEÓN RANGEL JUAN GABRIEL</v>
          </cell>
          <cell r="C447" t="str">
            <v>PEON</v>
          </cell>
          <cell r="D447">
            <v>337.98</v>
          </cell>
        </row>
        <row r="448">
          <cell r="A448">
            <v>4884</v>
          </cell>
          <cell r="B448" t="str">
            <v>VILLANUEVA SILVA JESÚS</v>
          </cell>
          <cell r="C448" t="str">
            <v>PEON</v>
          </cell>
          <cell r="D448">
            <v>337.98</v>
          </cell>
        </row>
        <row r="449">
          <cell r="A449">
            <v>4885</v>
          </cell>
          <cell r="B449" t="str">
            <v>SÁNCHEZ ÁVALOS CRISTIAN</v>
          </cell>
          <cell r="C449" t="str">
            <v>OF</v>
          </cell>
          <cell r="D449">
            <v>800</v>
          </cell>
        </row>
        <row r="450">
          <cell r="A450">
            <v>4886</v>
          </cell>
          <cell r="B450" t="str">
            <v>ARIZMENDI MORA ÉDGAR YAIR</v>
          </cell>
          <cell r="C450" t="str">
            <v>OF</v>
          </cell>
          <cell r="D450">
            <v>800</v>
          </cell>
        </row>
        <row r="451">
          <cell r="A451">
            <v>4887</v>
          </cell>
          <cell r="B451" t="str">
            <v>RAMÍREZ LARIOS JAIME TRINIDAD</v>
          </cell>
          <cell r="C451" t="str">
            <v>1/2 CUCHARA</v>
          </cell>
          <cell r="D451">
            <v>650</v>
          </cell>
        </row>
        <row r="452">
          <cell r="A452">
            <v>4888</v>
          </cell>
          <cell r="B452" t="str">
            <v>MARÍN TINOCO FROILÁN</v>
          </cell>
          <cell r="C452" t="str">
            <v>PEON</v>
          </cell>
          <cell r="D452">
            <v>337.98</v>
          </cell>
        </row>
        <row r="453">
          <cell r="A453">
            <v>4889</v>
          </cell>
          <cell r="B453" t="str">
            <v>CASTAÑEDA ÁLVAREZ FERNANDO JESÚS</v>
          </cell>
          <cell r="C453" t="str">
            <v>PEON</v>
          </cell>
          <cell r="D453">
            <v>337.98</v>
          </cell>
        </row>
        <row r="454">
          <cell r="A454">
            <v>4890</v>
          </cell>
          <cell r="B454" t="str">
            <v>TORRES VALENCIA EDUARDO</v>
          </cell>
          <cell r="C454" t="str">
            <v>PEON</v>
          </cell>
          <cell r="D454">
            <v>337.98</v>
          </cell>
        </row>
        <row r="455">
          <cell r="A455">
            <v>4891</v>
          </cell>
          <cell r="B455" t="str">
            <v>ESTRADA DE LA CRUZ MARÍA CRUZ</v>
          </cell>
          <cell r="C455" t="str">
            <v>PINTOR</v>
          </cell>
          <cell r="D455">
            <v>337.98</v>
          </cell>
        </row>
        <row r="456">
          <cell r="A456">
            <v>4892</v>
          </cell>
          <cell r="B456" t="str">
            <v>GASPAR TIBURCIO MANUEL</v>
          </cell>
          <cell r="C456" t="str">
            <v>OF</v>
          </cell>
          <cell r="D456">
            <v>800</v>
          </cell>
        </row>
        <row r="457">
          <cell r="A457">
            <v>4893</v>
          </cell>
          <cell r="B457" t="str">
            <v>VÁZQUEZ HERNÁNDEZ JOSÉ DE JESÚS</v>
          </cell>
          <cell r="C457" t="str">
            <v>PEON</v>
          </cell>
          <cell r="D457">
            <v>337.98</v>
          </cell>
        </row>
        <row r="458">
          <cell r="A458">
            <v>4894</v>
          </cell>
          <cell r="B458" t="str">
            <v>CÓRDOVA HERNÁNDEZ CARLOS</v>
          </cell>
          <cell r="C458" t="str">
            <v>PEON</v>
          </cell>
          <cell r="D458">
            <v>337.98</v>
          </cell>
        </row>
        <row r="459">
          <cell r="A459">
            <v>4895</v>
          </cell>
          <cell r="B459" t="str">
            <v>SUÁREZ GUERRERO HÉCTOR</v>
          </cell>
          <cell r="C459" t="str">
            <v>PEON</v>
          </cell>
          <cell r="D459">
            <v>337.98</v>
          </cell>
        </row>
        <row r="460">
          <cell r="A460">
            <v>4896</v>
          </cell>
          <cell r="B460" t="str">
            <v>SUÁREZ GUERRERO AGUSTÍN</v>
          </cell>
          <cell r="C460" t="str">
            <v>PEON</v>
          </cell>
          <cell r="D460">
            <v>337.98</v>
          </cell>
        </row>
        <row r="461">
          <cell r="A461">
            <v>4897</v>
          </cell>
          <cell r="B461" t="str">
            <v>SILVA MEZA FRANCISCO EMMANUEL</v>
          </cell>
          <cell r="C461" t="str">
            <v>PEON</v>
          </cell>
          <cell r="D461">
            <v>337.98</v>
          </cell>
        </row>
        <row r="462">
          <cell r="A462">
            <v>4898</v>
          </cell>
          <cell r="B462" t="str">
            <v>GARCÍA IBARRA DANIEL</v>
          </cell>
          <cell r="C462" t="str">
            <v>PEON</v>
          </cell>
          <cell r="D462">
            <v>337.98</v>
          </cell>
        </row>
        <row r="463">
          <cell r="A463">
            <v>4899</v>
          </cell>
          <cell r="B463" t="str">
            <v>ENRÍQUEZ XILONXÓCHITL OMAR OSVALDO</v>
          </cell>
          <cell r="C463" t="str">
            <v>PEON</v>
          </cell>
          <cell r="D463">
            <v>337.98</v>
          </cell>
        </row>
        <row r="464">
          <cell r="A464">
            <v>4900</v>
          </cell>
          <cell r="B464" t="str">
            <v>VÁZQUEZ MENA SAMUEL ISRAEL</v>
          </cell>
          <cell r="C464" t="str">
            <v>PEON</v>
          </cell>
          <cell r="D464">
            <v>337.98</v>
          </cell>
        </row>
        <row r="465">
          <cell r="A465">
            <v>4901</v>
          </cell>
          <cell r="B465" t="str">
            <v>ALATORRE BORRAYO MIGUEL ÁNGEL</v>
          </cell>
          <cell r="C465" t="str">
            <v>PEON</v>
          </cell>
          <cell r="D465">
            <v>337.98</v>
          </cell>
        </row>
        <row r="466">
          <cell r="A466">
            <v>4902</v>
          </cell>
          <cell r="B466" t="str">
            <v>BALBINO GRAJEDA PEDRO EDUARDO</v>
          </cell>
          <cell r="C466" t="str">
            <v>PEON</v>
          </cell>
          <cell r="D466">
            <v>337.98</v>
          </cell>
        </row>
        <row r="467">
          <cell r="A467">
            <v>4903</v>
          </cell>
          <cell r="B467" t="str">
            <v>LÓPEZ HERNÁNDEZ HÉCTOR</v>
          </cell>
          <cell r="C467" t="str">
            <v>VELADOR</v>
          </cell>
          <cell r="D467">
            <v>337.98</v>
          </cell>
        </row>
        <row r="468">
          <cell r="A468">
            <v>4904</v>
          </cell>
          <cell r="B468" t="str">
            <v>BOBADILLA LARIOS MIGUEL</v>
          </cell>
          <cell r="C468" t="str">
            <v>VELADOR</v>
          </cell>
          <cell r="D468">
            <v>337.98</v>
          </cell>
        </row>
        <row r="469">
          <cell r="A469">
            <v>4905</v>
          </cell>
          <cell r="B469" t="str">
            <v>RODRIGUEZ GARZA JESUS</v>
          </cell>
          <cell r="C469" t="str">
            <v>OF</v>
          </cell>
          <cell r="D469">
            <v>608.38</v>
          </cell>
        </row>
        <row r="470">
          <cell r="A470">
            <v>4906</v>
          </cell>
          <cell r="B470" t="str">
            <v>RODRÍGUEZ HUÍZAR CHRISTOPHER EMMANUEL</v>
          </cell>
          <cell r="C470" t="str">
            <v>PEON</v>
          </cell>
          <cell r="D470">
            <v>337.98</v>
          </cell>
        </row>
        <row r="471">
          <cell r="A471">
            <v>4907</v>
          </cell>
          <cell r="B471" t="str">
            <v>ROCHA DELGADO ALEJANDRO</v>
          </cell>
          <cell r="C471" t="str">
            <v>PEON</v>
          </cell>
          <cell r="D471">
            <v>337.98</v>
          </cell>
        </row>
        <row r="481">
          <cell r="A481" t="str">
            <v>LISTA DE PRECIOS UNITARIOS</v>
          </cell>
        </row>
        <row r="483">
          <cell r="A483" t="str">
            <v>CVE</v>
          </cell>
          <cell r="B483" t="str">
            <v>CONCEPTO</v>
          </cell>
          <cell r="C483" t="str">
            <v>UNIDAD</v>
          </cell>
          <cell r="D483" t="str">
            <v>P.UNIT.</v>
          </cell>
          <cell r="E483" t="str">
            <v>M</v>
          </cell>
          <cell r="F483" t="str">
            <v>SJA</v>
          </cell>
        </row>
        <row r="485">
          <cell r="A485" t="str">
            <v>ABB01</v>
          </cell>
          <cell r="B485" t="str">
            <v>Abrir caja para amarre en boveda</v>
          </cell>
          <cell r="C485" t="str">
            <v>ML</v>
          </cell>
          <cell r="D485">
            <v>93.9762</v>
          </cell>
        </row>
        <row r="485">
          <cell r="F485">
            <v>108.07263</v>
          </cell>
        </row>
        <row r="486">
          <cell r="A486" t="str">
            <v>ABB02</v>
          </cell>
          <cell r="B486" t="str">
            <v>Abrir caja para amarre en muro</v>
          </cell>
          <cell r="C486" t="str">
            <v>ML</v>
          </cell>
          <cell r="D486">
            <v>75.18096</v>
          </cell>
        </row>
        <row r="486">
          <cell r="F486">
            <v>86.458104</v>
          </cell>
        </row>
        <row r="487">
          <cell r="A487" t="str">
            <v>ABB03</v>
          </cell>
          <cell r="B487" t="str">
            <v>Abrir caja para amarre en piso concreto y firme</v>
          </cell>
          <cell r="C487" t="str">
            <v>ML</v>
          </cell>
          <cell r="D487">
            <v>187.9524</v>
          </cell>
        </row>
        <row r="487">
          <cell r="F487">
            <v>216.14526</v>
          </cell>
        </row>
        <row r="488">
          <cell r="A488" t="str">
            <v>ABB04</v>
          </cell>
          <cell r="B488" t="str">
            <v>Abrir hueco en concreto para anclado de castillo</v>
          </cell>
          <cell r="C488" t="str">
            <v>PZA</v>
          </cell>
          <cell r="D488">
            <v>83.9340861244019</v>
          </cell>
        </row>
        <row r="488">
          <cell r="F488">
            <v>96.5241990430622</v>
          </cell>
        </row>
        <row r="489">
          <cell r="A489" t="str">
            <v>ABB05</v>
          </cell>
          <cell r="B489" t="str">
            <v>Abrir hueco en muro para amarre dalas</v>
          </cell>
          <cell r="C489" t="str">
            <v>PZA</v>
          </cell>
          <cell r="D489">
            <v>50.12064</v>
          </cell>
        </row>
        <row r="489">
          <cell r="F489">
            <v>57.638736</v>
          </cell>
        </row>
        <row r="490">
          <cell r="A490" t="str">
            <v>ABB06</v>
          </cell>
          <cell r="B490" t="str">
            <v>Abrir ranura esp. 5 cms. p/poliducto,cobre</v>
          </cell>
          <cell r="C490" t="str">
            <v>ML</v>
          </cell>
          <cell r="D490">
            <v>19.7844631578947</v>
          </cell>
        </row>
        <row r="490">
          <cell r="F490">
            <v>22.7521326315789</v>
          </cell>
        </row>
        <row r="491">
          <cell r="A491" t="str">
            <v>ABB06RT</v>
          </cell>
          <cell r="B491" t="str">
            <v>Abrir ranura esp. 5 cms. p/poliducto,cobre</v>
          </cell>
          <cell r="C491" t="str">
            <v>ML</v>
          </cell>
          <cell r="D491">
            <v>12.53016</v>
          </cell>
        </row>
        <row r="491">
          <cell r="F491">
            <v>14.409684</v>
          </cell>
        </row>
        <row r="492">
          <cell r="A492" t="str">
            <v>ABB07</v>
          </cell>
          <cell r="B492" t="str">
            <v>Abrir caja de luz</v>
          </cell>
          <cell r="C492" t="str">
            <v>PZA</v>
          </cell>
          <cell r="D492">
            <v>18.79524</v>
          </cell>
        </row>
        <row r="492">
          <cell r="F492">
            <v>21.614526</v>
          </cell>
        </row>
        <row r="493">
          <cell r="A493" t="str">
            <v>ABB08</v>
          </cell>
          <cell r="B493" t="str">
            <v>Abrir hueco en concreto p/ pata proteccion 20 x 20 x 30 rotomartillo</v>
          </cell>
          <cell r="C493" t="str">
            <v>PZA</v>
          </cell>
          <cell r="D493">
            <v>53.7006857142857</v>
          </cell>
        </row>
        <row r="493">
          <cell r="F493">
            <v>61.7557885714286</v>
          </cell>
        </row>
        <row r="494">
          <cell r="A494" t="str">
            <v>ACCE</v>
          </cell>
          <cell r="B494" t="str">
            <v>Accesorios de baño, colocacion</v>
          </cell>
          <cell r="C494" t="str">
            <v>PZA</v>
          </cell>
          <cell r="D494">
            <v>37.59048</v>
          </cell>
        </row>
        <row r="494">
          <cell r="F494">
            <v>43.229052</v>
          </cell>
        </row>
        <row r="495">
          <cell r="A495" t="str">
            <v>ACU20</v>
          </cell>
          <cell r="B495" t="str">
            <v>Acuñado de muro 20</v>
          </cell>
          <cell r="C495" t="str">
            <v>ML</v>
          </cell>
          <cell r="D495">
            <v>62.6508</v>
          </cell>
          <cell r="E495">
            <v>1</v>
          </cell>
          <cell r="F495">
            <v>72.04842</v>
          </cell>
        </row>
        <row r="496">
          <cell r="A496" t="str">
            <v>ACUCA</v>
          </cell>
          <cell r="B496" t="str">
            <v>Acuñado de muro capuchino</v>
          </cell>
          <cell r="C496" t="str">
            <v>ML</v>
          </cell>
          <cell r="D496">
            <v>50.12064</v>
          </cell>
          <cell r="E496">
            <v>1</v>
          </cell>
          <cell r="F496">
            <v>57.638736</v>
          </cell>
        </row>
        <row r="497">
          <cell r="A497" t="str">
            <v>ACUDE</v>
          </cell>
          <cell r="B497" t="str">
            <v>Acuñado de muro bajo decklosa</v>
          </cell>
          <cell r="C497" t="str">
            <v>ML</v>
          </cell>
          <cell r="D497">
            <v>30.072384</v>
          </cell>
          <cell r="E497">
            <v>1</v>
          </cell>
          <cell r="F497">
            <v>34.5832416</v>
          </cell>
        </row>
        <row r="498">
          <cell r="A498" t="str">
            <v>ACUSO</v>
          </cell>
          <cell r="B498" t="str">
            <v>Acuñado de muro soga</v>
          </cell>
          <cell r="C498" t="str">
            <v>ML</v>
          </cell>
          <cell r="D498">
            <v>62.6508</v>
          </cell>
          <cell r="E498">
            <v>1</v>
          </cell>
          <cell r="F498">
            <v>72.04842</v>
          </cell>
        </row>
        <row r="499">
          <cell r="A499" t="str">
            <v>ACUTE</v>
          </cell>
          <cell r="B499" t="str">
            <v>Acuñado de muro tezon</v>
          </cell>
          <cell r="C499" t="str">
            <v>ML</v>
          </cell>
          <cell r="D499">
            <v>75.18096</v>
          </cell>
          <cell r="E499">
            <v>1</v>
          </cell>
          <cell r="F499">
            <v>86.458104</v>
          </cell>
        </row>
        <row r="500">
          <cell r="A500" t="str">
            <v>ADOBE</v>
          </cell>
          <cell r="B500" t="str">
            <v>Muro de adobe asentado con lodo y rajueleado</v>
          </cell>
          <cell r="C500" t="str">
            <v>M2</v>
          </cell>
          <cell r="D500">
            <v>131.896421052632</v>
          </cell>
          <cell r="E500">
            <v>1</v>
          </cell>
          <cell r="F500">
            <v>151.680884210526</v>
          </cell>
        </row>
        <row r="501">
          <cell r="A501" t="str">
            <v>ADOBE2R</v>
          </cell>
          <cell r="B501" t="str">
            <v>Pegado de muro de adobe a 2 rostros con varillas</v>
          </cell>
          <cell r="C501" t="str">
            <v>M2</v>
          </cell>
          <cell r="D501">
            <v>250.6032</v>
          </cell>
          <cell r="E501">
            <v>1</v>
          </cell>
          <cell r="F501">
            <v>288.19368</v>
          </cell>
        </row>
        <row r="502">
          <cell r="A502" t="str">
            <v>ADORE</v>
          </cell>
          <cell r="B502" t="str">
            <v>Recorte de pza de adobe para resaque vigas y castillos</v>
          </cell>
          <cell r="C502" t="str">
            <v>PZA</v>
          </cell>
          <cell r="D502">
            <v>57.8315076923077</v>
          </cell>
        </row>
        <row r="502">
          <cell r="F502">
            <v>66.5062338461538</v>
          </cell>
        </row>
        <row r="503">
          <cell r="A503" t="str">
            <v>AFI01</v>
          </cell>
          <cell r="B503" t="str">
            <v>Afine de enjarre en boquillas</v>
          </cell>
          <cell r="C503" t="str">
            <v>ML</v>
          </cell>
          <cell r="D503">
            <v>9.39762</v>
          </cell>
          <cell r="E503">
            <v>1</v>
          </cell>
          <cell r="F503">
            <v>10.807263</v>
          </cell>
        </row>
        <row r="504">
          <cell r="A504" t="str">
            <v>AFI02</v>
          </cell>
          <cell r="B504" t="str">
            <v>Afine de enjarre en boveda</v>
          </cell>
          <cell r="C504" t="str">
            <v>M2</v>
          </cell>
          <cell r="D504">
            <v>34.1731636363636</v>
          </cell>
          <cell r="E504">
            <v>1</v>
          </cell>
          <cell r="F504">
            <v>39.2991381818182</v>
          </cell>
        </row>
        <row r="505">
          <cell r="A505" t="str">
            <v>AFI02JP</v>
          </cell>
          <cell r="B505" t="str">
            <v>Afine de enjarre en boveda PUERTA PLATA</v>
          </cell>
          <cell r="C505" t="str">
            <v>M2</v>
          </cell>
          <cell r="D505">
            <v>46.2652061538462</v>
          </cell>
          <cell r="E505">
            <v>1</v>
          </cell>
          <cell r="F505">
            <v>53.2049870769231</v>
          </cell>
        </row>
        <row r="506">
          <cell r="A506" t="str">
            <v>AFI03</v>
          </cell>
          <cell r="B506" t="str">
            <v>Afine de enjarre en muro</v>
          </cell>
          <cell r="C506" t="str">
            <v>M2</v>
          </cell>
          <cell r="D506">
            <v>15.6627</v>
          </cell>
          <cell r="E506">
            <v>1</v>
          </cell>
          <cell r="F506">
            <v>18.012105</v>
          </cell>
        </row>
        <row r="507">
          <cell r="A507" t="str">
            <v>AFI03JP</v>
          </cell>
          <cell r="B507" t="str">
            <v>Afine de enjarre en muro PUERTA PLATA</v>
          </cell>
          <cell r="C507" t="str">
            <v>M2</v>
          </cell>
          <cell r="D507">
            <v>27.7420516605166</v>
          </cell>
          <cell r="E507">
            <v>1</v>
          </cell>
          <cell r="F507">
            <v>31.9033594095941</v>
          </cell>
        </row>
        <row r="508">
          <cell r="A508" t="str">
            <v>AFIEX</v>
          </cell>
          <cell r="B508" t="str">
            <v>Afinado de excavacion en cepas</v>
          </cell>
          <cell r="C508" t="str">
            <v>M3</v>
          </cell>
          <cell r="D508">
            <v>125.3016</v>
          </cell>
        </row>
        <row r="508">
          <cell r="F508">
            <v>144.09684</v>
          </cell>
        </row>
        <row r="509">
          <cell r="A509" t="str">
            <v>AFIEXS</v>
          </cell>
          <cell r="B509" t="str">
            <v>Afinado de excavacion de maquina en sucio</v>
          </cell>
          <cell r="C509" t="str">
            <v>M3</v>
          </cell>
          <cell r="D509">
            <v>40.096512</v>
          </cell>
        </row>
        <row r="509">
          <cell r="F509">
            <v>46.1109888</v>
          </cell>
        </row>
        <row r="510">
          <cell r="A510" t="str">
            <v>AJUCCASO</v>
          </cell>
          <cell r="B510" t="str">
            <v>Ajuste de castillo de soga en muro de nivelacion</v>
          </cell>
          <cell r="C510" t="str">
            <v>PZA</v>
          </cell>
          <cell r="D510">
            <v>44.2240941176471</v>
          </cell>
          <cell r="E510">
            <v>1</v>
          </cell>
          <cell r="F510">
            <v>50.8577082352941</v>
          </cell>
        </row>
        <row r="511">
          <cell r="A511" t="str">
            <v>ANC01</v>
          </cell>
          <cell r="B511" t="str">
            <v>Anclado de castillo en hueco de piso y colado</v>
          </cell>
          <cell r="C511" t="str">
            <v>PZA</v>
          </cell>
          <cell r="D511">
            <v>62.6508</v>
          </cell>
          <cell r="E511">
            <v>1</v>
          </cell>
          <cell r="F511">
            <v>72.04842</v>
          </cell>
        </row>
        <row r="512">
          <cell r="A512" t="str">
            <v>ANC02</v>
          </cell>
          <cell r="B512" t="str">
            <v>Anclado y colado de castillo en mamposteo de 40 x40 x 50</v>
          </cell>
          <cell r="C512" t="str">
            <v>PZA</v>
          </cell>
          <cell r="D512">
            <v>107.401371428571</v>
          </cell>
          <cell r="E512">
            <v>1</v>
          </cell>
          <cell r="F512">
            <v>123.511577142857</v>
          </cell>
        </row>
        <row r="513">
          <cell r="A513" t="str">
            <v>ANC03</v>
          </cell>
          <cell r="B513" t="str">
            <v>Anclado de castillo en armados</v>
          </cell>
          <cell r="C513" t="str">
            <v>PZA</v>
          </cell>
          <cell r="D513">
            <v>50.12064</v>
          </cell>
        </row>
        <row r="513">
          <cell r="F513">
            <v>57.638736</v>
          </cell>
        </row>
        <row r="514">
          <cell r="A514" t="str">
            <v>ANC04</v>
          </cell>
          <cell r="B514" t="str">
            <v>Anclaje de pata de proteccion con colado y parche 20 x 20</v>
          </cell>
          <cell r="C514" t="str">
            <v>PZA</v>
          </cell>
          <cell r="D514">
            <v>44.2240941176471</v>
          </cell>
          <cell r="E514">
            <v>1</v>
          </cell>
          <cell r="F514">
            <v>50.8577082352941</v>
          </cell>
        </row>
        <row r="515">
          <cell r="A515" t="str">
            <v>ANC05</v>
          </cell>
          <cell r="B515" t="str">
            <v>anclaje y colado de pata de polin para cruceta</v>
          </cell>
          <cell r="C515" t="str">
            <v>PZA</v>
          </cell>
          <cell r="D515">
            <v>30.4376356275304</v>
          </cell>
          <cell r="E515">
            <v>1</v>
          </cell>
          <cell r="F515">
            <v>35.0032809716599</v>
          </cell>
        </row>
        <row r="516">
          <cell r="A516" t="str">
            <v>AND01</v>
          </cell>
          <cell r="B516" t="str">
            <v>Andamio, torres, cuerpo de 2 crucetas armado</v>
          </cell>
          <cell r="C516" t="str">
            <v>PZA</v>
          </cell>
          <cell r="D516">
            <v>41.7672</v>
          </cell>
        </row>
        <row r="516">
          <cell r="F516">
            <v>48.03228</v>
          </cell>
        </row>
        <row r="517">
          <cell r="A517" t="str">
            <v>AND02</v>
          </cell>
          <cell r="B517" t="str">
            <v>Andamios</v>
          </cell>
          <cell r="C517" t="str">
            <v>ML</v>
          </cell>
          <cell r="D517">
            <v>15.036192</v>
          </cell>
        </row>
        <row r="517">
          <cell r="F517">
            <v>17.2916208</v>
          </cell>
        </row>
        <row r="518">
          <cell r="A518" t="str">
            <v>APA01</v>
          </cell>
          <cell r="B518" t="str">
            <v>Apalillado de hormigon, piso o concreto</v>
          </cell>
          <cell r="C518" t="str">
            <v>M2</v>
          </cell>
          <cell r="D518">
            <v>37.59048</v>
          </cell>
        </row>
        <row r="518">
          <cell r="F518">
            <v>43.229052</v>
          </cell>
        </row>
        <row r="519">
          <cell r="A519" t="str">
            <v>APAC</v>
          </cell>
          <cell r="B519" t="str">
            <v>Aparentado de dala o castillo hiladas de ladrillo</v>
          </cell>
          <cell r="C519" t="str">
            <v>ML</v>
          </cell>
          <cell r="D519">
            <v>71.9435023923445</v>
          </cell>
        </row>
        <row r="519">
          <cell r="F519">
            <v>82.7350277511962</v>
          </cell>
        </row>
        <row r="520">
          <cell r="A520" t="str">
            <v>APU01</v>
          </cell>
          <cell r="B520" t="str">
            <v>Apuntalamiento de decklosa</v>
          </cell>
          <cell r="C520" t="str">
            <v>M2</v>
          </cell>
          <cell r="D520">
            <v>7.9137852631579</v>
          </cell>
        </row>
        <row r="520">
          <cell r="F520">
            <v>9.10085305263158</v>
          </cell>
        </row>
        <row r="521">
          <cell r="A521" t="str">
            <v>APU02</v>
          </cell>
          <cell r="B521" t="str">
            <v>Apuntalar boveda, losa o cerramientos</v>
          </cell>
          <cell r="C521" t="str">
            <v>M2</v>
          </cell>
          <cell r="D521">
            <v>37.59048</v>
          </cell>
        </row>
        <row r="521">
          <cell r="F521">
            <v>43.229052</v>
          </cell>
        </row>
        <row r="522">
          <cell r="A522" t="str">
            <v>ARC01</v>
          </cell>
          <cell r="B522" t="str">
            <v>Forjado de arco,incluye cimbra,cercha m.20</v>
          </cell>
          <cell r="C522" t="str">
            <v>ML</v>
          </cell>
          <cell r="D522">
            <v>375.9048</v>
          </cell>
          <cell r="E522">
            <v>1</v>
          </cell>
          <cell r="F522">
            <v>432.29052</v>
          </cell>
        </row>
        <row r="523">
          <cell r="A523" t="str">
            <v>ARC02</v>
          </cell>
          <cell r="B523" t="str">
            <v>Forjado de arco,incluye cimbra,cercha m.capuchino</v>
          </cell>
          <cell r="C523" t="str">
            <v>ML</v>
          </cell>
          <cell r="D523">
            <v>125.3016</v>
          </cell>
          <cell r="E523">
            <v>1</v>
          </cell>
          <cell r="F523">
            <v>144.09684</v>
          </cell>
        </row>
        <row r="524">
          <cell r="A524" t="str">
            <v>ARC03</v>
          </cell>
          <cell r="B524" t="str">
            <v>Forjado de arco,incluye cimbra,cercha m.soga</v>
          </cell>
          <cell r="C524" t="str">
            <v>ML</v>
          </cell>
          <cell r="D524">
            <v>187.9524</v>
          </cell>
          <cell r="E524">
            <v>1</v>
          </cell>
          <cell r="F524">
            <v>216.14526</v>
          </cell>
        </row>
        <row r="525">
          <cell r="A525" t="str">
            <v>ARC04</v>
          </cell>
          <cell r="B525" t="str">
            <v>Forjado de arco,incluye cimbra,cercha m.tezon</v>
          </cell>
          <cell r="C525" t="str">
            <v>ML</v>
          </cell>
          <cell r="D525">
            <v>358.004571428571</v>
          </cell>
          <cell r="E525">
            <v>1</v>
          </cell>
          <cell r="F525">
            <v>411.705257142857</v>
          </cell>
        </row>
        <row r="526">
          <cell r="A526" t="str">
            <v>ARM01</v>
          </cell>
          <cell r="B526" t="str">
            <v>Armado de castillos</v>
          </cell>
          <cell r="C526" t="str">
            <v>KG</v>
          </cell>
          <cell r="D526">
            <v>4.91378823529412</v>
          </cell>
        </row>
        <row r="526">
          <cell r="F526">
            <v>5.65085647058824</v>
          </cell>
        </row>
        <row r="527">
          <cell r="A527" t="str">
            <v>ARM02</v>
          </cell>
          <cell r="B527" t="str">
            <v>Armado de columnas</v>
          </cell>
          <cell r="C527" t="str">
            <v>KG</v>
          </cell>
          <cell r="D527">
            <v>4.91378823529412</v>
          </cell>
        </row>
        <row r="527">
          <cell r="F527">
            <v>5.65085647058824</v>
          </cell>
        </row>
        <row r="528">
          <cell r="A528" t="str">
            <v>ARM03</v>
          </cell>
          <cell r="B528" t="str">
            <v>Armado de dados</v>
          </cell>
          <cell r="C528" t="str">
            <v>KG</v>
          </cell>
          <cell r="D528">
            <v>4.91378823529412</v>
          </cell>
        </row>
        <row r="528">
          <cell r="F528">
            <v>5.65085647058824</v>
          </cell>
        </row>
        <row r="529">
          <cell r="A529" t="str">
            <v>ARM04</v>
          </cell>
          <cell r="B529" t="str">
            <v>Armado de dala o castillo lagartija</v>
          </cell>
          <cell r="C529" t="str">
            <v>ML</v>
          </cell>
          <cell r="D529">
            <v>25.06032</v>
          </cell>
        </row>
        <row r="529">
          <cell r="F529">
            <v>28.819368</v>
          </cell>
        </row>
        <row r="530">
          <cell r="A530" t="str">
            <v>ARM05</v>
          </cell>
          <cell r="B530" t="str">
            <v>Armado de dalas diametros varios</v>
          </cell>
          <cell r="C530" t="str">
            <v>KG</v>
          </cell>
          <cell r="D530">
            <v>4.91378823529412</v>
          </cell>
        </row>
        <row r="530">
          <cell r="F530">
            <v>5.65085647058824</v>
          </cell>
        </row>
        <row r="531">
          <cell r="A531" t="str">
            <v>ARM06</v>
          </cell>
          <cell r="B531" t="str">
            <v>Armado de parrilla para losa de ovalines o closeds</v>
          </cell>
          <cell r="C531" t="str">
            <v>ML</v>
          </cell>
          <cell r="D531">
            <v>75.18096</v>
          </cell>
        </row>
        <row r="531">
          <cell r="F531">
            <v>86.458104</v>
          </cell>
        </row>
        <row r="532">
          <cell r="A532" t="str">
            <v>ARM07</v>
          </cell>
          <cell r="B532" t="str">
            <v>Armado parrilla para losa de concreto</v>
          </cell>
          <cell r="C532" t="str">
            <v>KG</v>
          </cell>
          <cell r="D532">
            <v>4.91378823529412</v>
          </cell>
        </row>
        <row r="532">
          <cell r="F532">
            <v>5.65085647058824</v>
          </cell>
        </row>
        <row r="533">
          <cell r="A533" t="str">
            <v>ARM07g</v>
          </cell>
          <cell r="B533" t="str">
            <v>Armado parrilla para losa de concreto grandes superficies</v>
          </cell>
          <cell r="C533" t="str">
            <v>KG</v>
          </cell>
          <cell r="D533">
            <v>4.42110908556307</v>
          </cell>
        </row>
        <row r="533">
          <cell r="F533">
            <v>5.08427544839753</v>
          </cell>
        </row>
        <row r="534">
          <cell r="A534" t="str">
            <v>ARM08</v>
          </cell>
          <cell r="B534" t="str">
            <v>Armado parrilla para zapata</v>
          </cell>
          <cell r="C534" t="str">
            <v>KG</v>
          </cell>
          <cell r="D534">
            <v>4.91378823529412</v>
          </cell>
        </row>
        <row r="534">
          <cell r="F534">
            <v>5.65085647058824</v>
          </cell>
        </row>
        <row r="535">
          <cell r="A535" t="str">
            <v>ARM09</v>
          </cell>
          <cell r="B535" t="str">
            <v>Armado de dala o castillo 3/8" estribos de alambron 20x20</v>
          </cell>
          <cell r="C535" t="str">
            <v>ML</v>
          </cell>
          <cell r="D535">
            <v>39.5689263157895</v>
          </cell>
        </row>
        <row r="535">
          <cell r="F535">
            <v>45.5042652631579</v>
          </cell>
        </row>
        <row r="536">
          <cell r="A536" t="str">
            <v>ARM09A</v>
          </cell>
          <cell r="B536" t="str">
            <v>Armado de dala o castillo 3/8" estribos de varillas</v>
          </cell>
          <cell r="C536" t="str">
            <v>ML</v>
          </cell>
        </row>
        <row r="536">
          <cell r="F536">
            <v>0</v>
          </cell>
        </row>
        <row r="537">
          <cell r="A537" t="str">
            <v>ARM10</v>
          </cell>
          <cell r="B537" t="str">
            <v>Armado de zapatas, dados, etc. A granel</v>
          </cell>
          <cell r="C537" t="str">
            <v>KG</v>
          </cell>
          <cell r="D537">
            <v>4.0425</v>
          </cell>
        </row>
        <row r="537">
          <cell r="F537">
            <v>4.648875</v>
          </cell>
        </row>
        <row r="538">
          <cell r="A538" t="str">
            <v>ARMTL</v>
          </cell>
          <cell r="B538" t="str">
            <v>Armado de trabe de liga</v>
          </cell>
          <cell r="C538" t="str">
            <v>KG</v>
          </cell>
          <cell r="D538">
            <v>4.91378823529412</v>
          </cell>
        </row>
        <row r="538">
          <cell r="F538">
            <v>5.65085647058824</v>
          </cell>
        </row>
        <row r="539">
          <cell r="A539" t="str">
            <v>ARMEX</v>
          </cell>
          <cell r="B539" t="str">
            <v>Colocar armex incluye cortes y acarreos</v>
          </cell>
          <cell r="C539" t="str">
            <v>ML</v>
          </cell>
          <cell r="D539">
            <v>3.759048</v>
          </cell>
        </row>
        <row r="539">
          <cell r="F539">
            <v>4.3229052</v>
          </cell>
        </row>
        <row r="540">
          <cell r="A540" t="str">
            <v>BAJ01</v>
          </cell>
          <cell r="B540" t="str">
            <v>Bajar parrilla y centrar dado, castillo o columna c/hilos</v>
          </cell>
          <cell r="C540" t="str">
            <v>PZA</v>
          </cell>
          <cell r="D540">
            <v>203.191783783784</v>
          </cell>
        </row>
        <row r="540">
          <cell r="F540">
            <v>233.670551351351</v>
          </cell>
        </row>
        <row r="541">
          <cell r="A541" t="str">
            <v>BANCA</v>
          </cell>
          <cell r="B541" t="str">
            <v>Forro de banca mampara con azulejo</v>
          </cell>
          <cell r="C541" t="str">
            <v>PZA</v>
          </cell>
          <cell r="D541">
            <v>501.2064</v>
          </cell>
        </row>
        <row r="541">
          <cell r="F541">
            <v>576.38736</v>
          </cell>
        </row>
        <row r="542">
          <cell r="A542" t="str">
            <v>BAR01</v>
          </cell>
          <cell r="B542" t="str">
            <v>Barbas en dala lagartija para panel W</v>
          </cell>
          <cell r="C542" t="str">
            <v>PZA</v>
          </cell>
          <cell r="D542">
            <v>13.6692654545455</v>
          </cell>
        </row>
        <row r="542">
          <cell r="F542">
            <v>15.7196552727273</v>
          </cell>
        </row>
        <row r="543">
          <cell r="A543" t="str">
            <v>BARRE</v>
          </cell>
          <cell r="B543" t="str">
            <v>Barreno en azulejo, rejillas y tubos</v>
          </cell>
          <cell r="C543" t="str">
            <v>PZA</v>
          </cell>
          <cell r="D543">
            <v>59.9529186602871</v>
          </cell>
        </row>
        <row r="543">
          <cell r="F543">
            <v>68.9458564593302</v>
          </cell>
        </row>
        <row r="544">
          <cell r="A544" t="str">
            <v>BARREVA</v>
          </cell>
          <cell r="B544" t="str">
            <v>Barreno en concreto para varillas</v>
          </cell>
          <cell r="C544" t="str">
            <v>PZA</v>
          </cell>
          <cell r="D544">
            <v>16.70688</v>
          </cell>
        </row>
        <row r="544">
          <cell r="F544">
            <v>19.212912</v>
          </cell>
        </row>
        <row r="545">
          <cell r="A545" t="str">
            <v>BAS01</v>
          </cell>
          <cell r="B545" t="str">
            <v>Bastones para malla lack, panel, armados</v>
          </cell>
          <cell r="C545" t="str">
            <v>PZA</v>
          </cell>
          <cell r="D545">
            <v>13.6692654545455</v>
          </cell>
        </row>
        <row r="545">
          <cell r="F545">
            <v>15.7196552727273</v>
          </cell>
        </row>
        <row r="546">
          <cell r="A546" t="str">
            <v>BASEA</v>
          </cell>
          <cell r="B546" t="str">
            <v>Base para equipo de aire acondicionado 70 x 70</v>
          </cell>
          <cell r="C546" t="str">
            <v>PZA</v>
          </cell>
          <cell r="D546">
            <v>375.9048</v>
          </cell>
        </row>
        <row r="546">
          <cell r="F546">
            <v>432.29052</v>
          </cell>
        </row>
        <row r="547">
          <cell r="A547" t="str">
            <v>BASET</v>
          </cell>
          <cell r="B547" t="str">
            <v>Base de ladrillo para tuberia, perfilada</v>
          </cell>
          <cell r="C547" t="str">
            <v>PZA</v>
          </cell>
          <cell r="D547">
            <v>75.18096</v>
          </cell>
        </row>
        <row r="547">
          <cell r="F547">
            <v>86.458104</v>
          </cell>
        </row>
        <row r="548">
          <cell r="A548" t="str">
            <v>BAYO</v>
          </cell>
          <cell r="B548" t="str">
            <v>Bayoneteo de varillas</v>
          </cell>
          <cell r="C548" t="str">
            <v>PZA</v>
          </cell>
          <cell r="D548">
            <v>3.0072384</v>
          </cell>
        </row>
        <row r="548">
          <cell r="F548">
            <v>3.45832416</v>
          </cell>
        </row>
        <row r="549">
          <cell r="A549" t="str">
            <v>BOL01</v>
          </cell>
          <cell r="B549" t="str">
            <v>Boleado apalillado en aristas muros</v>
          </cell>
          <cell r="C549" t="str">
            <v>ML</v>
          </cell>
          <cell r="D549">
            <v>30.072384</v>
          </cell>
        </row>
        <row r="549">
          <cell r="F549">
            <v>34.5832416</v>
          </cell>
        </row>
        <row r="550">
          <cell r="A550" t="str">
            <v>BOL02</v>
          </cell>
          <cell r="B550" t="str">
            <v>Boleado pulido en aristas muros</v>
          </cell>
          <cell r="C550" t="str">
            <v>ML</v>
          </cell>
          <cell r="D550">
            <v>37.59048</v>
          </cell>
        </row>
        <row r="550">
          <cell r="F550">
            <v>43.229052</v>
          </cell>
        </row>
        <row r="551">
          <cell r="A551" t="str">
            <v>BOL03</v>
          </cell>
          <cell r="B551" t="str">
            <v>Boleado rustico en aristas de muros</v>
          </cell>
          <cell r="C551" t="str">
            <v>ML</v>
          </cell>
          <cell r="D551">
            <v>25.06032</v>
          </cell>
        </row>
        <row r="551">
          <cell r="F551">
            <v>28.819368</v>
          </cell>
        </row>
        <row r="552">
          <cell r="A552" t="str">
            <v>BOND</v>
          </cell>
          <cell r="B552" t="str">
            <v>Aplicar festerbond en superficies</v>
          </cell>
          <cell r="C552" t="str">
            <v>M2</v>
          </cell>
          <cell r="D552">
            <v>9.39762</v>
          </cell>
        </row>
        <row r="552">
          <cell r="F552">
            <v>10.807263</v>
          </cell>
        </row>
        <row r="553">
          <cell r="A553" t="str">
            <v>BOQ01</v>
          </cell>
          <cell r="B553" t="str">
            <v>Boquilla 1 rostro en herreria</v>
          </cell>
          <cell r="C553" t="str">
            <v>ML</v>
          </cell>
          <cell r="D553">
            <v>37.59048</v>
          </cell>
          <cell r="E553">
            <v>1</v>
          </cell>
          <cell r="F553">
            <v>43.229052</v>
          </cell>
        </row>
        <row r="554">
          <cell r="A554" t="str">
            <v>BOQ02</v>
          </cell>
          <cell r="B554" t="str">
            <v>Boquilla boleada</v>
          </cell>
          <cell r="C554" t="str">
            <v>ML</v>
          </cell>
          <cell r="D554">
            <v>75.18096</v>
          </cell>
          <cell r="E554">
            <v>1</v>
          </cell>
          <cell r="F554">
            <v>86.458104</v>
          </cell>
        </row>
        <row r="555">
          <cell r="A555" t="str">
            <v>BOQ03</v>
          </cell>
          <cell r="B555" t="str">
            <v>Boquilla</v>
          </cell>
          <cell r="C555" t="str">
            <v>ML</v>
          </cell>
          <cell r="D555">
            <v>50.12064</v>
          </cell>
          <cell r="E555">
            <v>1</v>
          </cell>
          <cell r="F555">
            <v>57.638736</v>
          </cell>
        </row>
        <row r="556">
          <cell r="A556" t="str">
            <v>BOQ04</v>
          </cell>
          <cell r="B556" t="str">
            <v>Boquillas en azulejo</v>
          </cell>
          <cell r="C556" t="str">
            <v>ML</v>
          </cell>
          <cell r="D556">
            <v>93.9762</v>
          </cell>
        </row>
        <row r="556">
          <cell r="F556">
            <v>108.07263</v>
          </cell>
        </row>
        <row r="557">
          <cell r="A557" t="str">
            <v>BOQ05</v>
          </cell>
          <cell r="B557" t="str">
            <v>Boquilla de arco</v>
          </cell>
          <cell r="C557" t="str">
            <v>ML</v>
          </cell>
          <cell r="D557">
            <v>93.9762</v>
          </cell>
          <cell r="E557">
            <v>1</v>
          </cell>
          <cell r="F557">
            <v>108.07263</v>
          </cell>
        </row>
        <row r="558">
          <cell r="A558" t="str">
            <v>BOQ06</v>
          </cell>
          <cell r="B558" t="str">
            <v>Boquilla terminado rustico</v>
          </cell>
          <cell r="C558" t="str">
            <v>ML</v>
          </cell>
          <cell r="D558">
            <v>75.18096</v>
          </cell>
          <cell r="E558">
            <v>1</v>
          </cell>
          <cell r="F558">
            <v>86.458104</v>
          </cell>
        </row>
        <row r="559">
          <cell r="A559" t="str">
            <v>BOQAF</v>
          </cell>
          <cell r="B559" t="str">
            <v>Boquilla terminado afinado esp max 30 cms</v>
          </cell>
          <cell r="C559" t="str">
            <v>ML</v>
          </cell>
          <cell r="D559">
            <v>68.3463272727273</v>
          </cell>
          <cell r="E559">
            <v>1</v>
          </cell>
          <cell r="F559">
            <v>78.5982763636364</v>
          </cell>
        </row>
        <row r="560">
          <cell r="A560" t="str">
            <v>BOV01</v>
          </cell>
          <cell r="B560" t="str">
            <v>Boveda de cuña en limpio</v>
          </cell>
          <cell r="C560" t="str">
            <v>M2</v>
          </cell>
          <cell r="D560">
            <v>150.36192</v>
          </cell>
          <cell r="E560">
            <v>1</v>
          </cell>
          <cell r="F560">
            <v>172.916208</v>
          </cell>
        </row>
        <row r="561">
          <cell r="A561" t="str">
            <v>BOV02</v>
          </cell>
          <cell r="B561" t="str">
            <v>Boveda de cuña en limpio 2a h.</v>
          </cell>
          <cell r="C561" t="str">
            <v>M2</v>
          </cell>
          <cell r="D561">
            <v>167.0688</v>
          </cell>
          <cell r="E561">
            <v>1</v>
          </cell>
          <cell r="F561">
            <v>192.12912</v>
          </cell>
        </row>
        <row r="562">
          <cell r="A562" t="str">
            <v>BOV03</v>
          </cell>
          <cell r="B562" t="str">
            <v>Boveda de cuña en losa inclinada</v>
          </cell>
          <cell r="C562" t="str">
            <v>M2</v>
          </cell>
          <cell r="D562">
            <v>107.401371428571</v>
          </cell>
          <cell r="E562">
            <v>1</v>
          </cell>
          <cell r="F562">
            <v>123.511577142857</v>
          </cell>
        </row>
        <row r="563">
          <cell r="A563" t="str">
            <v>BOV04</v>
          </cell>
          <cell r="B563" t="str">
            <v>Boveda de cuña en losa inclinada 2a h.</v>
          </cell>
          <cell r="C563" t="str">
            <v>M2</v>
          </cell>
          <cell r="D563">
            <v>123.511577142857</v>
          </cell>
          <cell r="E563">
            <v>1</v>
          </cell>
          <cell r="F563">
            <v>142.038313714286</v>
          </cell>
        </row>
        <row r="564">
          <cell r="A564" t="str">
            <v>BOV05</v>
          </cell>
          <cell r="B564" t="str">
            <v>Boveda de cuña en sucio</v>
          </cell>
          <cell r="C564" t="str">
            <v>M2</v>
          </cell>
          <cell r="D564">
            <v>115.663015384615</v>
          </cell>
          <cell r="E564">
            <v>1</v>
          </cell>
          <cell r="F564">
            <v>133.012467692308</v>
          </cell>
        </row>
        <row r="565">
          <cell r="A565" t="str">
            <v>BOV06</v>
          </cell>
          <cell r="B565" t="str">
            <v>Boveda de cuña en sucio 2a h.</v>
          </cell>
          <cell r="C565" t="str">
            <v>M2</v>
          </cell>
          <cell r="D565">
            <v>133.012467692308</v>
          </cell>
          <cell r="E565">
            <v>1</v>
          </cell>
          <cell r="F565">
            <v>152.964337846154</v>
          </cell>
        </row>
        <row r="566">
          <cell r="A566" t="str">
            <v>BROC1</v>
          </cell>
          <cell r="B566" t="str">
            <v>Colocar brocal en pozo de visita</v>
          </cell>
          <cell r="C566" t="str">
            <v>PZA</v>
          </cell>
          <cell r="D566">
            <v>150.36192</v>
          </cell>
        </row>
        <row r="566">
          <cell r="F566">
            <v>172.916208</v>
          </cell>
        </row>
        <row r="567">
          <cell r="A567" t="str">
            <v>CAB01</v>
          </cell>
          <cell r="B567" t="str">
            <v>Caballete en aristas de teja</v>
          </cell>
          <cell r="C567" t="str">
            <v>ML</v>
          </cell>
          <cell r="D567">
            <v>107.401371428571</v>
          </cell>
          <cell r="E567">
            <v>1</v>
          </cell>
          <cell r="F567">
            <v>123.511577142857</v>
          </cell>
        </row>
        <row r="568">
          <cell r="A568" t="str">
            <v>CAJ01</v>
          </cell>
          <cell r="B568" t="str">
            <v>Abrir, forjar y terminar caja de luz cortesia</v>
          </cell>
          <cell r="C568" t="str">
            <v>PZA</v>
          </cell>
          <cell r="D568">
            <v>659.482105263158</v>
          </cell>
        </row>
        <row r="568">
          <cell r="F568">
            <v>758.404421052632</v>
          </cell>
        </row>
        <row r="569">
          <cell r="A569" t="str">
            <v>CAL01</v>
          </cell>
          <cell r="B569" t="str">
            <v>Calavereado muro abultado en mamposteo</v>
          </cell>
          <cell r="C569" t="str">
            <v>M2</v>
          </cell>
          <cell r="D569">
            <v>93.9762</v>
          </cell>
          <cell r="E569">
            <v>1</v>
          </cell>
          <cell r="F569">
            <v>108.07263</v>
          </cell>
        </row>
        <row r="570">
          <cell r="A570" t="str">
            <v>CAL02</v>
          </cell>
          <cell r="B570" t="str">
            <v>Calavereado muro embutido en mamposteo</v>
          </cell>
          <cell r="C570" t="str">
            <v>M2</v>
          </cell>
          <cell r="D570">
            <v>65.9482105263158</v>
          </cell>
          <cell r="E570">
            <v>1</v>
          </cell>
          <cell r="F570">
            <v>75.8404421052632</v>
          </cell>
        </row>
        <row r="571">
          <cell r="A571" t="str">
            <v>CALAF</v>
          </cell>
          <cell r="B571" t="str">
            <v>Calafateo de junta de dilatacion</v>
          </cell>
          <cell r="C571" t="str">
            <v>ML</v>
          </cell>
          <cell r="D571">
            <v>25.06032</v>
          </cell>
        </row>
        <row r="571">
          <cell r="F571">
            <v>28.819368</v>
          </cell>
        </row>
        <row r="572">
          <cell r="A572" t="str">
            <v>CAMI</v>
          </cell>
          <cell r="B572" t="str">
            <v>Cama individual terminada</v>
          </cell>
          <cell r="C572" t="str">
            <v>PZA</v>
          </cell>
          <cell r="D572">
            <v>2506.032</v>
          </cell>
        </row>
        <row r="572">
          <cell r="F572">
            <v>2881.9368</v>
          </cell>
        </row>
        <row r="573">
          <cell r="A573" t="str">
            <v>CAMK</v>
          </cell>
          <cell r="B573" t="str">
            <v>Cama king size terminada</v>
          </cell>
          <cell r="C573" t="str">
            <v>PZA</v>
          </cell>
          <cell r="D573">
            <v>3759.048</v>
          </cell>
        </row>
        <row r="573">
          <cell r="F573">
            <v>4322.9052</v>
          </cell>
        </row>
        <row r="574">
          <cell r="A574" t="str">
            <v>CAMM</v>
          </cell>
          <cell r="B574" t="str">
            <v>Cama matrimonial terminada</v>
          </cell>
          <cell r="C574" t="str">
            <v>PZA</v>
          </cell>
          <cell r="D574">
            <v>3007.2384</v>
          </cell>
        </row>
        <row r="574">
          <cell r="F574">
            <v>3458.32416</v>
          </cell>
        </row>
        <row r="575">
          <cell r="A575" t="str">
            <v>CAMQ</v>
          </cell>
          <cell r="B575" t="str">
            <v>Cama queen size terminada</v>
          </cell>
          <cell r="C575" t="str">
            <v>PZA</v>
          </cell>
          <cell r="D575">
            <v>3417.31636363636</v>
          </cell>
        </row>
        <row r="575">
          <cell r="F575">
            <v>3929.91381818182</v>
          </cell>
        </row>
        <row r="576">
          <cell r="A576" t="str">
            <v>CAMT</v>
          </cell>
          <cell r="B576" t="str">
            <v>Cama para sentar tuberia</v>
          </cell>
          <cell r="C576" t="str">
            <v>ML</v>
          </cell>
          <cell r="D576">
            <v>12.53016</v>
          </cell>
        </row>
        <row r="576">
          <cell r="F576">
            <v>14.409684</v>
          </cell>
        </row>
        <row r="577">
          <cell r="A577" t="str">
            <v>CANES</v>
          </cell>
          <cell r="B577" t="str">
            <v>Canes de varilla p/sujecion reglas boquillas</v>
          </cell>
          <cell r="C577" t="str">
            <v>PZA</v>
          </cell>
          <cell r="D577">
            <v>13.6692654545455</v>
          </cell>
        </row>
        <row r="577">
          <cell r="F577">
            <v>15.7196552727273</v>
          </cell>
        </row>
        <row r="578">
          <cell r="A578" t="str">
            <v>CARR1</v>
          </cell>
          <cell r="B578" t="str">
            <v>Carrucha en fachadas para acarreo material</v>
          </cell>
          <cell r="C578" t="str">
            <v>PZA</v>
          </cell>
          <cell r="D578">
            <v>107.401371428571</v>
          </cell>
        </row>
        <row r="578">
          <cell r="F578">
            <v>123.511577142857</v>
          </cell>
        </row>
        <row r="579">
          <cell r="A579" t="str">
            <v>CCA01</v>
          </cell>
          <cell r="B579" t="str">
            <v>C.y colar castillo 3 caras p/20</v>
          </cell>
          <cell r="C579" t="str">
            <v>ML</v>
          </cell>
          <cell r="D579">
            <v>93.9762</v>
          </cell>
          <cell r="E579">
            <v>1</v>
          </cell>
          <cell r="F579">
            <v>108.07263</v>
          </cell>
        </row>
        <row r="580">
          <cell r="A580" t="str">
            <v>CCA02</v>
          </cell>
          <cell r="B580" t="str">
            <v>C.y colar castillo 3 caras p/20 2a h.</v>
          </cell>
          <cell r="C580" t="str">
            <v>ML</v>
          </cell>
          <cell r="D580">
            <v>108.07263</v>
          </cell>
          <cell r="E580">
            <v>1</v>
          </cell>
          <cell r="F580">
            <v>124.2835245</v>
          </cell>
        </row>
        <row r="581">
          <cell r="A581" t="str">
            <v>CCA03</v>
          </cell>
          <cell r="B581" t="str">
            <v>C.y colar castillo 3 caras p/capuchino o lagartija</v>
          </cell>
          <cell r="C581" t="str">
            <v>ML</v>
          </cell>
          <cell r="D581">
            <v>68.3463272727273</v>
          </cell>
          <cell r="E581">
            <v>1</v>
          </cell>
          <cell r="F581">
            <v>78.5982763636364</v>
          </cell>
        </row>
        <row r="582">
          <cell r="A582" t="str">
            <v>CCA04</v>
          </cell>
          <cell r="B582" t="str">
            <v>C.y colar castillo 3 caras p/capuchino 2a h.</v>
          </cell>
          <cell r="C582" t="str">
            <v>ML</v>
          </cell>
          <cell r="D582">
            <v>78.3135</v>
          </cell>
          <cell r="E582">
            <v>1</v>
          </cell>
          <cell r="F582">
            <v>90.060525</v>
          </cell>
        </row>
        <row r="583">
          <cell r="A583" t="str">
            <v>CCA05</v>
          </cell>
          <cell r="B583" t="str">
            <v>C.y colar castillo 3 caras p/soga</v>
          </cell>
          <cell r="C583" t="str">
            <v>ML</v>
          </cell>
          <cell r="D583">
            <v>75.18096</v>
          </cell>
          <cell r="E583">
            <v>1</v>
          </cell>
          <cell r="F583">
            <v>86.458104</v>
          </cell>
        </row>
        <row r="584">
          <cell r="A584" t="str">
            <v>CCA06</v>
          </cell>
          <cell r="B584" t="str">
            <v>C.y colar castillo 3 caras p/soga 2a h.</v>
          </cell>
          <cell r="C584" t="str">
            <v>ML</v>
          </cell>
          <cell r="D584">
            <v>86.458104</v>
          </cell>
          <cell r="E584">
            <v>1</v>
          </cell>
          <cell r="F584">
            <v>99.4268196</v>
          </cell>
        </row>
        <row r="585">
          <cell r="A585" t="str">
            <v>CCA07</v>
          </cell>
          <cell r="B585" t="str">
            <v>C.y colar castillo 3 caras p/tezon</v>
          </cell>
          <cell r="C585" t="str">
            <v>ML</v>
          </cell>
          <cell r="D585">
            <v>107.401371428571</v>
          </cell>
          <cell r="E585">
            <v>1</v>
          </cell>
          <cell r="F585">
            <v>123.511577142857</v>
          </cell>
        </row>
        <row r="586">
          <cell r="A586" t="str">
            <v>CCA08</v>
          </cell>
          <cell r="B586" t="str">
            <v>C.y colar castillo 3 caras p/tezon 2a h.</v>
          </cell>
          <cell r="C586" t="str">
            <v>ML</v>
          </cell>
          <cell r="D586">
            <v>123.511577142857</v>
          </cell>
          <cell r="E586">
            <v>1</v>
          </cell>
          <cell r="F586">
            <v>142.038313714286</v>
          </cell>
        </row>
        <row r="587">
          <cell r="A587" t="str">
            <v>CCA09</v>
          </cell>
          <cell r="B587" t="str">
            <v>C.y colar castillo p/20</v>
          </cell>
          <cell r="C587" t="str">
            <v>ML</v>
          </cell>
          <cell r="D587">
            <v>79.137852631579</v>
          </cell>
          <cell r="E587">
            <v>1</v>
          </cell>
          <cell r="F587">
            <v>91.0085305263158</v>
          </cell>
        </row>
        <row r="588">
          <cell r="A588" t="str">
            <v>CCA10</v>
          </cell>
          <cell r="B588" t="str">
            <v>C.y colar castillo p/20 2a h.</v>
          </cell>
          <cell r="C588" t="str">
            <v>ML</v>
          </cell>
          <cell r="D588">
            <v>91.1284363636364</v>
          </cell>
          <cell r="E588">
            <v>1</v>
          </cell>
          <cell r="F588">
            <v>104.797701818182</v>
          </cell>
        </row>
        <row r="589">
          <cell r="A589" t="str">
            <v>CCA11</v>
          </cell>
          <cell r="B589" t="str">
            <v>C.y colar castillo p/capuchino o lagartija</v>
          </cell>
          <cell r="C589" t="str">
            <v>ML</v>
          </cell>
          <cell r="D589">
            <v>60.144768</v>
          </cell>
          <cell r="E589">
            <v>1</v>
          </cell>
          <cell r="F589">
            <v>69.1664832</v>
          </cell>
        </row>
        <row r="590">
          <cell r="A590" t="str">
            <v>CCA12</v>
          </cell>
          <cell r="B590" t="str">
            <v>C.y colar castillo p/capuchino 2a h.</v>
          </cell>
          <cell r="C590" t="str">
            <v>ML</v>
          </cell>
          <cell r="D590">
            <v>68.9733577981651</v>
          </cell>
          <cell r="E590">
            <v>1</v>
          </cell>
          <cell r="F590">
            <v>79.3193614678899</v>
          </cell>
        </row>
        <row r="591">
          <cell r="A591" t="str">
            <v>CCA13</v>
          </cell>
          <cell r="B591" t="str">
            <v>C.y colar castillo p/soga</v>
          </cell>
          <cell r="C591" t="str">
            <v>ML</v>
          </cell>
          <cell r="D591">
            <v>65.374747826087</v>
          </cell>
          <cell r="E591">
            <v>1</v>
          </cell>
          <cell r="F591">
            <v>75.18096</v>
          </cell>
        </row>
        <row r="592">
          <cell r="A592" t="str">
            <v>CCA14</v>
          </cell>
          <cell r="B592" t="str">
            <v>C.y colar castillo p/soga 2a h.</v>
          </cell>
          <cell r="C592" t="str">
            <v>ML</v>
          </cell>
          <cell r="D592">
            <v>75.18096</v>
          </cell>
          <cell r="E592">
            <v>1</v>
          </cell>
          <cell r="F592">
            <v>86.458104</v>
          </cell>
        </row>
        <row r="593">
          <cell r="A593" t="str">
            <v>CCA15</v>
          </cell>
          <cell r="B593" t="str">
            <v>C.y colar castillo p/tezon</v>
          </cell>
          <cell r="C593" t="str">
            <v>ML</v>
          </cell>
          <cell r="D593">
            <v>88.4481882352941</v>
          </cell>
          <cell r="E593">
            <v>1</v>
          </cell>
          <cell r="F593">
            <v>101.715416470588</v>
          </cell>
        </row>
        <row r="594">
          <cell r="A594" t="str">
            <v>CCA16</v>
          </cell>
          <cell r="B594" t="str">
            <v>C.y colar castillo p/tezon 2a h.</v>
          </cell>
          <cell r="C594" t="str">
            <v>ML</v>
          </cell>
          <cell r="D594">
            <v>101.715416470588</v>
          </cell>
          <cell r="E594">
            <v>1</v>
          </cell>
          <cell r="F594">
            <v>116.972728941176</v>
          </cell>
        </row>
        <row r="595">
          <cell r="A595" t="str">
            <v>CCA17</v>
          </cell>
          <cell r="B595" t="str">
            <v>C y colar castillo 4 caras</v>
          </cell>
          <cell r="C595" t="str">
            <v>ML</v>
          </cell>
          <cell r="D595">
            <v>125.3016</v>
          </cell>
          <cell r="E595">
            <v>1</v>
          </cell>
          <cell r="F595">
            <v>144.09684</v>
          </cell>
        </row>
        <row r="596">
          <cell r="A596" t="str">
            <v>CCA201</v>
          </cell>
          <cell r="B596" t="str">
            <v>Cimbrar y colar castillo de 1 rostro muro de 20 c/twinos</v>
          </cell>
          <cell r="C596" t="str">
            <v>ML</v>
          </cell>
          <cell r="D596">
            <v>107.401371428571</v>
          </cell>
          <cell r="E596">
            <v>1</v>
          </cell>
          <cell r="F596">
            <v>123.511577142857</v>
          </cell>
        </row>
        <row r="597">
          <cell r="A597" t="str">
            <v>CCA202</v>
          </cell>
          <cell r="B597" t="str">
            <v>Cimbrar y colar castillo de 2 rostros muro de 20 c/twinos</v>
          </cell>
          <cell r="C597" t="str">
            <v>ML</v>
          </cell>
          <cell r="D597">
            <v>136.692654545455</v>
          </cell>
          <cell r="E597">
            <v>1</v>
          </cell>
          <cell r="F597">
            <v>157.196552727273</v>
          </cell>
        </row>
        <row r="598">
          <cell r="A598" t="str">
            <v>CCA203</v>
          </cell>
          <cell r="B598" t="str">
            <v>Cimbrar y colar castillo de 20 a 3a h</v>
          </cell>
          <cell r="C598" t="str">
            <v>ML</v>
          </cell>
          <cell r="D598">
            <v>102.987616438356</v>
          </cell>
          <cell r="E598">
            <v>1</v>
          </cell>
          <cell r="F598">
            <v>118.43575890411</v>
          </cell>
        </row>
        <row r="599">
          <cell r="A599" t="str">
            <v>CCA25</v>
          </cell>
          <cell r="B599" t="str">
            <v>C.y colar castillo para muro de 25</v>
          </cell>
          <cell r="C599" t="str">
            <v>ML</v>
          </cell>
          <cell r="D599">
            <v>98.2757647058824</v>
          </cell>
          <cell r="E599">
            <v>1</v>
          </cell>
          <cell r="F599">
            <v>113.017129411765</v>
          </cell>
        </row>
        <row r="600">
          <cell r="A600" t="str">
            <v>CCA252</v>
          </cell>
          <cell r="B600" t="str">
            <v>C.y colar castillo para muro de 25 2a h</v>
          </cell>
          <cell r="C600" t="str">
            <v>ML</v>
          </cell>
          <cell r="D600">
            <v>113.017129411765</v>
          </cell>
          <cell r="E600">
            <v>1</v>
          </cell>
          <cell r="F600">
            <v>129.969698823529</v>
          </cell>
        </row>
        <row r="601">
          <cell r="A601" t="str">
            <v>CCA253</v>
          </cell>
          <cell r="B601" t="str">
            <v>C.y colar castillo para muro de 25 3a h</v>
          </cell>
          <cell r="C601" t="str">
            <v>ML</v>
          </cell>
          <cell r="D601">
            <v>129.969698823529</v>
          </cell>
          <cell r="E601">
            <v>1</v>
          </cell>
          <cell r="F601">
            <v>149.465153647059</v>
          </cell>
        </row>
        <row r="602">
          <cell r="A602" t="str">
            <v>CCA253C</v>
          </cell>
          <cell r="B602" t="str">
            <v>C.y colar castillo 3 caras para muro 25</v>
          </cell>
          <cell r="C602" t="str">
            <v>ML</v>
          </cell>
          <cell r="D602">
            <v>117.47025</v>
          </cell>
          <cell r="E602">
            <v>1</v>
          </cell>
          <cell r="F602">
            <v>135.0907875</v>
          </cell>
        </row>
        <row r="603">
          <cell r="A603" t="str">
            <v>CCA253C2</v>
          </cell>
          <cell r="B603" t="str">
            <v>C.y colar castillo 3 caras para muro 25 2a h</v>
          </cell>
          <cell r="C603" t="str">
            <v>ML</v>
          </cell>
          <cell r="D603">
            <v>135.0907875</v>
          </cell>
          <cell r="E603">
            <v>1</v>
          </cell>
          <cell r="F603">
            <v>155.354405625</v>
          </cell>
        </row>
        <row r="604">
          <cell r="A604" t="str">
            <v>CCA35</v>
          </cell>
          <cell r="B604" t="str">
            <v>C.y colar castillo para muro de 35</v>
          </cell>
          <cell r="C604" t="str">
            <v>ML</v>
          </cell>
          <cell r="D604">
            <v>196.124243478261</v>
          </cell>
          <cell r="E604">
            <v>1</v>
          </cell>
          <cell r="F604">
            <v>225.54288</v>
          </cell>
        </row>
        <row r="605">
          <cell r="A605" t="str">
            <v>CCASO3</v>
          </cell>
          <cell r="B605" t="str">
            <v>Cimbrar y colar castillo de soga a 3a h</v>
          </cell>
          <cell r="C605" t="str">
            <v>ML</v>
          </cell>
          <cell r="D605">
            <v>81.7184347826087</v>
          </cell>
          <cell r="E605">
            <v>1</v>
          </cell>
          <cell r="F605">
            <v>93.9762</v>
          </cell>
        </row>
        <row r="606">
          <cell r="A606" t="str">
            <v>CCASO4</v>
          </cell>
          <cell r="B606" t="str">
            <v>Cimbrar y colar castillo de soga a 4a h</v>
          </cell>
          <cell r="C606" t="str">
            <v>ML</v>
          </cell>
          <cell r="D606">
            <v>93.9762</v>
          </cell>
          <cell r="E606">
            <v>1</v>
          </cell>
          <cell r="F606">
            <v>108.07263</v>
          </cell>
        </row>
        <row r="607">
          <cell r="A607" t="str">
            <v>CCASO5</v>
          </cell>
          <cell r="B607" t="str">
            <v>Cimbrar y colar castillo de soga a 5a h</v>
          </cell>
          <cell r="C607" t="str">
            <v>ML</v>
          </cell>
          <cell r="D607">
            <v>108.07263</v>
          </cell>
          <cell r="E607">
            <v>1</v>
          </cell>
          <cell r="F607">
            <v>124.2835245</v>
          </cell>
        </row>
        <row r="608">
          <cell r="A608" t="str">
            <v>CCATE3</v>
          </cell>
          <cell r="B608" t="str">
            <v>Cimbrar y colar castillo de tezon a 3a h</v>
          </cell>
          <cell r="C608" t="str">
            <v>ML</v>
          </cell>
          <cell r="D608">
            <v>122.16906</v>
          </cell>
          <cell r="E608">
            <v>1</v>
          </cell>
          <cell r="F608">
            <v>140.494419</v>
          </cell>
        </row>
        <row r="609">
          <cell r="A609" t="str">
            <v>CCATE4</v>
          </cell>
          <cell r="B609" t="str">
            <v>Cimbrar y colar castillo de tezon a 4a h</v>
          </cell>
          <cell r="C609" t="str">
            <v>ML</v>
          </cell>
          <cell r="D609">
            <v>140.494419</v>
          </cell>
          <cell r="E609">
            <v>1</v>
          </cell>
          <cell r="F609">
            <v>161.56858185</v>
          </cell>
        </row>
        <row r="610">
          <cell r="A610" t="str">
            <v>CCATE5</v>
          </cell>
          <cell r="B610" t="str">
            <v>Cimbrar y colar castillo de tezon a 5a h</v>
          </cell>
          <cell r="C610" t="str">
            <v>ML</v>
          </cell>
          <cell r="D610">
            <v>161.56858185</v>
          </cell>
          <cell r="E610">
            <v>1</v>
          </cell>
          <cell r="F610">
            <v>185.8038691275</v>
          </cell>
        </row>
        <row r="611">
          <cell r="A611" t="str">
            <v>CCATE1R</v>
          </cell>
          <cell r="B611" t="str">
            <v>Cimbrar y colar castillo de 1 rostro muro tezon c/twinos</v>
          </cell>
          <cell r="C611" t="str">
            <v>ML</v>
          </cell>
          <cell r="D611">
            <v>113.738214826021</v>
          </cell>
          <cell r="E611">
            <v>1</v>
          </cell>
          <cell r="F611">
            <v>130.798947049924</v>
          </cell>
        </row>
        <row r="612">
          <cell r="A612" t="str">
            <v>CCE20</v>
          </cell>
          <cell r="B612" t="str">
            <v>C. y colar cerramiento muro 20</v>
          </cell>
          <cell r="C612" t="str">
            <v>ML</v>
          </cell>
          <cell r="D612">
            <v>125.3016</v>
          </cell>
          <cell r="E612">
            <v>1</v>
          </cell>
          <cell r="F612">
            <v>144.09684</v>
          </cell>
        </row>
        <row r="613">
          <cell r="A613" t="str">
            <v>CCE25</v>
          </cell>
          <cell r="B613" t="str">
            <v>C. y colar cerramiento muro de 25</v>
          </cell>
          <cell r="C613" t="str">
            <v>ML</v>
          </cell>
          <cell r="D613">
            <v>159.959489361702</v>
          </cell>
          <cell r="E613">
            <v>1</v>
          </cell>
          <cell r="F613">
            <v>183.953412765957</v>
          </cell>
        </row>
        <row r="614">
          <cell r="A614" t="str">
            <v>CCE35</v>
          </cell>
          <cell r="B614" t="str">
            <v>C. y colar cerramiento muro de 35</v>
          </cell>
          <cell r="C614" t="str">
            <v>ML</v>
          </cell>
          <cell r="D614">
            <v>319.918978723404</v>
          </cell>
          <cell r="E614">
            <v>1</v>
          </cell>
          <cell r="F614">
            <v>367.906825531915</v>
          </cell>
        </row>
        <row r="615">
          <cell r="A615" t="str">
            <v>CCECA</v>
          </cell>
          <cell r="B615" t="str">
            <v>C. y colar cerramiento muro capuchino o lagartija</v>
          </cell>
          <cell r="C615" t="str">
            <v>ML</v>
          </cell>
          <cell r="D615">
            <v>68.3463272727273</v>
          </cell>
          <cell r="E615">
            <v>1</v>
          </cell>
          <cell r="F615">
            <v>78.5982763636364</v>
          </cell>
        </row>
        <row r="616">
          <cell r="A616" t="str">
            <v>CCESO</v>
          </cell>
          <cell r="B616" t="str">
            <v>C. y colar cerramiento muro soga</v>
          </cell>
          <cell r="C616" t="str">
            <v>ML</v>
          </cell>
          <cell r="D616">
            <v>83.5344</v>
          </cell>
          <cell r="E616">
            <v>1</v>
          </cell>
          <cell r="F616">
            <v>96.06456</v>
          </cell>
        </row>
        <row r="617">
          <cell r="A617" t="str">
            <v>CCETE</v>
          </cell>
          <cell r="B617" t="str">
            <v>C. y colar cerramiento muro tezon</v>
          </cell>
          <cell r="C617" t="str">
            <v>ML</v>
          </cell>
          <cell r="D617">
            <v>150.36192</v>
          </cell>
          <cell r="E617">
            <v>1</v>
          </cell>
          <cell r="F617">
            <v>172.916208</v>
          </cell>
        </row>
        <row r="618">
          <cell r="A618" t="str">
            <v>CDA01</v>
          </cell>
          <cell r="B618" t="str">
            <v>C. y colar dala corona 20</v>
          </cell>
          <cell r="C618" t="str">
            <v>ML</v>
          </cell>
          <cell r="D618">
            <v>88.4481882352941</v>
          </cell>
          <cell r="E618">
            <v>1</v>
          </cell>
          <cell r="F618">
            <v>101.715416470588</v>
          </cell>
        </row>
        <row r="619">
          <cell r="A619" t="str">
            <v>CDA02</v>
          </cell>
          <cell r="B619" t="str">
            <v>C. y colar dala corona capuchino</v>
          </cell>
          <cell r="C619" t="str">
            <v>ML</v>
          </cell>
          <cell r="D619">
            <v>68.3463272727273</v>
          </cell>
          <cell r="E619">
            <v>1</v>
          </cell>
          <cell r="F619">
            <v>78.5982763636364</v>
          </cell>
        </row>
        <row r="620">
          <cell r="A620" t="str">
            <v>CDA03</v>
          </cell>
          <cell r="B620" t="str">
            <v>C. y colar dala corona soga</v>
          </cell>
          <cell r="C620" t="str">
            <v>ML</v>
          </cell>
          <cell r="D620">
            <v>75.18096</v>
          </cell>
          <cell r="E620">
            <v>1</v>
          </cell>
          <cell r="F620">
            <v>86.458104</v>
          </cell>
        </row>
        <row r="621">
          <cell r="A621" t="str">
            <v>CDA04</v>
          </cell>
          <cell r="B621" t="str">
            <v>C. y colar dala corona tezon</v>
          </cell>
          <cell r="C621" t="str">
            <v>ML</v>
          </cell>
          <cell r="D621">
            <v>93.9762</v>
          </cell>
          <cell r="E621">
            <v>1</v>
          </cell>
          <cell r="F621">
            <v>108.07263</v>
          </cell>
        </row>
        <row r="622">
          <cell r="A622" t="str">
            <v>CDA05</v>
          </cell>
          <cell r="B622" t="str">
            <v>C. y colar dala desplante 20</v>
          </cell>
          <cell r="C622" t="str">
            <v>ML</v>
          </cell>
          <cell r="D622">
            <v>79.137852631579</v>
          </cell>
          <cell r="E622">
            <v>1</v>
          </cell>
          <cell r="F622">
            <v>91.0085305263158</v>
          </cell>
        </row>
        <row r="623">
          <cell r="A623" t="str">
            <v>CDA06</v>
          </cell>
          <cell r="B623" t="str">
            <v>C. y colar dala desplante capuchino o lagartija</v>
          </cell>
          <cell r="C623" t="str">
            <v>ML</v>
          </cell>
          <cell r="D623">
            <v>62.6508</v>
          </cell>
          <cell r="E623">
            <v>1</v>
          </cell>
          <cell r="F623">
            <v>72.04842</v>
          </cell>
        </row>
        <row r="624">
          <cell r="A624" t="str">
            <v>CDA07</v>
          </cell>
          <cell r="B624" t="str">
            <v>C. y colar dala desplante soga</v>
          </cell>
          <cell r="C624" t="str">
            <v>ML</v>
          </cell>
          <cell r="D624">
            <v>62.6508</v>
          </cell>
          <cell r="E624">
            <v>1</v>
          </cell>
          <cell r="F624">
            <v>72.04842</v>
          </cell>
        </row>
        <row r="625">
          <cell r="A625" t="str">
            <v>CDA08</v>
          </cell>
          <cell r="B625" t="str">
            <v>C. y colar dala desplante tezon</v>
          </cell>
          <cell r="C625" t="str">
            <v>ML</v>
          </cell>
          <cell r="D625">
            <v>83.5344</v>
          </cell>
          <cell r="E625">
            <v>1</v>
          </cell>
          <cell r="F625">
            <v>96.06456</v>
          </cell>
        </row>
        <row r="626">
          <cell r="A626" t="str">
            <v>CDA09</v>
          </cell>
          <cell r="B626" t="str">
            <v>C. y colar dala intermedia 20</v>
          </cell>
          <cell r="C626" t="str">
            <v>ML</v>
          </cell>
          <cell r="D626">
            <v>83.5344</v>
          </cell>
          <cell r="E626">
            <v>1</v>
          </cell>
          <cell r="F626">
            <v>96.06456</v>
          </cell>
        </row>
        <row r="627">
          <cell r="A627" t="str">
            <v>CDA10</v>
          </cell>
          <cell r="B627" t="str">
            <v>C. y colar dala intermedia capuchino</v>
          </cell>
          <cell r="C627" t="str">
            <v>ML</v>
          </cell>
          <cell r="D627">
            <v>71.6009142857143</v>
          </cell>
          <cell r="E627">
            <v>1</v>
          </cell>
          <cell r="F627">
            <v>82.3410514285714</v>
          </cell>
        </row>
        <row r="628">
          <cell r="A628" t="str">
            <v>CDA11</v>
          </cell>
          <cell r="B628" t="str">
            <v>C. y colar dala intermedia soga</v>
          </cell>
          <cell r="C628" t="str">
            <v>ML</v>
          </cell>
          <cell r="D628">
            <v>71.6009142857143</v>
          </cell>
          <cell r="E628">
            <v>1</v>
          </cell>
          <cell r="F628">
            <v>82.3410514285714</v>
          </cell>
        </row>
        <row r="629">
          <cell r="A629" t="str">
            <v>CDA12</v>
          </cell>
          <cell r="B629" t="str">
            <v>C. y colar dala intermedia tezon</v>
          </cell>
          <cell r="C629" t="str">
            <v>ML</v>
          </cell>
          <cell r="D629">
            <v>88.4481882352941</v>
          </cell>
          <cell r="E629">
            <v>1</v>
          </cell>
          <cell r="F629">
            <v>101.715416470588</v>
          </cell>
        </row>
        <row r="630">
          <cell r="A630" t="str">
            <v>CDA201</v>
          </cell>
          <cell r="B630" t="str">
            <v>Cimbrar y colar dala de 1 rostro muro de 20 c/twinos</v>
          </cell>
          <cell r="C630" t="str">
            <v>ML</v>
          </cell>
          <cell r="D630">
            <v>107.401371428571</v>
          </cell>
          <cell r="E630">
            <v>1</v>
          </cell>
          <cell r="F630">
            <v>123.511577142857</v>
          </cell>
        </row>
        <row r="631">
          <cell r="A631" t="str">
            <v>CDA202</v>
          </cell>
          <cell r="B631" t="str">
            <v>Cimbrar y colar dala de 2 rostro muro de 20 c/twinos</v>
          </cell>
          <cell r="C631" t="str">
            <v>ML</v>
          </cell>
          <cell r="D631">
            <v>136.692654545455</v>
          </cell>
          <cell r="E631">
            <v>1</v>
          </cell>
          <cell r="F631">
            <v>157.196552727273</v>
          </cell>
        </row>
        <row r="632">
          <cell r="A632" t="str">
            <v>CDA25D</v>
          </cell>
          <cell r="B632" t="str">
            <v>C. y colar dala desplante muro de 25</v>
          </cell>
          <cell r="C632" t="str">
            <v>ML</v>
          </cell>
          <cell r="D632">
            <v>92.816</v>
          </cell>
          <cell r="E632">
            <v>1</v>
          </cell>
          <cell r="F632">
            <v>106.7384</v>
          </cell>
        </row>
        <row r="633">
          <cell r="A633" t="str">
            <v>CDA25I</v>
          </cell>
          <cell r="B633" t="str">
            <v>C. y colar dala intermedia muro de 25</v>
          </cell>
          <cell r="C633" t="str">
            <v>ML</v>
          </cell>
          <cell r="D633">
            <v>106.7384</v>
          </cell>
          <cell r="E633">
            <v>1</v>
          </cell>
          <cell r="F633">
            <v>122.74916</v>
          </cell>
        </row>
        <row r="634">
          <cell r="A634" t="str">
            <v>CDA25C</v>
          </cell>
          <cell r="B634" t="str">
            <v>C. y colar dala corona muro de 25</v>
          </cell>
          <cell r="C634" t="str">
            <v>ML</v>
          </cell>
          <cell r="D634">
            <v>113.910545454545</v>
          </cell>
          <cell r="E634">
            <v>1</v>
          </cell>
          <cell r="F634">
            <v>130.997127272727</v>
          </cell>
        </row>
        <row r="635">
          <cell r="A635" t="str">
            <v>CDA301</v>
          </cell>
          <cell r="B635" t="str">
            <v>Cimbrar y colar dala de 1 rostro muro de 30 c/twinos</v>
          </cell>
          <cell r="C635" t="str">
            <v>ML</v>
          </cell>
          <cell r="D635">
            <v>150.36192</v>
          </cell>
          <cell r="E635">
            <v>1</v>
          </cell>
          <cell r="F635">
            <v>172.916208</v>
          </cell>
        </row>
        <row r="636">
          <cell r="A636" t="str">
            <v>CDATE1</v>
          </cell>
          <cell r="B636" t="str">
            <v>Cimbrar y colar dala de 1 rostro muro tezon c/twinos</v>
          </cell>
          <cell r="C636" t="str">
            <v>ML</v>
          </cell>
          <cell r="D636">
            <v>113.738214826021</v>
          </cell>
          <cell r="E636">
            <v>1</v>
          </cell>
          <cell r="F636">
            <v>130.798947049924</v>
          </cell>
        </row>
        <row r="637">
          <cell r="A637" t="str">
            <v>CDATE2</v>
          </cell>
          <cell r="B637" t="str">
            <v>Cimbrar y colar dala de 2 rostros muro tezon c/twinos</v>
          </cell>
          <cell r="C637" t="str">
            <v>ML</v>
          </cell>
          <cell r="D637">
            <v>130.798947049924</v>
          </cell>
          <cell r="E637">
            <v>1</v>
          </cell>
          <cell r="F637">
            <v>150.418789107413</v>
          </cell>
        </row>
        <row r="638">
          <cell r="A638" t="str">
            <v>CDA20X40</v>
          </cell>
          <cell r="B638" t="str">
            <v>Cimbrar y colar dala 20x40 con trompo</v>
          </cell>
          <cell r="C638" t="str">
            <v>ML</v>
          </cell>
          <cell r="D638">
            <v>80</v>
          </cell>
        </row>
        <row r="639">
          <cell r="A639" t="str">
            <v>CEL01</v>
          </cell>
          <cell r="B639" t="str">
            <v>Celosia, instalacion</v>
          </cell>
          <cell r="C639" t="str">
            <v>M2</v>
          </cell>
          <cell r="D639">
            <v>250.6032</v>
          </cell>
        </row>
        <row r="639">
          <cell r="F639">
            <v>288.19368</v>
          </cell>
        </row>
        <row r="640">
          <cell r="A640" t="str">
            <v>CELOT</v>
          </cell>
          <cell r="B640" t="str">
            <v>Celotex, colocacion</v>
          </cell>
          <cell r="C640" t="str">
            <v>ML</v>
          </cell>
          <cell r="D640">
            <v>7.518096</v>
          </cell>
        </row>
        <row r="640">
          <cell r="F640">
            <v>8.6458104</v>
          </cell>
        </row>
        <row r="641">
          <cell r="A641" t="str">
            <v>CESP</v>
          </cell>
          <cell r="B641" t="str">
            <v>Cesped plantado en rollo incluye acarreos, preparacion</v>
          </cell>
          <cell r="C641" t="str">
            <v>M2</v>
          </cell>
          <cell r="D641">
            <v>7.518096</v>
          </cell>
        </row>
        <row r="641">
          <cell r="F641">
            <v>8.6458104</v>
          </cell>
        </row>
        <row r="642">
          <cell r="A642" t="str">
            <v>CIM01</v>
          </cell>
          <cell r="B642" t="str">
            <v>Cimbra perimetral en losa de concreto o piso</v>
          </cell>
          <cell r="C642" t="str">
            <v>ML</v>
          </cell>
          <cell r="D642">
            <v>7.518096</v>
          </cell>
        </row>
        <row r="642">
          <cell r="F642">
            <v>8.6458104</v>
          </cell>
        </row>
        <row r="643">
          <cell r="A643" t="str">
            <v>CIM02</v>
          </cell>
          <cell r="B643" t="str">
            <v>Cimbra perimetral en piso</v>
          </cell>
          <cell r="C643" t="str">
            <v>ML</v>
          </cell>
          <cell r="D643">
            <v>7.518096</v>
          </cell>
        </row>
        <row r="643">
          <cell r="F643">
            <v>8.6458104</v>
          </cell>
        </row>
        <row r="644">
          <cell r="A644" t="str">
            <v>CIM03</v>
          </cell>
          <cell r="B644" t="str">
            <v>Cimbra y descimbra de castillo</v>
          </cell>
          <cell r="C644" t="str">
            <v>ML</v>
          </cell>
          <cell r="D644">
            <v>37.59048</v>
          </cell>
        </row>
        <row r="644">
          <cell r="F644">
            <v>43.229052</v>
          </cell>
        </row>
        <row r="645">
          <cell r="A645" t="str">
            <v>CIM04</v>
          </cell>
          <cell r="B645" t="str">
            <v>Cimbra y descimbra de columna o dado</v>
          </cell>
          <cell r="C645" t="str">
            <v>ML</v>
          </cell>
          <cell r="D645">
            <v>75.18096</v>
          </cell>
        </row>
        <row r="645">
          <cell r="F645">
            <v>86.458104</v>
          </cell>
        </row>
        <row r="646">
          <cell r="A646" t="str">
            <v>CIM05</v>
          </cell>
          <cell r="B646" t="str">
            <v>Cimbra y descimbra de dala</v>
          </cell>
          <cell r="C646" t="str">
            <v>ML</v>
          </cell>
          <cell r="D646">
            <v>37.59048</v>
          </cell>
        </row>
        <row r="646">
          <cell r="F646">
            <v>43.229052</v>
          </cell>
        </row>
        <row r="647">
          <cell r="A647" t="str">
            <v>CIM06</v>
          </cell>
          <cell r="B647" t="str">
            <v>Cimbra de losa con triplay</v>
          </cell>
          <cell r="C647" t="str">
            <v>M2</v>
          </cell>
          <cell r="D647">
            <v>50.12064</v>
          </cell>
        </row>
        <row r="647">
          <cell r="F647">
            <v>57.638736</v>
          </cell>
        </row>
        <row r="648">
          <cell r="A648" t="str">
            <v>CMA01</v>
          </cell>
          <cell r="B648" t="str">
            <v>C. y colar macizo en muro</v>
          </cell>
          <cell r="C648" t="str">
            <v>PZA</v>
          </cell>
          <cell r="D648">
            <v>93.9762</v>
          </cell>
          <cell r="E648">
            <v>1</v>
          </cell>
          <cell r="F648">
            <v>108.07263</v>
          </cell>
        </row>
        <row r="649">
          <cell r="A649" t="str">
            <v>CMA02</v>
          </cell>
          <cell r="B649" t="str">
            <v>Colado de macizo en acuñados</v>
          </cell>
          <cell r="C649" t="str">
            <v>PZA</v>
          </cell>
          <cell r="D649">
            <v>75.18096</v>
          </cell>
          <cell r="E649">
            <v>1</v>
          </cell>
          <cell r="F649">
            <v>86.458104</v>
          </cell>
        </row>
        <row r="650">
          <cell r="A650" t="str">
            <v>COL01</v>
          </cell>
          <cell r="B650" t="str">
            <v>Columna redonda diametro 50 cms terminada</v>
          </cell>
          <cell r="C650" t="str">
            <v>ML</v>
          </cell>
          <cell r="D650">
            <v>501.2064</v>
          </cell>
        </row>
        <row r="650">
          <cell r="F650">
            <v>576.38736</v>
          </cell>
        </row>
        <row r="651">
          <cell r="A651" t="str">
            <v>COL02</v>
          </cell>
          <cell r="B651" t="str">
            <v>Columna cuadrada forjada con ladrillo 50 cms esp.</v>
          </cell>
          <cell r="C651" t="str">
            <v>ML</v>
          </cell>
          <cell r="D651">
            <v>300.72384</v>
          </cell>
        </row>
        <row r="651">
          <cell r="F651">
            <v>345.832416</v>
          </cell>
        </row>
        <row r="652">
          <cell r="A652" t="str">
            <v>COM01</v>
          </cell>
          <cell r="B652" t="str">
            <v>Compactacion de terreno suelto con bailarina</v>
          </cell>
          <cell r="C652" t="str">
            <v>M2</v>
          </cell>
          <cell r="D652">
            <v>12.53016</v>
          </cell>
        </row>
        <row r="652">
          <cell r="F652">
            <v>14.409684</v>
          </cell>
        </row>
        <row r="653">
          <cell r="A653" t="str">
            <v>COM02</v>
          </cell>
          <cell r="B653" t="str">
            <v>Compactacion terreno con pizon en capas de 10-15</v>
          </cell>
          <cell r="C653" t="str">
            <v>M2</v>
          </cell>
          <cell r="D653">
            <v>50.12064</v>
          </cell>
        </row>
        <row r="653">
          <cell r="F653">
            <v>57.638736</v>
          </cell>
        </row>
        <row r="654">
          <cell r="A654" t="str">
            <v>CON01</v>
          </cell>
          <cell r="B654" t="str">
            <v>Colar concreto hecho en obra</v>
          </cell>
          <cell r="C654" t="str">
            <v>M3</v>
          </cell>
          <cell r="D654">
            <v>375.9048</v>
          </cell>
          <cell r="E654">
            <v>1</v>
          </cell>
          <cell r="F654">
            <v>432.29052</v>
          </cell>
        </row>
        <row r="655">
          <cell r="A655" t="str">
            <v>CON02</v>
          </cell>
          <cell r="B655" t="str">
            <v>Colar concreto premezclado vaciado con carretilla</v>
          </cell>
          <cell r="C655" t="str">
            <v>M3</v>
          </cell>
          <cell r="D655">
            <v>187.9524</v>
          </cell>
        </row>
        <row r="655">
          <cell r="F655">
            <v>216.14526</v>
          </cell>
        </row>
        <row r="656">
          <cell r="A656" t="str">
            <v>CON03</v>
          </cell>
          <cell r="B656" t="str">
            <v>Colar concreto premezclado vaciado con bomba</v>
          </cell>
          <cell r="C656" t="str">
            <v>M3</v>
          </cell>
          <cell r="D656">
            <v>37.59048</v>
          </cell>
        </row>
        <row r="656">
          <cell r="F656">
            <v>43.229052</v>
          </cell>
        </row>
        <row r="657">
          <cell r="A657" t="str">
            <v>CONT1</v>
          </cell>
          <cell r="B657" t="str">
            <v>Contracimbra de ladrillo p/zapata</v>
          </cell>
          <cell r="C657" t="str">
            <v>ML</v>
          </cell>
          <cell r="D657">
            <v>37.59048</v>
          </cell>
          <cell r="E657">
            <v>1</v>
          </cell>
          <cell r="F657">
            <v>43.229052</v>
          </cell>
        </row>
        <row r="658">
          <cell r="A658" t="str">
            <v>COR01</v>
          </cell>
          <cell r="B658" t="str">
            <v>Corte de piso con maquina losa de 15-20 cms</v>
          </cell>
          <cell r="C658" t="str">
            <v>ML</v>
          </cell>
          <cell r="D658">
            <v>18.4654989473684</v>
          </cell>
        </row>
        <row r="658">
          <cell r="F658">
            <v>21.2353237894737</v>
          </cell>
        </row>
        <row r="659">
          <cell r="A659" t="str">
            <v>COR01a</v>
          </cell>
          <cell r="B659" t="str">
            <v>Corte de piso de concreto espesor de 5-10 cms</v>
          </cell>
          <cell r="C659" t="str">
            <v>ML</v>
          </cell>
          <cell r="D659">
            <v>11.8395212598425</v>
          </cell>
        </row>
        <row r="659">
          <cell r="F659">
            <v>13.6154494488189</v>
          </cell>
        </row>
        <row r="660">
          <cell r="A660" t="str">
            <v>COR01b</v>
          </cell>
          <cell r="B660" t="str">
            <v>Corte de losa de concreto de 3 cms para marcar losas</v>
          </cell>
          <cell r="C660" t="str">
            <v>ML</v>
          </cell>
          <cell r="D660">
            <v>5.78315076923077</v>
          </cell>
        </row>
        <row r="660">
          <cell r="F660">
            <v>6.65062338461538</v>
          </cell>
        </row>
        <row r="661">
          <cell r="A661" t="str">
            <v>COR02</v>
          </cell>
          <cell r="B661" t="str">
            <v>Corte de varilla</v>
          </cell>
          <cell r="C661" t="str">
            <v>PZA</v>
          </cell>
          <cell r="D661">
            <v>3.0072384</v>
          </cell>
        </row>
        <row r="661">
          <cell r="F661">
            <v>3.45832416</v>
          </cell>
        </row>
        <row r="662">
          <cell r="A662" t="str">
            <v>COR03</v>
          </cell>
          <cell r="B662" t="str">
            <v>Corte de ladrillo de azotea con cincel y marro</v>
          </cell>
          <cell r="C662" t="str">
            <v>ML</v>
          </cell>
          <cell r="D662">
            <v>25.06032</v>
          </cell>
        </row>
        <row r="662">
          <cell r="F662">
            <v>28.819368</v>
          </cell>
        </row>
        <row r="663">
          <cell r="A663" t="str">
            <v>COR04</v>
          </cell>
          <cell r="B663" t="str">
            <v>Corte de viga de 4 " con segueta</v>
          </cell>
          <cell r="C663" t="str">
            <v>PZA</v>
          </cell>
          <cell r="D663">
            <v>150.36192</v>
          </cell>
        </row>
        <row r="663">
          <cell r="F663">
            <v>172.916208</v>
          </cell>
        </row>
        <row r="664">
          <cell r="A664" t="str">
            <v>CRU01</v>
          </cell>
          <cell r="B664" t="str">
            <v>Crucetas colocacion y habilitado a nivel</v>
          </cell>
          <cell r="C664" t="str">
            <v>PZA</v>
          </cell>
          <cell r="D664">
            <v>25.06032</v>
          </cell>
        </row>
        <row r="664">
          <cell r="F664">
            <v>28.819368</v>
          </cell>
        </row>
        <row r="665">
          <cell r="A665" t="str">
            <v>CUAR</v>
          </cell>
          <cell r="B665" t="str">
            <v>Instalacion de cuarteron en cubiertas, junteado</v>
          </cell>
          <cell r="C665" t="str">
            <v>M2</v>
          </cell>
          <cell r="D665">
            <v>659.482105263158</v>
          </cell>
        </row>
        <row r="665">
          <cell r="F665">
            <v>758.404421052632</v>
          </cell>
        </row>
        <row r="666">
          <cell r="A666" t="str">
            <v>CHA01</v>
          </cell>
          <cell r="B666" t="str">
            <v>Chaflan en boquilla ( botaguas )</v>
          </cell>
          <cell r="C666" t="str">
            <v>ML</v>
          </cell>
          <cell r="D666">
            <v>37.59048</v>
          </cell>
          <cell r="E666">
            <v>1</v>
          </cell>
          <cell r="F666">
            <v>43.229052</v>
          </cell>
        </row>
        <row r="667">
          <cell r="A667" t="str">
            <v>CHA02</v>
          </cell>
          <cell r="B667" t="str">
            <v>Chaflan en arista de muros corte a 45</v>
          </cell>
          <cell r="C667" t="str">
            <v>ML</v>
          </cell>
          <cell r="D667">
            <v>25.06032</v>
          </cell>
        </row>
        <row r="667">
          <cell r="F667">
            <v>28.819368</v>
          </cell>
        </row>
        <row r="668">
          <cell r="A668" t="str">
            <v>DADO</v>
          </cell>
          <cell r="B668" t="str">
            <v>Cimbra y colado de dado revoltura hecha en obra</v>
          </cell>
          <cell r="C668" t="str">
            <v>ML</v>
          </cell>
          <cell r="D668">
            <v>375.9048</v>
          </cell>
          <cell r="E668">
            <v>1</v>
          </cell>
          <cell r="F668">
            <v>432.29052</v>
          </cell>
        </row>
        <row r="669">
          <cell r="A669" t="str">
            <v>DADO2</v>
          </cell>
          <cell r="B669" t="str">
            <v>Colado de dado rev. Premezclada</v>
          </cell>
          <cell r="C669" t="str">
            <v>M3</v>
          </cell>
          <cell r="D669">
            <v>250.6032</v>
          </cell>
        </row>
        <row r="669">
          <cell r="F669">
            <v>288.19368</v>
          </cell>
        </row>
        <row r="670">
          <cell r="A670" t="str">
            <v>DECK</v>
          </cell>
          <cell r="B670" t="str">
            <v>Colado de decklosa concreto premezclado incluye aplanado</v>
          </cell>
          <cell r="C670" t="str">
            <v>M2</v>
          </cell>
          <cell r="D670">
            <v>46.9881</v>
          </cell>
        </row>
        <row r="670">
          <cell r="F670">
            <v>54.036315</v>
          </cell>
        </row>
        <row r="671">
          <cell r="A671" t="str">
            <v>DEM01</v>
          </cell>
          <cell r="B671" t="str">
            <v>Demoler boveda de ladrillo</v>
          </cell>
          <cell r="C671" t="str">
            <v>M2</v>
          </cell>
          <cell r="D671">
            <v>60.6723536842106</v>
          </cell>
        </row>
        <row r="671">
          <cell r="F671">
            <v>69.7732067368421</v>
          </cell>
        </row>
        <row r="672">
          <cell r="A672" t="str">
            <v>DEM02</v>
          </cell>
          <cell r="B672" t="str">
            <v>Demoler losa armada en piso esp. 10 cms</v>
          </cell>
          <cell r="C672" t="str">
            <v>M2</v>
          </cell>
          <cell r="D672">
            <v>150.36192</v>
          </cell>
        </row>
        <row r="672">
          <cell r="F672">
            <v>172.916208</v>
          </cell>
        </row>
        <row r="673">
          <cell r="A673" t="str">
            <v>DEM02R</v>
          </cell>
          <cell r="B673" t="str">
            <v>Demoler losa armada en piso esp. 10 cms con rotomartillo</v>
          </cell>
          <cell r="C673" t="str">
            <v>M2</v>
          </cell>
          <cell r="D673">
            <v>75.18096</v>
          </cell>
        </row>
        <row r="673">
          <cell r="F673">
            <v>86.458104</v>
          </cell>
        </row>
        <row r="674">
          <cell r="A674" t="str">
            <v>DEM03</v>
          </cell>
          <cell r="B674" t="str">
            <v>Demoler losa armada en piso esp. 15 cms</v>
          </cell>
          <cell r="C674" t="str">
            <v>M2</v>
          </cell>
          <cell r="D674">
            <v>225.54288</v>
          </cell>
        </row>
        <row r="674">
          <cell r="F674">
            <v>259.374312</v>
          </cell>
        </row>
        <row r="675">
          <cell r="A675" t="str">
            <v>DEM03R</v>
          </cell>
          <cell r="B675" t="str">
            <v>Demoler losa armada en piso esp. 15 cms con rotomartillo</v>
          </cell>
          <cell r="C675" t="str">
            <v>M2</v>
          </cell>
          <cell r="D675">
            <v>112.77144</v>
          </cell>
        </row>
        <row r="675">
          <cell r="F675">
            <v>129.687156</v>
          </cell>
        </row>
        <row r="676">
          <cell r="A676" t="str">
            <v>DEM04</v>
          </cell>
          <cell r="B676" t="str">
            <v>Demoler losa armada en piso esp. 20 cms</v>
          </cell>
          <cell r="C676" t="str">
            <v>M2</v>
          </cell>
          <cell r="D676">
            <v>300.72384</v>
          </cell>
        </row>
        <row r="676">
          <cell r="F676">
            <v>345.832416</v>
          </cell>
        </row>
        <row r="677">
          <cell r="A677" t="str">
            <v>DEM04R</v>
          </cell>
          <cell r="B677" t="str">
            <v>Demoler losa armada en piso esp. 20 cms con rotomartillo</v>
          </cell>
          <cell r="C677" t="str">
            <v>M2</v>
          </cell>
          <cell r="D677">
            <v>150.36192</v>
          </cell>
        </row>
        <row r="677">
          <cell r="F677">
            <v>172.916208</v>
          </cell>
        </row>
        <row r="678">
          <cell r="A678" t="str">
            <v>DEM05</v>
          </cell>
          <cell r="B678" t="str">
            <v>Demoler losa armada esp. 10 cms</v>
          </cell>
          <cell r="C678" t="str">
            <v>M2</v>
          </cell>
          <cell r="D678">
            <v>107.401371428571</v>
          </cell>
        </row>
        <row r="678">
          <cell r="F678">
            <v>123.511577142857</v>
          </cell>
        </row>
        <row r="679">
          <cell r="A679" t="str">
            <v>DEM06</v>
          </cell>
          <cell r="B679" t="str">
            <v>Demoler media caña</v>
          </cell>
          <cell r="C679" t="str">
            <v>ML</v>
          </cell>
          <cell r="D679">
            <v>16.70688</v>
          </cell>
        </row>
        <row r="679">
          <cell r="F679">
            <v>19.212912</v>
          </cell>
        </row>
        <row r="680">
          <cell r="A680" t="str">
            <v>DEM07</v>
          </cell>
          <cell r="B680" t="str">
            <v>Demoler muro de tablaroca y canales</v>
          </cell>
          <cell r="C680" t="str">
            <v>M2</v>
          </cell>
          <cell r="D680">
            <v>18.79524</v>
          </cell>
        </row>
        <row r="680">
          <cell r="F680">
            <v>21.614526</v>
          </cell>
        </row>
        <row r="681">
          <cell r="A681" t="str">
            <v>DEM08</v>
          </cell>
          <cell r="B681" t="str">
            <v>Demoler plafond de tablaroca incluye alambres y canales</v>
          </cell>
          <cell r="C681" t="str">
            <v>M2</v>
          </cell>
          <cell r="D681">
            <v>20.8836</v>
          </cell>
        </row>
        <row r="681">
          <cell r="F681">
            <v>24.01614</v>
          </cell>
        </row>
        <row r="682">
          <cell r="A682" t="str">
            <v>DEM09</v>
          </cell>
          <cell r="B682" t="str">
            <v>Demoler plafond metal desplegado</v>
          </cell>
          <cell r="C682" t="str">
            <v>M2</v>
          </cell>
          <cell r="D682">
            <v>41.7672</v>
          </cell>
        </row>
        <row r="682">
          <cell r="F682">
            <v>48.03228</v>
          </cell>
        </row>
        <row r="683">
          <cell r="A683" t="str">
            <v>DEM10</v>
          </cell>
          <cell r="B683" t="str">
            <v>Demoler tubo de drenaje 6"</v>
          </cell>
          <cell r="C683" t="str">
            <v>ML</v>
          </cell>
          <cell r="D683">
            <v>16.70688</v>
          </cell>
        </row>
        <row r="683">
          <cell r="F683">
            <v>19.212912</v>
          </cell>
        </row>
        <row r="684">
          <cell r="A684" t="str">
            <v>DEM11</v>
          </cell>
          <cell r="B684" t="str">
            <v>Demolicion de boquilla</v>
          </cell>
          <cell r="C684" t="str">
            <v>ML</v>
          </cell>
          <cell r="D684">
            <v>12.53016</v>
          </cell>
        </row>
        <row r="684">
          <cell r="F684">
            <v>14.409684</v>
          </cell>
        </row>
        <row r="685">
          <cell r="A685" t="str">
            <v>DEM12</v>
          </cell>
          <cell r="B685" t="str">
            <v>Demolicion de castillo muro de 20</v>
          </cell>
          <cell r="C685" t="str">
            <v>ML</v>
          </cell>
          <cell r="D685">
            <v>93.9762</v>
          </cell>
        </row>
        <row r="685">
          <cell r="F685">
            <v>108.07263</v>
          </cell>
        </row>
        <row r="686">
          <cell r="A686" t="str">
            <v>DEM13</v>
          </cell>
          <cell r="B686" t="str">
            <v>Demolicion de castillo muro de capuchino</v>
          </cell>
          <cell r="C686" t="str">
            <v>ML</v>
          </cell>
          <cell r="D686">
            <v>50.12064</v>
          </cell>
        </row>
        <row r="686">
          <cell r="F686">
            <v>57.638736</v>
          </cell>
        </row>
        <row r="687">
          <cell r="A687" t="str">
            <v>DEM14</v>
          </cell>
          <cell r="B687" t="str">
            <v>Demolicion de castillo muro de soga</v>
          </cell>
          <cell r="C687" t="str">
            <v>ML</v>
          </cell>
          <cell r="D687">
            <v>83.5344</v>
          </cell>
        </row>
        <row r="687">
          <cell r="F687">
            <v>96.06456</v>
          </cell>
        </row>
        <row r="688">
          <cell r="A688" t="str">
            <v>DEM15</v>
          </cell>
          <cell r="B688" t="str">
            <v>Demolicion de castillo muro de tezon</v>
          </cell>
          <cell r="C688" t="str">
            <v>ML</v>
          </cell>
          <cell r="D688">
            <v>93.9762</v>
          </cell>
        </row>
        <row r="688">
          <cell r="F688">
            <v>108.07263</v>
          </cell>
        </row>
        <row r="689">
          <cell r="A689" t="str">
            <v>DEM16</v>
          </cell>
          <cell r="B689" t="str">
            <v>Demolicion de cerramiento con marro y cincel</v>
          </cell>
          <cell r="C689" t="str">
            <v>ML</v>
          </cell>
          <cell r="D689">
            <v>93.9762</v>
          </cell>
        </row>
        <row r="689">
          <cell r="F689">
            <v>108.07263</v>
          </cell>
        </row>
        <row r="690">
          <cell r="A690" t="str">
            <v>DEM17</v>
          </cell>
          <cell r="B690" t="str">
            <v>Demolicion de cimiento de piedra c/marro</v>
          </cell>
          <cell r="C690" t="str">
            <v>M3</v>
          </cell>
          <cell r="D690">
            <v>216.686977443609</v>
          </cell>
        </row>
        <row r="690">
          <cell r="F690">
            <v>249.19002406015</v>
          </cell>
        </row>
        <row r="691">
          <cell r="A691" t="str">
            <v>DEM18</v>
          </cell>
          <cell r="B691" t="str">
            <v>Demolicion de dala muro de 20</v>
          </cell>
          <cell r="C691" t="str">
            <v>ML</v>
          </cell>
          <cell r="D691">
            <v>93.9762</v>
          </cell>
        </row>
        <row r="691">
          <cell r="F691">
            <v>108.07263</v>
          </cell>
        </row>
        <row r="692">
          <cell r="A692" t="str">
            <v>DEM19</v>
          </cell>
          <cell r="B692" t="str">
            <v>Demolicion de dala muro de capuchino</v>
          </cell>
          <cell r="C692" t="str">
            <v>ML</v>
          </cell>
          <cell r="D692">
            <v>50.12064</v>
          </cell>
        </row>
        <row r="692">
          <cell r="F692">
            <v>57.638736</v>
          </cell>
        </row>
        <row r="693">
          <cell r="A693" t="str">
            <v>DEM20</v>
          </cell>
          <cell r="B693" t="str">
            <v>Demolicion de dala muro de soga</v>
          </cell>
          <cell r="C693" t="str">
            <v>ML</v>
          </cell>
          <cell r="D693">
            <v>83.5344</v>
          </cell>
        </row>
        <row r="693">
          <cell r="F693">
            <v>96.06456</v>
          </cell>
        </row>
        <row r="694">
          <cell r="A694" t="str">
            <v>DEM21</v>
          </cell>
          <cell r="B694" t="str">
            <v>Demolicion de dala muro de tezon</v>
          </cell>
          <cell r="C694" t="str">
            <v>ML</v>
          </cell>
          <cell r="D694">
            <v>93.9762</v>
          </cell>
        </row>
        <row r="694">
          <cell r="F694">
            <v>108.07263</v>
          </cell>
        </row>
        <row r="695">
          <cell r="A695" t="str">
            <v>DEM22</v>
          </cell>
          <cell r="B695" t="str">
            <v>Demolicion de enjarre con barra</v>
          </cell>
          <cell r="C695" t="str">
            <v>M2</v>
          </cell>
          <cell r="D695">
            <v>30.072384</v>
          </cell>
        </row>
        <row r="695">
          <cell r="F695">
            <v>34.5832416</v>
          </cell>
        </row>
        <row r="696">
          <cell r="A696" t="str">
            <v>DEM23</v>
          </cell>
          <cell r="B696" t="str">
            <v>Demolicion de firme de hormigon</v>
          </cell>
          <cell r="C696" t="str">
            <v>M2</v>
          </cell>
          <cell r="D696">
            <v>26.8503428571429</v>
          </cell>
        </row>
        <row r="696">
          <cell r="F696">
            <v>30.8778942857143</v>
          </cell>
        </row>
        <row r="697">
          <cell r="A697" t="str">
            <v>DEM24</v>
          </cell>
          <cell r="B697" t="str">
            <v>Demolicion de firme de ladrillo</v>
          </cell>
          <cell r="C697" t="str">
            <v>M2</v>
          </cell>
          <cell r="D697">
            <v>30.072384</v>
          </cell>
        </row>
        <row r="697">
          <cell r="F697">
            <v>34.5832416</v>
          </cell>
        </row>
        <row r="698">
          <cell r="A698" t="str">
            <v>DEM25</v>
          </cell>
          <cell r="B698" t="str">
            <v>Demolicion de losa de concreto esp. 10 cms</v>
          </cell>
          <cell r="C698" t="str">
            <v>M2</v>
          </cell>
          <cell r="D698">
            <v>75.18096</v>
          </cell>
        </row>
        <row r="698">
          <cell r="F698">
            <v>86.458104</v>
          </cell>
        </row>
        <row r="699">
          <cell r="A699" t="str">
            <v>DEM25A</v>
          </cell>
          <cell r="B699" t="str">
            <v>Demolicion de losa de concreto esp. 15 cms</v>
          </cell>
          <cell r="C699" t="str">
            <v>M2</v>
          </cell>
          <cell r="D699">
            <v>112.77144</v>
          </cell>
        </row>
        <row r="699">
          <cell r="F699">
            <v>129.687156</v>
          </cell>
        </row>
        <row r="700">
          <cell r="A700" t="str">
            <v>DEM25R</v>
          </cell>
          <cell r="B700" t="str">
            <v>Demolicion de losa de concreto esp. 10 cms con rotomartillo</v>
          </cell>
          <cell r="C700" t="str">
            <v>M2</v>
          </cell>
          <cell r="D700">
            <v>37.59048</v>
          </cell>
        </row>
        <row r="700">
          <cell r="F700">
            <v>43.229052</v>
          </cell>
        </row>
        <row r="701">
          <cell r="A701" t="str">
            <v>DEM25AR</v>
          </cell>
          <cell r="B701" t="str">
            <v>Demolicion de losa de concreto esp. 15 cms con rotomartillo</v>
          </cell>
          <cell r="C701" t="str">
            <v>M2</v>
          </cell>
          <cell r="D701">
            <v>56.38572</v>
          </cell>
        </row>
        <row r="701">
          <cell r="F701">
            <v>64.843578</v>
          </cell>
        </row>
        <row r="702">
          <cell r="A702" t="str">
            <v>DEM26</v>
          </cell>
          <cell r="B702" t="str">
            <v>Demolicion de losa de concreto esp. 5 cms</v>
          </cell>
          <cell r="C702" t="str">
            <v>M2</v>
          </cell>
          <cell r="D702">
            <v>31.3254</v>
          </cell>
        </row>
        <row r="702">
          <cell r="F702">
            <v>36.02421</v>
          </cell>
        </row>
        <row r="703">
          <cell r="A703" t="str">
            <v>DEM26A</v>
          </cell>
          <cell r="B703" t="str">
            <v>Demolición de azulejo en muros</v>
          </cell>
          <cell r="C703" t="str">
            <v>M2</v>
          </cell>
          <cell r="D703">
            <v>31.3254</v>
          </cell>
        </row>
        <row r="703">
          <cell r="F703">
            <v>36.02421</v>
          </cell>
        </row>
        <row r="704">
          <cell r="A704" t="str">
            <v>DEM27</v>
          </cell>
          <cell r="B704" t="str">
            <v>Demolicion de losa de concreto esp. 7 cms</v>
          </cell>
          <cell r="C704" t="str">
            <v>M2</v>
          </cell>
          <cell r="D704">
            <v>46.9881</v>
          </cell>
        </row>
        <row r="704">
          <cell r="F704">
            <v>54.036315</v>
          </cell>
        </row>
        <row r="705">
          <cell r="A705" t="str">
            <v>DEM28</v>
          </cell>
          <cell r="B705" t="str">
            <v>Demolicion de machuelo de concreto</v>
          </cell>
          <cell r="C705" t="str">
            <v>ML</v>
          </cell>
          <cell r="D705">
            <v>75.18096</v>
          </cell>
        </row>
        <row r="705">
          <cell r="F705">
            <v>86.458104</v>
          </cell>
        </row>
        <row r="706">
          <cell r="A706" t="str">
            <v>DEM29</v>
          </cell>
          <cell r="B706" t="str">
            <v>Demolicion de machuelo de ladrillo</v>
          </cell>
          <cell r="C706" t="str">
            <v>ML</v>
          </cell>
          <cell r="D706">
            <v>25.06032</v>
          </cell>
        </row>
        <row r="706">
          <cell r="F706">
            <v>28.819368</v>
          </cell>
        </row>
        <row r="707">
          <cell r="A707" t="str">
            <v>DEM30</v>
          </cell>
          <cell r="B707" t="str">
            <v>Demolicion de muro de 20</v>
          </cell>
          <cell r="C707" t="str">
            <v>M2</v>
          </cell>
          <cell r="D707">
            <v>20.3191783783784</v>
          </cell>
        </row>
        <row r="707">
          <cell r="F707">
            <v>23.3670551351351</v>
          </cell>
        </row>
        <row r="708">
          <cell r="A708" t="str">
            <v>DEM31</v>
          </cell>
          <cell r="B708" t="str">
            <v>Demolicion de muro de capuchino</v>
          </cell>
          <cell r="C708" t="str">
            <v>M2</v>
          </cell>
          <cell r="D708">
            <v>10.1120589473684</v>
          </cell>
        </row>
        <row r="708">
          <cell r="F708">
            <v>11.6288677894737</v>
          </cell>
        </row>
        <row r="709">
          <cell r="A709" t="str">
            <v>DEM32</v>
          </cell>
          <cell r="B709" t="str">
            <v>Demolicion de muro de soga</v>
          </cell>
          <cell r="C709" t="str">
            <v>M2</v>
          </cell>
          <cell r="D709">
            <v>15.3430530612245</v>
          </cell>
        </row>
        <row r="709">
          <cell r="F709">
            <v>17.6445110204082</v>
          </cell>
        </row>
        <row r="710">
          <cell r="A710" t="str">
            <v>DEM33</v>
          </cell>
          <cell r="B710" t="str">
            <v>Demolicion de muro de tezon</v>
          </cell>
          <cell r="C710" t="str">
            <v>M2</v>
          </cell>
          <cell r="D710">
            <v>23.49405</v>
          </cell>
        </row>
        <row r="710">
          <cell r="F710">
            <v>27.0181575</v>
          </cell>
        </row>
        <row r="711">
          <cell r="A711" t="str">
            <v>DEM34</v>
          </cell>
          <cell r="B711" t="str">
            <v>Demolicion de piso de cemento esp. 10 cms</v>
          </cell>
          <cell r="C711" t="str">
            <v>M2</v>
          </cell>
          <cell r="D711">
            <v>53.7006857142857</v>
          </cell>
        </row>
        <row r="711">
          <cell r="F711">
            <v>61.7557885714286</v>
          </cell>
        </row>
        <row r="712">
          <cell r="A712" t="str">
            <v>DEM35</v>
          </cell>
          <cell r="B712" t="str">
            <v>Demolicion de piso de cemento esp. 5 cms</v>
          </cell>
          <cell r="C712" t="str">
            <v>M2</v>
          </cell>
          <cell r="D712">
            <v>26.8503428571429</v>
          </cell>
        </row>
        <row r="712">
          <cell r="F712">
            <v>30.8778942857143</v>
          </cell>
        </row>
        <row r="713">
          <cell r="A713" t="str">
            <v>DEM36</v>
          </cell>
          <cell r="B713" t="str">
            <v>Demolicion de piso de cemento esp. 7 cms</v>
          </cell>
          <cell r="C713" t="str">
            <v>M2</v>
          </cell>
          <cell r="D713">
            <v>37.59048</v>
          </cell>
        </row>
        <row r="713">
          <cell r="F713">
            <v>43.229052</v>
          </cell>
        </row>
        <row r="714">
          <cell r="A714" t="str">
            <v>DEM37</v>
          </cell>
          <cell r="B714" t="str">
            <v>Demolicion de registro sanitario</v>
          </cell>
          <cell r="C714" t="str">
            <v>PZA</v>
          </cell>
          <cell r="D714">
            <v>150.36192</v>
          </cell>
        </row>
        <row r="714">
          <cell r="F714">
            <v>172.916208</v>
          </cell>
        </row>
        <row r="715">
          <cell r="A715" t="str">
            <v>DEM38</v>
          </cell>
          <cell r="B715" t="str">
            <v>Demoler zavaleta</v>
          </cell>
          <cell r="C715" t="str">
            <v>ML</v>
          </cell>
          <cell r="D715">
            <v>25.06032</v>
          </cell>
        </row>
        <row r="715">
          <cell r="F715">
            <v>28.819368</v>
          </cell>
        </row>
        <row r="716">
          <cell r="A716" t="str">
            <v>DEM39</v>
          </cell>
          <cell r="B716" t="str">
            <v>Demoler trabe de concreto</v>
          </cell>
          <cell r="C716" t="str">
            <v>ML</v>
          </cell>
          <cell r="D716">
            <v>150.36192</v>
          </cell>
        </row>
        <row r="716">
          <cell r="F716">
            <v>172.916208</v>
          </cell>
        </row>
        <row r="717">
          <cell r="A717" t="str">
            <v>DEM40</v>
          </cell>
          <cell r="B717" t="str">
            <v>Demolicion de hilada de ladrillo</v>
          </cell>
          <cell r="C717" t="str">
            <v>ML</v>
          </cell>
          <cell r="D717">
            <v>10.024128</v>
          </cell>
        </row>
        <row r="717">
          <cell r="F717">
            <v>11.5277472</v>
          </cell>
        </row>
        <row r="718">
          <cell r="A718" t="str">
            <v>DEM41</v>
          </cell>
          <cell r="B718" t="str">
            <v>Demoler enchape de viga</v>
          </cell>
          <cell r="C718" t="str">
            <v>ML</v>
          </cell>
          <cell r="D718">
            <v>21.4802742857143</v>
          </cell>
        </row>
        <row r="718">
          <cell r="F718">
            <v>24.7023154285714</v>
          </cell>
        </row>
        <row r="719">
          <cell r="A719" t="str">
            <v>DEM42</v>
          </cell>
          <cell r="B719" t="str">
            <v>Demoler concreto armado en volumen</v>
          </cell>
          <cell r="C719" t="str">
            <v>M3</v>
          </cell>
          <cell r="D719">
            <v>751.8096</v>
          </cell>
        </row>
        <row r="719">
          <cell r="F719">
            <v>864.58104</v>
          </cell>
        </row>
        <row r="720">
          <cell r="A720" t="str">
            <v>DEM43</v>
          </cell>
          <cell r="B720" t="str">
            <v>Demolicion de piso de mosaico incluyendo mortero</v>
          </cell>
          <cell r="C720" t="str">
            <v>M2</v>
          </cell>
          <cell r="D720">
            <v>15.1680884210526</v>
          </cell>
        </row>
        <row r="720">
          <cell r="F720">
            <v>17.4433016842105</v>
          </cell>
        </row>
        <row r="721">
          <cell r="A721" t="str">
            <v>DEM44</v>
          </cell>
          <cell r="B721" t="str">
            <v>Demolicion de enladrillado, relleno y chaflanes de azotea</v>
          </cell>
          <cell r="C721" t="str">
            <v>M2</v>
          </cell>
          <cell r="D721">
            <v>16.8534315789473</v>
          </cell>
        </row>
        <row r="721">
          <cell r="F721">
            <v>19.3814463157894</v>
          </cell>
        </row>
        <row r="722">
          <cell r="A722" t="str">
            <v>DENTAR</v>
          </cell>
          <cell r="B722" t="str">
            <v>Dentado de muro para crecimiento</v>
          </cell>
          <cell r="C722" t="str">
            <v>ML</v>
          </cell>
          <cell r="D722">
            <v>30.072384</v>
          </cell>
        </row>
        <row r="722">
          <cell r="F722">
            <v>34.5832416</v>
          </cell>
        </row>
        <row r="723">
          <cell r="A723" t="str">
            <v>DES01</v>
          </cell>
          <cell r="B723" t="str">
            <v>Descubrir tuberia por recubrimiento</v>
          </cell>
          <cell r="C723" t="str">
            <v>ML</v>
          </cell>
          <cell r="D723">
            <v>25.06032</v>
          </cell>
        </row>
        <row r="723">
          <cell r="F723">
            <v>28.819368</v>
          </cell>
        </row>
        <row r="724">
          <cell r="A724" t="str">
            <v>DES02</v>
          </cell>
          <cell r="B724" t="str">
            <v>Descubrir varilla en dala, castillo o dado</v>
          </cell>
          <cell r="C724" t="str">
            <v>PZA</v>
          </cell>
          <cell r="D724">
            <v>25.06032</v>
          </cell>
        </row>
        <row r="724">
          <cell r="F724">
            <v>28.819368</v>
          </cell>
        </row>
        <row r="725">
          <cell r="A725" t="str">
            <v>DES03</v>
          </cell>
          <cell r="B725" t="str">
            <v>Desmontar cesped con recuperacion</v>
          </cell>
          <cell r="C725" t="str">
            <v>M2</v>
          </cell>
          <cell r="D725">
            <v>15.036192</v>
          </cell>
        </row>
        <row r="725">
          <cell r="F725">
            <v>17.2916208</v>
          </cell>
        </row>
        <row r="726">
          <cell r="A726" t="str">
            <v>DES04</v>
          </cell>
          <cell r="B726" t="str">
            <v>Desmontar cristales con junquillo</v>
          </cell>
          <cell r="C726" t="str">
            <v>M2</v>
          </cell>
          <cell r="D726">
            <v>20.8836</v>
          </cell>
        </row>
        <row r="726">
          <cell r="F726">
            <v>24.01614</v>
          </cell>
        </row>
        <row r="727">
          <cell r="A727" t="str">
            <v>DES05</v>
          </cell>
          <cell r="B727" t="str">
            <v>Desmontar cristales con mastique</v>
          </cell>
          <cell r="C727" t="str">
            <v>M2</v>
          </cell>
          <cell r="D727">
            <v>25.06032</v>
          </cell>
        </row>
        <row r="727">
          <cell r="F727">
            <v>28.819368</v>
          </cell>
        </row>
        <row r="728">
          <cell r="A728" t="str">
            <v>DES06</v>
          </cell>
          <cell r="B728" t="str">
            <v>Desmontar herreria demoliendo anclas</v>
          </cell>
          <cell r="C728" t="str">
            <v>M2</v>
          </cell>
          <cell r="D728">
            <v>37.59048</v>
          </cell>
        </row>
        <row r="728">
          <cell r="F728">
            <v>43.229052</v>
          </cell>
        </row>
        <row r="729">
          <cell r="A729" t="str">
            <v>DES07</v>
          </cell>
          <cell r="B729" t="str">
            <v>Desmontar puerta de madera o aluminio con todo y marco</v>
          </cell>
          <cell r="C729" t="str">
            <v>PZA</v>
          </cell>
          <cell r="D729">
            <v>75.18096</v>
          </cell>
        </row>
        <row r="729">
          <cell r="F729">
            <v>86.458104</v>
          </cell>
        </row>
        <row r="730">
          <cell r="A730" t="str">
            <v>DES08</v>
          </cell>
          <cell r="B730" t="str">
            <v>Desmontar ladrillo de azotea</v>
          </cell>
          <cell r="C730" t="str">
            <v>M2</v>
          </cell>
          <cell r="D730">
            <v>15.1680884210526</v>
          </cell>
        </row>
        <row r="730">
          <cell r="F730">
            <v>17.4433016842105</v>
          </cell>
        </row>
        <row r="731">
          <cell r="A731" t="str">
            <v>DES09</v>
          </cell>
          <cell r="B731" t="str">
            <v>Despegar tecata impermeabilizante o mezcla</v>
          </cell>
          <cell r="C731" t="str">
            <v>M2</v>
          </cell>
          <cell r="D731">
            <v>15.036192</v>
          </cell>
        </row>
        <row r="731">
          <cell r="F731">
            <v>17.2916208</v>
          </cell>
        </row>
        <row r="732">
          <cell r="A732" t="str">
            <v>DES10</v>
          </cell>
          <cell r="B732" t="str">
            <v>Descimbrar losa</v>
          </cell>
          <cell r="C732" t="str">
            <v>M2</v>
          </cell>
          <cell r="D732">
            <v>15.036192</v>
          </cell>
        </row>
        <row r="732">
          <cell r="F732">
            <v>17.2916208</v>
          </cell>
        </row>
        <row r="733">
          <cell r="A733" t="str">
            <v>DES11</v>
          </cell>
          <cell r="B733" t="str">
            <v>Desmontar teja colocada en losas, incluye acomodo</v>
          </cell>
          <cell r="C733" t="str">
            <v>M2</v>
          </cell>
          <cell r="D733">
            <v>15.036192</v>
          </cell>
        </row>
        <row r="733">
          <cell r="F733">
            <v>17.2916208</v>
          </cell>
        </row>
        <row r="734">
          <cell r="A734" t="str">
            <v>DES12</v>
          </cell>
          <cell r="B734" t="str">
            <v>Desmontar empedrado</v>
          </cell>
          <cell r="C734" t="str">
            <v>M2</v>
          </cell>
          <cell r="D734">
            <v>12.1344707368421</v>
          </cell>
        </row>
        <row r="734">
          <cell r="F734">
            <v>13.9546413473684</v>
          </cell>
        </row>
        <row r="735">
          <cell r="A735" t="str">
            <v>DES13</v>
          </cell>
          <cell r="B735" t="str">
            <v>Desmontaje de muebles sanitarios</v>
          </cell>
          <cell r="C735" t="str">
            <v>PZA</v>
          </cell>
          <cell r="D735">
            <v>125.3016</v>
          </cell>
        </row>
        <row r="735">
          <cell r="F735">
            <v>144.09684</v>
          </cell>
        </row>
        <row r="736">
          <cell r="A736" t="str">
            <v>DES14</v>
          </cell>
          <cell r="B736" t="str">
            <v>Desapuntalar decklosa</v>
          </cell>
          <cell r="C736" t="str">
            <v>M2</v>
          </cell>
          <cell r="D736">
            <v>5.27585684210526</v>
          </cell>
        </row>
        <row r="736">
          <cell r="F736">
            <v>6.06723536842105</v>
          </cell>
        </row>
        <row r="737">
          <cell r="A737" t="str">
            <v>DESBA</v>
          </cell>
          <cell r="B737" t="str">
            <v>Desbastar piso con maquina</v>
          </cell>
          <cell r="C737" t="str">
            <v>M2</v>
          </cell>
          <cell r="D737">
            <v>48.5038451612903</v>
          </cell>
        </row>
        <row r="737">
          <cell r="F737">
            <v>55.7794219354839</v>
          </cell>
        </row>
        <row r="738">
          <cell r="A738" t="str">
            <v>DESPA1</v>
          </cell>
          <cell r="B738" t="str">
            <v>Despatillado de piso o azulejo</v>
          </cell>
          <cell r="C738" t="str">
            <v>ML</v>
          </cell>
          <cell r="D738">
            <v>62.6508</v>
          </cell>
        </row>
        <row r="738">
          <cell r="F738">
            <v>72.04842</v>
          </cell>
        </row>
        <row r="739">
          <cell r="A739" t="str">
            <v>DESPA2</v>
          </cell>
          <cell r="B739" t="str">
            <v>Despatillado de piso o azulejo en cartabon</v>
          </cell>
          <cell r="C739" t="str">
            <v>ML</v>
          </cell>
          <cell r="D739">
            <v>62.6508</v>
          </cell>
        </row>
        <row r="739">
          <cell r="F739">
            <v>72.04842</v>
          </cell>
        </row>
        <row r="740">
          <cell r="A740" t="str">
            <v>DESPA3</v>
          </cell>
          <cell r="B740" t="str">
            <v>Despalme de terreno con pala de 10 a 20 cms prof.</v>
          </cell>
          <cell r="C740" t="str">
            <v>M2</v>
          </cell>
          <cell r="D740">
            <v>37.59048</v>
          </cell>
        </row>
        <row r="740">
          <cell r="F740">
            <v>43.229052</v>
          </cell>
        </row>
        <row r="741">
          <cell r="A741" t="str">
            <v>DESTAJ</v>
          </cell>
          <cell r="B741" t="str">
            <v>Destajos y nominas</v>
          </cell>
          <cell r="C741" t="str">
            <v>LOTE</v>
          </cell>
          <cell r="D741">
            <v>100</v>
          </cell>
        </row>
        <row r="741">
          <cell r="F741">
            <v>100</v>
          </cell>
        </row>
        <row r="742">
          <cell r="A742" t="str">
            <v>DIAFE</v>
          </cell>
          <cell r="B742" t="str">
            <v>Dia festivo ( 1 oficial + 1 peon )</v>
          </cell>
          <cell r="C742" t="str">
            <v>JORNAL</v>
          </cell>
          <cell r="D742">
            <v>751.8096</v>
          </cell>
        </row>
        <row r="743">
          <cell r="A743" t="str">
            <v>DOM</v>
          </cell>
          <cell r="B743" t="str">
            <v>Domingo trabajado</v>
          </cell>
          <cell r="C743" t="str">
            <v>LOTE</v>
          </cell>
          <cell r="D743">
            <v>100</v>
          </cell>
        </row>
        <row r="743">
          <cell r="F743">
            <v>100</v>
          </cell>
        </row>
        <row r="744">
          <cell r="A744" t="str">
            <v>DUCTO</v>
          </cell>
          <cell r="B744" t="str">
            <v>Recibir ducto de aire en muro o boveda colando y resanando</v>
          </cell>
          <cell r="C744" t="str">
            <v>PZA</v>
          </cell>
          <cell r="D744">
            <v>250.6032</v>
          </cell>
        </row>
        <row r="744">
          <cell r="F744">
            <v>288.19368</v>
          </cell>
        </row>
        <row r="745">
          <cell r="A745" t="str">
            <v>DUELA</v>
          </cell>
          <cell r="B745" t="str">
            <v>Instalacion de duela aparente lecho bajo de cubierta machihembrada</v>
          </cell>
          <cell r="C745" t="str">
            <v>M2</v>
          </cell>
          <cell r="D745">
            <v>48.5351581665591</v>
          </cell>
        </row>
        <row r="745">
          <cell r="F745">
            <v>55.8154318915429</v>
          </cell>
        </row>
        <row r="746">
          <cell r="A746" t="str">
            <v>DUROCK</v>
          </cell>
          <cell r="B746" t="str">
            <v>Instalacion de bastidor de metal y hojas de durock a 2 rostros</v>
          </cell>
          <cell r="C746" t="str">
            <v>M2</v>
          </cell>
          <cell r="D746">
            <v>208.836</v>
          </cell>
        </row>
        <row r="746">
          <cell r="F746">
            <v>208.836</v>
          </cell>
        </row>
        <row r="747">
          <cell r="A747" t="str">
            <v>DURM</v>
          </cell>
          <cell r="B747" t="str">
            <v>Acarreo, nivelacion, fijar y colocar durmiente de madera</v>
          </cell>
          <cell r="C747" t="str">
            <v>ML</v>
          </cell>
          <cell r="D747">
            <v>62.6508</v>
          </cell>
        </row>
        <row r="747">
          <cell r="F747">
            <v>72.04842</v>
          </cell>
        </row>
        <row r="748">
          <cell r="A748" t="str">
            <v>EMP01</v>
          </cell>
          <cell r="B748" t="str">
            <v>Empedrado ( piedra bola 4" a 8 " )</v>
          </cell>
          <cell r="C748" t="str">
            <v>M2</v>
          </cell>
          <cell r="D748">
            <v>115.663015384615</v>
          </cell>
        </row>
        <row r="748">
          <cell r="F748">
            <v>133.012467692308</v>
          </cell>
        </row>
        <row r="749">
          <cell r="A749" t="str">
            <v>EMP02</v>
          </cell>
          <cell r="B749" t="str">
            <v>Empedrado ( piedra castilla 4" a 8 " )</v>
          </cell>
          <cell r="C749" t="str">
            <v>M2</v>
          </cell>
          <cell r="D749">
            <v>115.663015384615</v>
          </cell>
        </row>
        <row r="749">
          <cell r="F749">
            <v>133.012467692308</v>
          </cell>
        </row>
        <row r="750">
          <cell r="A750" t="str">
            <v>ENC01</v>
          </cell>
          <cell r="B750" t="str">
            <v>Enchape de bajante</v>
          </cell>
          <cell r="C750" t="str">
            <v>ML</v>
          </cell>
          <cell r="D750">
            <v>57.8315076923077</v>
          </cell>
          <cell r="E750">
            <v>1</v>
          </cell>
          <cell r="F750">
            <v>66.5062338461538</v>
          </cell>
        </row>
        <row r="751">
          <cell r="A751" t="str">
            <v>ENC02</v>
          </cell>
          <cell r="B751" t="str">
            <v>Enchape de muro</v>
          </cell>
          <cell r="C751" t="str">
            <v>M2</v>
          </cell>
          <cell r="D751">
            <v>50.12064</v>
          </cell>
          <cell r="E751">
            <v>1</v>
          </cell>
          <cell r="F751">
            <v>57.638736</v>
          </cell>
        </row>
        <row r="752">
          <cell r="A752" t="str">
            <v>ENC03</v>
          </cell>
          <cell r="B752" t="str">
            <v>Enchape de viga</v>
          </cell>
          <cell r="C752" t="str">
            <v>ML</v>
          </cell>
          <cell r="D752">
            <v>25.06032</v>
          </cell>
          <cell r="E752">
            <v>1</v>
          </cell>
          <cell r="F752">
            <v>28.819368</v>
          </cell>
        </row>
        <row r="753">
          <cell r="A753" t="str">
            <v>ENC04</v>
          </cell>
          <cell r="B753" t="str">
            <v>Enchape de muro con rajuela de piedra a 1 rostro</v>
          </cell>
          <cell r="C753" t="str">
            <v>M2</v>
          </cell>
          <cell r="D753">
            <v>93.9762</v>
          </cell>
          <cell r="E753">
            <v>1</v>
          </cell>
          <cell r="F753">
            <v>108.07263</v>
          </cell>
        </row>
        <row r="754">
          <cell r="A754" t="str">
            <v>ENCAR</v>
          </cell>
          <cell r="B754" t="str">
            <v>Encartonado de piso</v>
          </cell>
          <cell r="C754" t="str">
            <v>M2</v>
          </cell>
          <cell r="D754">
            <v>3.0072384</v>
          </cell>
        </row>
        <row r="754">
          <cell r="F754">
            <v>3.45832416</v>
          </cell>
        </row>
        <row r="755">
          <cell r="A755" t="str">
            <v>ENJ01</v>
          </cell>
          <cell r="B755" t="str">
            <v>Enjarre apalillado</v>
          </cell>
          <cell r="C755" t="str">
            <v>M2</v>
          </cell>
          <cell r="D755">
            <v>77.1086769230769</v>
          </cell>
          <cell r="E755">
            <v>1</v>
          </cell>
          <cell r="F755">
            <v>88.6749784615385</v>
          </cell>
        </row>
        <row r="756">
          <cell r="A756" t="str">
            <v>ENJ02</v>
          </cell>
          <cell r="B756" t="str">
            <v>Enjarre apalillado 2a h.</v>
          </cell>
          <cell r="C756" t="str">
            <v>M2</v>
          </cell>
          <cell r="D756">
            <v>88.6749784615385</v>
          </cell>
          <cell r="E756">
            <v>1</v>
          </cell>
          <cell r="F756">
            <v>101.976225230769</v>
          </cell>
        </row>
        <row r="757">
          <cell r="A757" t="str">
            <v>ENJ03</v>
          </cell>
          <cell r="B757" t="str">
            <v>Enjarre apalillado en boveda</v>
          </cell>
          <cell r="C757" t="str">
            <v>M2</v>
          </cell>
          <cell r="D757">
            <v>93.9762</v>
          </cell>
          <cell r="E757">
            <v>1</v>
          </cell>
          <cell r="F757">
            <v>108.07263</v>
          </cell>
        </row>
        <row r="758">
          <cell r="A758" t="str">
            <v>ENJ04</v>
          </cell>
          <cell r="B758" t="str">
            <v>Enjarre apalillado en boveda 2a h.</v>
          </cell>
          <cell r="C758" t="str">
            <v>M2</v>
          </cell>
          <cell r="D758">
            <v>108.07263</v>
          </cell>
          <cell r="E758">
            <v>1</v>
          </cell>
          <cell r="F758">
            <v>124.2835245</v>
          </cell>
        </row>
        <row r="759">
          <cell r="A759" t="str">
            <v>ENJ05</v>
          </cell>
          <cell r="B759" t="str">
            <v>Enjarre apalillado en muro curvo</v>
          </cell>
          <cell r="C759" t="str">
            <v>M2</v>
          </cell>
          <cell r="D759">
            <v>105.517136842105</v>
          </cell>
          <cell r="E759">
            <v>1</v>
          </cell>
          <cell r="F759">
            <v>121.344707368421</v>
          </cell>
        </row>
        <row r="760">
          <cell r="A760" t="str">
            <v>ENJ06</v>
          </cell>
          <cell r="B760" t="str">
            <v>Enjarre apalillado en muro curvo 2a h.</v>
          </cell>
          <cell r="C760" t="str">
            <v>M2</v>
          </cell>
          <cell r="D760">
            <v>121.259612903226</v>
          </cell>
          <cell r="E760">
            <v>1</v>
          </cell>
          <cell r="F760">
            <v>139.44855483871</v>
          </cell>
        </row>
        <row r="761">
          <cell r="A761" t="str">
            <v>ENJ06-3</v>
          </cell>
          <cell r="B761" t="str">
            <v>Enjarre apalillado en muro curvo 3a h.</v>
          </cell>
          <cell r="C761" t="str">
            <v>M2</v>
          </cell>
          <cell r="D761">
            <v>139.44855483871</v>
          </cell>
          <cell r="E761">
            <v>1</v>
          </cell>
          <cell r="F761">
            <v>160.365838064516</v>
          </cell>
        </row>
        <row r="762">
          <cell r="A762" t="str">
            <v>ENJ07</v>
          </cell>
          <cell r="B762" t="str">
            <v>Enjarre de contrahuella escalones</v>
          </cell>
          <cell r="C762" t="str">
            <v>ML</v>
          </cell>
          <cell r="D762">
            <v>30.072384</v>
          </cell>
          <cell r="E762">
            <v>1</v>
          </cell>
          <cell r="F762">
            <v>34.5832416</v>
          </cell>
        </row>
        <row r="763">
          <cell r="A763" t="str">
            <v>ENJ08</v>
          </cell>
          <cell r="B763" t="str">
            <v>Enjarre apalillado en losa inclinada</v>
          </cell>
          <cell r="C763" t="str">
            <v>M2</v>
          </cell>
          <cell r="D763">
            <v>105.517136842105</v>
          </cell>
          <cell r="E763">
            <v>1</v>
          </cell>
          <cell r="F763">
            <v>121.344707368421</v>
          </cell>
        </row>
        <row r="764">
          <cell r="A764" t="str">
            <v>ENJ09</v>
          </cell>
          <cell r="B764" t="str">
            <v>Enjarre apalillado en losa inclinada 2a h</v>
          </cell>
          <cell r="C764" t="str">
            <v>M2</v>
          </cell>
          <cell r="D764">
            <v>121.259612903226</v>
          </cell>
          <cell r="E764">
            <v>1</v>
          </cell>
          <cell r="F764">
            <v>139.44855483871</v>
          </cell>
        </row>
        <row r="765">
          <cell r="A765" t="str">
            <v>ENJ10</v>
          </cell>
          <cell r="B765" t="str">
            <v>Enjarre de losa inclinada pulido</v>
          </cell>
          <cell r="C765" t="str">
            <v>M2</v>
          </cell>
          <cell r="D765">
            <v>110.792993684211</v>
          </cell>
          <cell r="E765">
            <v>1</v>
          </cell>
          <cell r="F765">
            <v>127.411942736842</v>
          </cell>
        </row>
        <row r="766">
          <cell r="A766" t="str">
            <v>ENJ11</v>
          </cell>
          <cell r="B766" t="str">
            <v>Enjarre de losa inclinada pulido 2a h.</v>
          </cell>
          <cell r="C766" t="str">
            <v>M2</v>
          </cell>
          <cell r="D766">
            <v>127.331522827688</v>
          </cell>
          <cell r="E766">
            <v>1</v>
          </cell>
          <cell r="F766">
            <v>146.431251251841</v>
          </cell>
        </row>
        <row r="767">
          <cell r="A767" t="str">
            <v>ENJ12</v>
          </cell>
          <cell r="B767" t="str">
            <v>Enjarre de muro mamposteo incluye sarpeado cemento</v>
          </cell>
          <cell r="C767" t="str">
            <v>M2</v>
          </cell>
          <cell r="D767">
            <v>107.401371428571</v>
          </cell>
          <cell r="E767">
            <v>1</v>
          </cell>
          <cell r="F767">
            <v>123.511577142857</v>
          </cell>
        </row>
        <row r="768">
          <cell r="A768" t="str">
            <v>ENJ13</v>
          </cell>
          <cell r="B768" t="str">
            <v>Enjarre de pretil</v>
          </cell>
          <cell r="C768" t="str">
            <v>ML</v>
          </cell>
          <cell r="D768">
            <v>59.9529186602871</v>
          </cell>
          <cell r="E768">
            <v>1</v>
          </cell>
          <cell r="F768">
            <v>68.9458564593302</v>
          </cell>
        </row>
        <row r="769">
          <cell r="A769" t="str">
            <v>ENJ14</v>
          </cell>
          <cell r="B769" t="str">
            <v>Enjarre en muro de panel incluye sarpeo</v>
          </cell>
          <cell r="C769" t="str">
            <v>M2</v>
          </cell>
          <cell r="D769">
            <v>118.706778947368</v>
          </cell>
          <cell r="E769">
            <v>1</v>
          </cell>
          <cell r="F769">
            <v>136.512795789474</v>
          </cell>
        </row>
        <row r="770">
          <cell r="A770" t="str">
            <v>ENJ15</v>
          </cell>
          <cell r="B770" t="str">
            <v>Enjarre en boveda de panel incluye sarpeo</v>
          </cell>
          <cell r="C770" t="str">
            <v>M2</v>
          </cell>
          <cell r="D770">
            <v>136.584682464455</v>
          </cell>
          <cell r="E770">
            <v>1</v>
          </cell>
          <cell r="F770">
            <v>157.072384834123</v>
          </cell>
        </row>
        <row r="771">
          <cell r="A771" t="str">
            <v>ENJ16</v>
          </cell>
          <cell r="B771" t="str">
            <v>Enjarre pulido</v>
          </cell>
          <cell r="C771" t="str">
            <v>M2</v>
          </cell>
          <cell r="D771">
            <v>92.3274947368421</v>
          </cell>
          <cell r="E771">
            <v>1</v>
          </cell>
          <cell r="F771">
            <v>106.176618947368</v>
          </cell>
        </row>
        <row r="772">
          <cell r="A772" t="str">
            <v>ENJ17</v>
          </cell>
          <cell r="B772" t="str">
            <v>Enjarre pulido 2a h.</v>
          </cell>
          <cell r="C772" t="str">
            <v>M2</v>
          </cell>
          <cell r="D772">
            <v>105.517136842105</v>
          </cell>
          <cell r="E772">
            <v>1</v>
          </cell>
          <cell r="F772">
            <v>121.344707368421</v>
          </cell>
        </row>
        <row r="773">
          <cell r="A773" t="str">
            <v>ENJ18</v>
          </cell>
          <cell r="B773" t="str">
            <v>Enjarre pulido en boveda</v>
          </cell>
          <cell r="C773" t="str">
            <v>M2</v>
          </cell>
          <cell r="D773">
            <v>93.9762</v>
          </cell>
          <cell r="E773">
            <v>1</v>
          </cell>
          <cell r="F773">
            <v>108.07263</v>
          </cell>
        </row>
        <row r="774">
          <cell r="A774" t="str">
            <v>ENJ19</v>
          </cell>
          <cell r="B774" t="str">
            <v>Enjarre pulido en boveda 2a h.</v>
          </cell>
          <cell r="C774" t="str">
            <v>M2</v>
          </cell>
          <cell r="D774">
            <v>108.07263</v>
          </cell>
          <cell r="E774">
            <v>1</v>
          </cell>
          <cell r="F774">
            <v>124.2835245</v>
          </cell>
        </row>
        <row r="775">
          <cell r="A775" t="str">
            <v>ENJ20</v>
          </cell>
          <cell r="B775" t="str">
            <v>Enjarre pulido en muro curvo</v>
          </cell>
          <cell r="C775" t="str">
            <v>M2</v>
          </cell>
          <cell r="D775">
            <v>107.915253588517</v>
          </cell>
          <cell r="E775">
            <v>1</v>
          </cell>
          <cell r="F775">
            <v>124.102541626794</v>
          </cell>
        </row>
        <row r="776">
          <cell r="A776" t="str">
            <v>ENJ21</v>
          </cell>
          <cell r="B776" t="str">
            <v>Enjarre pulido en muro curvo 2a h.</v>
          </cell>
          <cell r="C776" t="str">
            <v>M2</v>
          </cell>
          <cell r="D776">
            <v>124.043190817791</v>
          </cell>
          <cell r="E776">
            <v>1</v>
          </cell>
          <cell r="F776">
            <v>142.649669440459</v>
          </cell>
        </row>
        <row r="777">
          <cell r="A777" t="str">
            <v>ENJ22</v>
          </cell>
          <cell r="B777" t="str">
            <v>Enjarre rustico</v>
          </cell>
          <cell r="C777" t="str">
            <v>M2</v>
          </cell>
          <cell r="D777">
            <v>107.915253588517</v>
          </cell>
          <cell r="E777">
            <v>1</v>
          </cell>
          <cell r="F777">
            <v>124.102541626794</v>
          </cell>
        </row>
        <row r="778">
          <cell r="A778" t="str">
            <v>ENJ23</v>
          </cell>
          <cell r="B778" t="str">
            <v>Enjarre rustico 2a h.</v>
          </cell>
          <cell r="C778" t="str">
            <v>M2</v>
          </cell>
          <cell r="D778">
            <v>124.043190817791</v>
          </cell>
          <cell r="E778">
            <v>1</v>
          </cell>
          <cell r="F778">
            <v>142.649669440459</v>
          </cell>
        </row>
        <row r="779">
          <cell r="A779" t="str">
            <v>ENJ24</v>
          </cell>
          <cell r="B779" t="str">
            <v>Enjarre apalillado a 15 mts altura</v>
          </cell>
          <cell r="C779" t="str">
            <v>M2</v>
          </cell>
          <cell r="D779">
            <v>167.0688</v>
          </cell>
          <cell r="E779">
            <v>1</v>
          </cell>
          <cell r="F779">
            <v>192.12912</v>
          </cell>
        </row>
        <row r="780">
          <cell r="A780" t="str">
            <v>ENJ25</v>
          </cell>
          <cell r="B780" t="str">
            <v>Enjarre repellado en muro con terminado pendiente</v>
          </cell>
          <cell r="C780" t="str">
            <v>M2</v>
          </cell>
          <cell r="D780">
            <v>76.7152653061225</v>
          </cell>
          <cell r="E780">
            <v>1</v>
          </cell>
          <cell r="F780">
            <v>88.2225551020408</v>
          </cell>
        </row>
        <row r="781">
          <cell r="A781" t="str">
            <v>ENJ252</v>
          </cell>
          <cell r="B781" t="str">
            <v>Enjarre repellado en muro con terminado pendiente 2a h</v>
          </cell>
          <cell r="C781" t="str">
            <v>M2</v>
          </cell>
          <cell r="D781">
            <v>88.2225551020408</v>
          </cell>
          <cell r="E781">
            <v>1</v>
          </cell>
          <cell r="F781">
            <v>101.455938367347</v>
          </cell>
        </row>
        <row r="782">
          <cell r="A782" t="str">
            <v>ENJ253</v>
          </cell>
          <cell r="B782" t="str">
            <v>Enjarre repellado en muro con terminado pendiente 3a h</v>
          </cell>
          <cell r="C782" t="str">
            <v>M2</v>
          </cell>
          <cell r="D782">
            <v>99.7298448979592</v>
          </cell>
          <cell r="E782">
            <v>1</v>
          </cell>
          <cell r="F782">
            <v>114.689321632653</v>
          </cell>
        </row>
        <row r="783">
          <cell r="A783" t="str">
            <v>ENJ254</v>
          </cell>
          <cell r="B783" t="str">
            <v>Enjarre repellado en muro con terminado pendiente 4a h</v>
          </cell>
          <cell r="C783" t="str">
            <v>M2</v>
          </cell>
          <cell r="D783">
            <v>111.237134693878</v>
          </cell>
          <cell r="E783">
            <v>1</v>
          </cell>
          <cell r="F783">
            <v>127.922704897959</v>
          </cell>
        </row>
        <row r="784">
          <cell r="A784" t="str">
            <v>ENJ26</v>
          </cell>
          <cell r="B784" t="str">
            <v>Enjarre repellado en boveda con terminado pendiente</v>
          </cell>
          <cell r="C784" t="str">
            <v>M2</v>
          </cell>
          <cell r="D784">
            <v>92.2465766871166</v>
          </cell>
          <cell r="E784">
            <v>1</v>
          </cell>
          <cell r="F784">
            <v>106.083563190184</v>
          </cell>
        </row>
        <row r="785">
          <cell r="A785" t="str">
            <v>ENJ262</v>
          </cell>
          <cell r="B785" t="str">
            <v>Enjarre repellado en boveda con terminado pendiente 2a h</v>
          </cell>
          <cell r="C785" t="str">
            <v>M2</v>
          </cell>
          <cell r="D785">
            <v>106.083563190184</v>
          </cell>
          <cell r="E785">
            <v>1</v>
          </cell>
          <cell r="F785">
            <v>121.996097668712</v>
          </cell>
        </row>
        <row r="786">
          <cell r="A786" t="str">
            <v>ENJ3AH</v>
          </cell>
          <cell r="B786" t="str">
            <v>Enjarre apalillado a 3a h</v>
          </cell>
          <cell r="C786" t="str">
            <v>M2</v>
          </cell>
          <cell r="D786">
            <v>110.967432589286</v>
          </cell>
          <cell r="E786">
            <v>1</v>
          </cell>
          <cell r="F786">
            <v>127.612547477679</v>
          </cell>
        </row>
        <row r="787">
          <cell r="A787" t="str">
            <v>ENJ4AH</v>
          </cell>
          <cell r="B787" t="str">
            <v>Enjarre apalillado 4a h.</v>
          </cell>
          <cell r="C787" t="str">
            <v>M2</v>
          </cell>
          <cell r="D787">
            <v>127.612547477679</v>
          </cell>
          <cell r="E787">
            <v>1</v>
          </cell>
          <cell r="F787">
            <v>146.75442959933</v>
          </cell>
        </row>
        <row r="788">
          <cell r="A788" t="str">
            <v>ENJ5AH</v>
          </cell>
          <cell r="B788" t="str">
            <v>Enjarre apalillado 5a h.</v>
          </cell>
          <cell r="C788" t="str">
            <v>M2</v>
          </cell>
          <cell r="D788">
            <v>146.75442959933</v>
          </cell>
          <cell r="E788">
            <v>1</v>
          </cell>
          <cell r="F788">
            <v>168.76759403923</v>
          </cell>
        </row>
        <row r="789">
          <cell r="A789" t="str">
            <v>ENJAFB</v>
          </cell>
          <cell r="B789" t="str">
            <v>Enjarre de boveda terminado afinado con esponja</v>
          </cell>
          <cell r="C789" t="str">
            <v>M2</v>
          </cell>
          <cell r="D789">
            <v>103.119020095694</v>
          </cell>
          <cell r="E789">
            <v>1</v>
          </cell>
          <cell r="F789">
            <v>118.586873110048</v>
          </cell>
        </row>
        <row r="790">
          <cell r="A790" t="str">
            <v>ENJAFB2</v>
          </cell>
          <cell r="B790" t="str">
            <v>Enjarre de boveda terminado afinado con esponja 2a h</v>
          </cell>
          <cell r="C790" t="str">
            <v>M2</v>
          </cell>
          <cell r="D790">
            <v>118.598222222222</v>
          </cell>
          <cell r="E790">
            <v>1</v>
          </cell>
          <cell r="F790">
            <v>136.387955555556</v>
          </cell>
        </row>
        <row r="791">
          <cell r="A791" t="str">
            <v>ENJAFB3</v>
          </cell>
          <cell r="B791" t="str">
            <v>Enjarre de boveda terminado afinado con esponja 3a h</v>
          </cell>
          <cell r="C791" t="str">
            <v>M2</v>
          </cell>
          <cell r="D791">
            <v>136.369249211356</v>
          </cell>
          <cell r="E791">
            <v>1</v>
          </cell>
          <cell r="F791">
            <v>156.82463659306</v>
          </cell>
        </row>
        <row r="792">
          <cell r="A792" t="str">
            <v>ENJAFM</v>
          </cell>
          <cell r="B792" t="str">
            <v>Enjarre de muro terminado afinado con esponja</v>
          </cell>
          <cell r="C792" t="str">
            <v>M2</v>
          </cell>
          <cell r="D792">
            <v>92.3274947368421</v>
          </cell>
          <cell r="E792">
            <v>1</v>
          </cell>
          <cell r="F792">
            <v>106.176618947368</v>
          </cell>
        </row>
        <row r="793">
          <cell r="A793" t="str">
            <v>ENJAFM2</v>
          </cell>
          <cell r="B793" t="str">
            <v>Enjarre de muro terminado afinado con esponja 2a h</v>
          </cell>
          <cell r="C793" t="str">
            <v>M2</v>
          </cell>
          <cell r="D793">
            <v>105.517136842105</v>
          </cell>
          <cell r="E793">
            <v>1</v>
          </cell>
          <cell r="F793">
            <v>121.344707368421</v>
          </cell>
        </row>
        <row r="794">
          <cell r="A794" t="str">
            <v>ENJAFM3</v>
          </cell>
          <cell r="B794" t="str">
            <v>Enjarre de muro terminado afinado con esponja 3a h</v>
          </cell>
          <cell r="C794" t="str">
            <v>M2</v>
          </cell>
          <cell r="D794">
            <v>118.706778947368</v>
          </cell>
          <cell r="E794">
            <v>1</v>
          </cell>
          <cell r="F794">
            <v>136.512795789474</v>
          </cell>
        </row>
        <row r="795">
          <cell r="A795" t="str">
            <v>ENJAFM4</v>
          </cell>
          <cell r="B795" t="str">
            <v>Enjarre de muro terminado afinado con esponja 4a h</v>
          </cell>
          <cell r="C795" t="str">
            <v>M2</v>
          </cell>
          <cell r="D795">
            <v>136.513514281654</v>
          </cell>
          <cell r="E795">
            <v>1</v>
          </cell>
          <cell r="F795">
            <v>156.990541423902</v>
          </cell>
        </row>
        <row r="796">
          <cell r="A796" t="str">
            <v>ENJAFM5</v>
          </cell>
          <cell r="B796" t="str">
            <v>Enjarre de muro terminado afinado con esponja 5a h</v>
          </cell>
          <cell r="C796" t="str">
            <v>M2</v>
          </cell>
          <cell r="D796">
            <v>156.990541423902</v>
          </cell>
          <cell r="E796">
            <v>1</v>
          </cell>
          <cell r="F796">
            <v>180.539122637488</v>
          </cell>
        </row>
        <row r="797">
          <cell r="A797" t="str">
            <v>ENJAFMJP</v>
          </cell>
          <cell r="B797" t="str">
            <v>Enjarre de muro terminado afinado con esponja PUERTA PLATA</v>
          </cell>
          <cell r="C797" t="str">
            <v>M2</v>
          </cell>
          <cell r="D797">
            <v>104.418</v>
          </cell>
          <cell r="E797">
            <v>1</v>
          </cell>
          <cell r="F797">
            <v>120.0807</v>
          </cell>
        </row>
        <row r="798">
          <cell r="A798" t="str">
            <v>ENJAFM2JP</v>
          </cell>
          <cell r="B798" t="str">
            <v>Enjarre de muro terminado afinado con esponja 2a h PUERTA PLATA</v>
          </cell>
          <cell r="C798" t="str">
            <v>M2</v>
          </cell>
          <cell r="D798">
            <v>120.0807</v>
          </cell>
          <cell r="E798">
            <v>1</v>
          </cell>
          <cell r="F798">
            <v>138.092805</v>
          </cell>
        </row>
        <row r="799">
          <cell r="A799" t="str">
            <v>ENJRYF</v>
          </cell>
          <cell r="B799" t="str">
            <v>Enjarre de fachadas terminado rayado</v>
          </cell>
          <cell r="C799" t="str">
            <v>M2</v>
          </cell>
          <cell r="D799">
            <v>102.287020408163</v>
          </cell>
          <cell r="E799">
            <v>1</v>
          </cell>
          <cell r="F799">
            <v>117.630073469388</v>
          </cell>
        </row>
        <row r="800">
          <cell r="A800" t="str">
            <v>ENJRYF2</v>
          </cell>
          <cell r="B800" t="str">
            <v>Enjarre de fachadas terminado rayado 2do nivel</v>
          </cell>
          <cell r="C800" t="str">
            <v>M2</v>
          </cell>
          <cell r="D800">
            <v>117.630073469388</v>
          </cell>
          <cell r="E800">
            <v>1</v>
          </cell>
          <cell r="F800">
            <v>135.274584489796</v>
          </cell>
        </row>
        <row r="801">
          <cell r="A801" t="str">
            <v>ENJRYF3</v>
          </cell>
          <cell r="B801" t="str">
            <v>Enjarre de fachadas terminado rayado 3er nivel</v>
          </cell>
          <cell r="C801" t="str">
            <v>M2</v>
          </cell>
          <cell r="D801">
            <v>135.274584489796</v>
          </cell>
          <cell r="E801">
            <v>1</v>
          </cell>
          <cell r="F801">
            <v>155.565772163265</v>
          </cell>
        </row>
        <row r="802">
          <cell r="A802" t="str">
            <v>ENJRYF4</v>
          </cell>
          <cell r="B802" t="str">
            <v>Enjarre de fachadas terminado rayado 4to nivel</v>
          </cell>
          <cell r="C802" t="str">
            <v>M2</v>
          </cell>
          <cell r="D802">
            <v>155.565772163265</v>
          </cell>
          <cell r="E802">
            <v>1</v>
          </cell>
          <cell r="F802">
            <v>178.900637987755</v>
          </cell>
        </row>
        <row r="803">
          <cell r="A803" t="str">
            <v>ENJ25JP</v>
          </cell>
          <cell r="B803" t="str">
            <v>Enjarre repellado en muro con terminado pendiente PUERTA PLATA</v>
          </cell>
          <cell r="C803" t="str">
            <v>M2</v>
          </cell>
          <cell r="D803">
            <v>88.8663829787234</v>
          </cell>
          <cell r="E803">
            <v>1</v>
          </cell>
          <cell r="F803">
            <v>102.196340425532</v>
          </cell>
        </row>
        <row r="804">
          <cell r="A804" t="str">
            <v>ENJ252JP</v>
          </cell>
          <cell r="B804" t="str">
            <v>Enjarre repellado en muro con terminado pendiente 2ha alt PUERTA PLATA</v>
          </cell>
          <cell r="C804" t="str">
            <v>M2</v>
          </cell>
          <cell r="D804">
            <v>102.196340425532</v>
          </cell>
          <cell r="E804">
            <v>1</v>
          </cell>
          <cell r="F804">
            <v>117.525791489362</v>
          </cell>
        </row>
        <row r="805">
          <cell r="A805" t="str">
            <v>ENJ253JP</v>
          </cell>
          <cell r="B805" t="str">
            <v>Enjarre repellado en muro con terminado pendiente 3ha alt PUERTA PLATA</v>
          </cell>
          <cell r="C805" t="str">
            <v>M2</v>
          </cell>
          <cell r="D805">
            <v>117.525791489362</v>
          </cell>
          <cell r="E805">
            <v>1</v>
          </cell>
          <cell r="F805">
            <v>135.154660212766</v>
          </cell>
        </row>
        <row r="806">
          <cell r="A806" t="str">
            <v>ENJ26JP</v>
          </cell>
          <cell r="B806" t="str">
            <v>Enjarre repellado en boveda con terminado pendiente PUERTA PLATA</v>
          </cell>
          <cell r="C806" t="str">
            <v>M2</v>
          </cell>
          <cell r="D806">
            <v>104.418</v>
          </cell>
          <cell r="E806">
            <v>1</v>
          </cell>
          <cell r="F806">
            <v>120.0807</v>
          </cell>
        </row>
        <row r="807">
          <cell r="A807" t="str">
            <v>ENJ262JP</v>
          </cell>
          <cell r="B807" t="str">
            <v>Enjarre repellado en boveda con terminado pendiente 2a h PUERTA PLATA</v>
          </cell>
          <cell r="C807" t="str">
            <v>M2</v>
          </cell>
          <cell r="D807">
            <v>120.0807</v>
          </cell>
          <cell r="E807">
            <v>1</v>
          </cell>
          <cell r="F807">
            <v>138.092805</v>
          </cell>
        </row>
        <row r="808">
          <cell r="A808" t="str">
            <v>ENL01</v>
          </cell>
          <cell r="B808" t="str">
            <v>Enladrillado de azotea ordinario</v>
          </cell>
          <cell r="C808" t="str">
            <v>M2</v>
          </cell>
          <cell r="D808">
            <v>73.7068235294118</v>
          </cell>
          <cell r="E808">
            <v>1</v>
          </cell>
          <cell r="F808">
            <v>84.7628470588235</v>
          </cell>
        </row>
        <row r="809">
          <cell r="A809" t="str">
            <v>ENL02</v>
          </cell>
          <cell r="B809" t="str">
            <v>Enladrillado de azotea con crest</v>
          </cell>
          <cell r="C809" t="str">
            <v>M2</v>
          </cell>
          <cell r="D809">
            <v>81.0139655172414</v>
          </cell>
          <cell r="E809">
            <v>1</v>
          </cell>
          <cell r="F809">
            <v>93.1660603448276</v>
          </cell>
        </row>
        <row r="810">
          <cell r="A810" t="str">
            <v>ESC01</v>
          </cell>
          <cell r="B810" t="str">
            <v>Escalon colado con revoltura de concreto</v>
          </cell>
          <cell r="C810" t="str">
            <v>ML</v>
          </cell>
          <cell r="D810">
            <v>93.9762</v>
          </cell>
          <cell r="E810">
            <v>1</v>
          </cell>
          <cell r="F810">
            <v>108.07263</v>
          </cell>
        </row>
        <row r="811">
          <cell r="A811" t="str">
            <v>ESC02</v>
          </cell>
          <cell r="B811" t="str">
            <v>Escalon curvo forjado con ladrillo</v>
          </cell>
          <cell r="C811" t="str">
            <v>ML</v>
          </cell>
          <cell r="D811">
            <v>93.9762</v>
          </cell>
          <cell r="E811">
            <v>1</v>
          </cell>
          <cell r="F811">
            <v>108.07263</v>
          </cell>
        </row>
        <row r="812">
          <cell r="A812" t="str">
            <v>ESC03</v>
          </cell>
          <cell r="B812" t="str">
            <v>Escalon forjado con ladrillo</v>
          </cell>
          <cell r="C812" t="str">
            <v>ML</v>
          </cell>
          <cell r="D812">
            <v>83.5344</v>
          </cell>
          <cell r="E812">
            <v>1</v>
          </cell>
          <cell r="F812">
            <v>96.06456</v>
          </cell>
        </row>
        <row r="813">
          <cell r="A813" t="str">
            <v>ESC04</v>
          </cell>
          <cell r="B813" t="str">
            <v>Escuadras de varilla</v>
          </cell>
          <cell r="C813" t="str">
            <v>PZA</v>
          </cell>
          <cell r="D813">
            <v>10.024128</v>
          </cell>
        </row>
        <row r="813">
          <cell r="F813">
            <v>11.5277472</v>
          </cell>
        </row>
        <row r="814">
          <cell r="A814" t="str">
            <v>ESC05</v>
          </cell>
          <cell r="B814" t="str">
            <v>Escalon forjado con piedra en huella y peralte</v>
          </cell>
          <cell r="C814" t="str">
            <v>ML</v>
          </cell>
          <cell r="D814">
            <v>250.6032</v>
          </cell>
          <cell r="E814">
            <v>1</v>
          </cell>
          <cell r="F814">
            <v>288.19368</v>
          </cell>
        </row>
        <row r="815">
          <cell r="A815" t="str">
            <v>ESQ01</v>
          </cell>
          <cell r="B815" t="str">
            <v>Esquina con muro de piedra</v>
          </cell>
          <cell r="C815" t="str">
            <v>ML</v>
          </cell>
          <cell r="D815">
            <v>250.6032</v>
          </cell>
        </row>
        <row r="815">
          <cell r="F815">
            <v>288.19368</v>
          </cell>
        </row>
        <row r="816">
          <cell r="A816" t="str">
            <v>ESQ02</v>
          </cell>
          <cell r="B816" t="str">
            <v>Esquina de muro de piedra RV</v>
          </cell>
          <cell r="C816" t="str">
            <v>ML</v>
          </cell>
          <cell r="D816">
            <v>250</v>
          </cell>
        </row>
        <row r="817">
          <cell r="A817" t="str">
            <v>EST01</v>
          </cell>
          <cell r="B817" t="str">
            <v>Estrias en enjarre</v>
          </cell>
          <cell r="C817" t="str">
            <v>ML</v>
          </cell>
          <cell r="D817">
            <v>41.7672</v>
          </cell>
        </row>
        <row r="817">
          <cell r="F817">
            <v>48.03228</v>
          </cell>
        </row>
        <row r="818">
          <cell r="A818" t="str">
            <v>EST02</v>
          </cell>
          <cell r="B818" t="str">
            <v>Estrias en piso</v>
          </cell>
          <cell r="C818" t="str">
            <v>ML</v>
          </cell>
          <cell r="D818">
            <v>10.5148195804196</v>
          </cell>
        </row>
        <row r="818">
          <cell r="F818">
            <v>12.0920425174825</v>
          </cell>
        </row>
        <row r="819">
          <cell r="A819" t="str">
            <v>EST03</v>
          </cell>
          <cell r="B819" t="str">
            <v>Estriado de piso en losa colada para rampa</v>
          </cell>
          <cell r="C819" t="str">
            <v>M2</v>
          </cell>
          <cell r="D819">
            <v>191.849339712919</v>
          </cell>
        </row>
        <row r="819">
          <cell r="F819">
            <v>220.626740669856</v>
          </cell>
        </row>
        <row r="820">
          <cell r="A820" t="str">
            <v>EXC01</v>
          </cell>
          <cell r="B820" t="str">
            <v>Excavacion de cepa para drenaje/cimiento</v>
          </cell>
          <cell r="C820" t="str">
            <v>M3</v>
          </cell>
          <cell r="D820">
            <v>179.858755980861</v>
          </cell>
        </row>
        <row r="820">
          <cell r="F820">
            <v>206.83756937799</v>
          </cell>
        </row>
        <row r="821">
          <cell r="A821" t="str">
            <v>EXC02</v>
          </cell>
          <cell r="B821" t="str">
            <v>Excavacion para zapata o registro</v>
          </cell>
          <cell r="C821" t="str">
            <v>M3</v>
          </cell>
          <cell r="D821">
            <v>179.858755980861</v>
          </cell>
        </row>
        <row r="821">
          <cell r="F821">
            <v>206.83756937799</v>
          </cell>
        </row>
        <row r="822">
          <cell r="A822" t="str">
            <v>EXC03</v>
          </cell>
          <cell r="B822" t="str">
            <v>Excavacion terreno A 0.00-1.50 prof.</v>
          </cell>
          <cell r="C822" t="str">
            <v>M3</v>
          </cell>
          <cell r="D822">
            <v>179.858755980861</v>
          </cell>
        </row>
        <row r="822">
          <cell r="F822">
            <v>206.83756937799</v>
          </cell>
        </row>
        <row r="823">
          <cell r="A823" t="str">
            <v>EXC04</v>
          </cell>
          <cell r="B823" t="str">
            <v>Excavacion terreno A1.50- 3.00 prof.</v>
          </cell>
          <cell r="C823" t="str">
            <v>M3</v>
          </cell>
          <cell r="D823">
            <v>206.83756937799</v>
          </cell>
        </row>
        <row r="823">
          <cell r="F823">
            <v>237.863204784689</v>
          </cell>
        </row>
        <row r="824">
          <cell r="A824" t="str">
            <v>EXC05</v>
          </cell>
          <cell r="B824" t="str">
            <v>Excavacion terreno B 0.00-1.50 prof.</v>
          </cell>
          <cell r="C824" t="str">
            <v>M3</v>
          </cell>
          <cell r="D824">
            <v>300.72384</v>
          </cell>
        </row>
        <row r="824">
          <cell r="F824">
            <v>345.832416</v>
          </cell>
        </row>
        <row r="825">
          <cell r="A825" t="str">
            <v>EXC06</v>
          </cell>
          <cell r="B825" t="str">
            <v>Excavacion terreno B 1.50- 3.00 prof.</v>
          </cell>
          <cell r="C825" t="str">
            <v>M3</v>
          </cell>
          <cell r="D825">
            <v>345.832416</v>
          </cell>
        </row>
        <row r="825">
          <cell r="F825">
            <v>397.7072784</v>
          </cell>
        </row>
        <row r="826">
          <cell r="A826" t="str">
            <v>EXC07</v>
          </cell>
          <cell r="B826" t="str">
            <v>Excavacion terreno C 0.00-1.50  prof.</v>
          </cell>
          <cell r="C826" t="str">
            <v>M3</v>
          </cell>
          <cell r="D826">
            <v>359.717511961723</v>
          </cell>
        </row>
        <row r="826">
          <cell r="F826">
            <v>413.675138755981</v>
          </cell>
        </row>
        <row r="827">
          <cell r="A827" t="str">
            <v>EXC08</v>
          </cell>
          <cell r="B827" t="str">
            <v>Excavacion terreno C 1.50-3.00 prof.</v>
          </cell>
          <cell r="C827" t="str">
            <v>M3</v>
          </cell>
          <cell r="D827">
            <v>413.675138755981</v>
          </cell>
        </row>
        <row r="827">
          <cell r="F827">
            <v>475.726409569378</v>
          </cell>
        </row>
        <row r="828">
          <cell r="A828" t="str">
            <v>EXC09</v>
          </cell>
          <cell r="B828" t="str">
            <v>Excavacion superficial de terrenos</v>
          </cell>
          <cell r="C828" t="str">
            <v>M3</v>
          </cell>
          <cell r="D828">
            <v>139.224</v>
          </cell>
        </row>
        <row r="828">
          <cell r="F828">
            <v>160.1076</v>
          </cell>
        </row>
        <row r="829">
          <cell r="A829" t="str">
            <v>EXC10</v>
          </cell>
          <cell r="B829" t="str">
            <v>Excavacion de terreno con piedra</v>
          </cell>
          <cell r="C829" t="str">
            <v>M3</v>
          </cell>
          <cell r="D829">
            <v>359.717511961723</v>
          </cell>
        </row>
        <row r="829">
          <cell r="F829">
            <v>413.675138755981</v>
          </cell>
        </row>
        <row r="830">
          <cell r="A830" t="str">
            <v>FIR01</v>
          </cell>
          <cell r="B830" t="str">
            <v>Firme de hormigon en entrepiso espesor promedio 7 cms</v>
          </cell>
          <cell r="C830" t="str">
            <v>M2</v>
          </cell>
          <cell r="D830">
            <v>43.2074482758621</v>
          </cell>
          <cell r="E830">
            <v>1</v>
          </cell>
          <cell r="F830">
            <v>49.6885655172414</v>
          </cell>
        </row>
        <row r="831">
          <cell r="A831" t="str">
            <v>FIR02</v>
          </cell>
          <cell r="B831" t="str">
            <v>Firme de hormigon en piso espesor promedio 7 cms</v>
          </cell>
          <cell r="C831" t="str">
            <v>M2</v>
          </cell>
          <cell r="D831">
            <v>37.59048</v>
          </cell>
          <cell r="E831">
            <v>1</v>
          </cell>
          <cell r="F831">
            <v>43.229052</v>
          </cell>
        </row>
        <row r="832">
          <cell r="A832" t="str">
            <v>FIR03</v>
          </cell>
          <cell r="B832" t="str">
            <v>Firme de ladrillo</v>
          </cell>
          <cell r="C832" t="str">
            <v>M2</v>
          </cell>
          <cell r="D832">
            <v>48.1929230769231</v>
          </cell>
          <cell r="E832">
            <v>1</v>
          </cell>
          <cell r="F832">
            <v>55.4218615384615</v>
          </cell>
        </row>
        <row r="833">
          <cell r="A833" t="str">
            <v>FLECHA</v>
          </cell>
          <cell r="B833" t="str">
            <v>Flecha de estacionamiento pintada</v>
          </cell>
          <cell r="C833" t="str">
            <v>PZA</v>
          </cell>
          <cell r="D833">
            <v>125.3016</v>
          </cell>
        </row>
        <row r="833">
          <cell r="F833">
            <v>144.09684</v>
          </cell>
        </row>
        <row r="834">
          <cell r="A834" t="str">
            <v>FLETE</v>
          </cell>
          <cell r="B834" t="str">
            <v>Flete de escombro, basura o material</v>
          </cell>
          <cell r="C834" t="str">
            <v>VIAJE</v>
          </cell>
          <cell r="D834">
            <v>5</v>
          </cell>
        </row>
        <row r="834">
          <cell r="F834">
            <v>5.75</v>
          </cell>
        </row>
        <row r="835">
          <cell r="A835" t="str">
            <v>FLOR</v>
          </cell>
          <cell r="B835" t="str">
            <v>Flor de teja en esquina incluye cortes y figurado en curva</v>
          </cell>
          <cell r="C835" t="str">
            <v>PZA</v>
          </cell>
          <cell r="D835">
            <v>150</v>
          </cell>
        </row>
        <row r="835">
          <cell r="F835">
            <v>172.5</v>
          </cell>
        </row>
        <row r="836">
          <cell r="A836" t="str">
            <v>FONDEO</v>
          </cell>
          <cell r="B836" t="str">
            <v>Fondeo de muro aparente de ladrillo</v>
          </cell>
          <cell r="C836" t="str">
            <v>M2</v>
          </cell>
          <cell r="D836">
            <v>17.9858755980861</v>
          </cell>
        </row>
        <row r="836">
          <cell r="F836">
            <v>20.683756937799</v>
          </cell>
        </row>
        <row r="837">
          <cell r="A837" t="str">
            <v>FUERA</v>
          </cell>
          <cell r="B837" t="str">
            <v>Labores fuera de turno</v>
          </cell>
          <cell r="C837" t="str">
            <v>LOTE</v>
          </cell>
          <cell r="D837">
            <v>100</v>
          </cell>
        </row>
        <row r="837">
          <cell r="F837">
            <v>100</v>
          </cell>
        </row>
        <row r="838">
          <cell r="A838" t="str">
            <v>GALL1</v>
          </cell>
          <cell r="B838" t="str">
            <v>Gallada de material o escombro</v>
          </cell>
          <cell r="C838" t="str">
            <v>VIAJE</v>
          </cell>
          <cell r="D838">
            <v>417.672</v>
          </cell>
        </row>
        <row r="838">
          <cell r="F838">
            <v>480.3228</v>
          </cell>
        </row>
        <row r="839">
          <cell r="A839" t="str">
            <v>GAR01</v>
          </cell>
          <cell r="B839" t="str">
            <v>Gargola hecha en obra</v>
          </cell>
          <cell r="C839" t="str">
            <v>PZA</v>
          </cell>
          <cell r="D839">
            <v>375.9048</v>
          </cell>
        </row>
        <row r="839">
          <cell r="F839">
            <v>432.29052</v>
          </cell>
        </row>
        <row r="840">
          <cell r="A840" t="str">
            <v>GAR02</v>
          </cell>
          <cell r="B840" t="str">
            <v>Gargola instalar prefabricada</v>
          </cell>
          <cell r="C840" t="str">
            <v>PZA</v>
          </cell>
          <cell r="D840">
            <v>125.3016</v>
          </cell>
        </row>
        <row r="840">
          <cell r="F840">
            <v>144.09684</v>
          </cell>
        </row>
        <row r="841">
          <cell r="A841" t="str">
            <v>GOT01</v>
          </cell>
          <cell r="B841" t="str">
            <v>Gotero abultado</v>
          </cell>
          <cell r="C841" t="str">
            <v>ML</v>
          </cell>
          <cell r="D841">
            <v>93.9762</v>
          </cell>
          <cell r="E841">
            <v>1</v>
          </cell>
          <cell r="F841">
            <v>108.07263</v>
          </cell>
        </row>
        <row r="842">
          <cell r="A842" t="str">
            <v>GOT02</v>
          </cell>
          <cell r="B842" t="str">
            <v>Gotero embutido</v>
          </cell>
          <cell r="C842" t="str">
            <v>ML</v>
          </cell>
          <cell r="D842">
            <v>75.18096</v>
          </cell>
        </row>
        <row r="842">
          <cell r="F842">
            <v>86.458104</v>
          </cell>
        </row>
        <row r="843">
          <cell r="A843" t="str">
            <v>GOT03</v>
          </cell>
          <cell r="B843" t="str">
            <v>Gotero teja de barro</v>
          </cell>
          <cell r="C843" t="str">
            <v>ML</v>
          </cell>
          <cell r="D843">
            <v>50.12064</v>
          </cell>
        </row>
        <row r="843">
          <cell r="F843">
            <v>57.638736</v>
          </cell>
        </row>
        <row r="844">
          <cell r="A844" t="str">
            <v>GRA01</v>
          </cell>
          <cell r="B844" t="str">
            <v>Gradinado de piso de cantera</v>
          </cell>
          <cell r="C844" t="str">
            <v>M2</v>
          </cell>
          <cell r="D844">
            <v>150.36192</v>
          </cell>
        </row>
        <row r="844">
          <cell r="F844">
            <v>172.916208</v>
          </cell>
        </row>
        <row r="845">
          <cell r="A845" t="str">
            <v>GRAP1</v>
          </cell>
          <cell r="B845" t="str">
            <v>Grapas en columnas metalicas o vigueria</v>
          </cell>
          <cell r="C845" t="str">
            <v>PZA</v>
          </cell>
          <cell r="D845">
            <v>10.024128</v>
          </cell>
        </row>
        <row r="845">
          <cell r="F845">
            <v>11.5277472</v>
          </cell>
        </row>
        <row r="846">
          <cell r="A846" t="str">
            <v>GROUT</v>
          </cell>
          <cell r="B846" t="str">
            <v>Cimbrar y colar placa y dado con festergrout</v>
          </cell>
          <cell r="C846" t="str">
            <v>PZA</v>
          </cell>
          <cell r="D846">
            <v>150.36192</v>
          </cell>
        </row>
        <row r="846">
          <cell r="F846">
            <v>172.916208</v>
          </cell>
        </row>
        <row r="847">
          <cell r="A847" t="str">
            <v>HAB01</v>
          </cell>
          <cell r="B847" t="str">
            <v>Habilitar cimbra para castillo o dala</v>
          </cell>
          <cell r="C847" t="str">
            <v>ML</v>
          </cell>
          <cell r="D847">
            <v>30.072384</v>
          </cell>
        </row>
        <row r="847">
          <cell r="F847">
            <v>34.5832416</v>
          </cell>
        </row>
        <row r="848">
          <cell r="A848" t="str">
            <v>HAB02</v>
          </cell>
          <cell r="B848" t="str">
            <v>Habilitar cimbra para columna o dado</v>
          </cell>
          <cell r="C848" t="str">
            <v>ML</v>
          </cell>
          <cell r="D848">
            <v>50.12064</v>
          </cell>
        </row>
        <row r="848">
          <cell r="F848">
            <v>57.638736</v>
          </cell>
        </row>
        <row r="849">
          <cell r="A849" t="str">
            <v>HAB03</v>
          </cell>
          <cell r="B849" t="str">
            <v>Habilitar cimbra para losa</v>
          </cell>
          <cell r="C849" t="str">
            <v>M2</v>
          </cell>
          <cell r="D849">
            <v>37.59048</v>
          </cell>
        </row>
        <row r="849">
          <cell r="F849">
            <v>43.229052</v>
          </cell>
        </row>
        <row r="850">
          <cell r="A850" t="str">
            <v>HEC01</v>
          </cell>
          <cell r="B850" t="str">
            <v>Hechura de mezcla y revoltura</v>
          </cell>
          <cell r="C850" t="str">
            <v>%</v>
          </cell>
          <cell r="D850">
            <v>0</v>
          </cell>
        </row>
        <row r="850">
          <cell r="F850">
            <v>0</v>
          </cell>
        </row>
        <row r="851">
          <cell r="A851" t="str">
            <v>HEDO</v>
          </cell>
          <cell r="B851" t="str">
            <v>Horas extras dobles oficial</v>
          </cell>
          <cell r="C851" t="str">
            <v>HE</v>
          </cell>
          <cell r="D851">
            <v>152.095</v>
          </cell>
        </row>
        <row r="851">
          <cell r="F851">
            <v>0</v>
          </cell>
        </row>
        <row r="852">
          <cell r="A852" t="str">
            <v>HEDP</v>
          </cell>
          <cell r="B852" t="str">
            <v>Horas extras dobles peon</v>
          </cell>
          <cell r="C852" t="str">
            <v>HE</v>
          </cell>
          <cell r="D852">
            <v>84.495</v>
          </cell>
        </row>
        <row r="852">
          <cell r="F852">
            <v>62.2</v>
          </cell>
        </row>
        <row r="853">
          <cell r="A853" t="str">
            <v>HEDPA</v>
          </cell>
          <cell r="B853" t="str">
            <v>Horas extras dobles oficial y peon</v>
          </cell>
          <cell r="C853" t="str">
            <v>HE</v>
          </cell>
          <cell r="D853">
            <v>187.9524</v>
          </cell>
        </row>
        <row r="853">
          <cell r="F853">
            <v>0</v>
          </cell>
        </row>
        <row r="854">
          <cell r="A854" t="str">
            <v>HERRE</v>
          </cell>
          <cell r="B854" t="str">
            <v>Recibir herreria ventanas o puertas</v>
          </cell>
          <cell r="C854" t="str">
            <v>M2</v>
          </cell>
          <cell r="D854">
            <v>187.9524</v>
          </cell>
        </row>
        <row r="854">
          <cell r="F854">
            <v>216.14526</v>
          </cell>
        </row>
        <row r="855">
          <cell r="A855" t="str">
            <v>HETO</v>
          </cell>
          <cell r="B855" t="str">
            <v>Horas extras triples oficial</v>
          </cell>
          <cell r="C855" t="str">
            <v>HE</v>
          </cell>
          <cell r="D855">
            <v>228.1425</v>
          </cell>
        </row>
        <row r="855">
          <cell r="F855">
            <v>0</v>
          </cell>
        </row>
        <row r="856">
          <cell r="A856" t="str">
            <v>HETP</v>
          </cell>
          <cell r="B856" t="str">
            <v>Horas extras triples peon</v>
          </cell>
          <cell r="C856" t="str">
            <v>HE</v>
          </cell>
          <cell r="D856">
            <v>126.7425</v>
          </cell>
        </row>
        <row r="856">
          <cell r="F856">
            <v>93.3</v>
          </cell>
        </row>
        <row r="857">
          <cell r="A857" t="str">
            <v>HETPA</v>
          </cell>
          <cell r="B857" t="str">
            <v>Horas extras triples oficial y peon</v>
          </cell>
          <cell r="C857" t="str">
            <v>HE</v>
          </cell>
          <cell r="D857">
            <v>281.9286</v>
          </cell>
        </row>
        <row r="857">
          <cell r="F857">
            <v>0</v>
          </cell>
        </row>
        <row r="858">
          <cell r="A858" t="str">
            <v>HIL20</v>
          </cell>
          <cell r="B858" t="str">
            <v>Hilada de ladrillo de 20</v>
          </cell>
          <cell r="C858" t="str">
            <v>ML</v>
          </cell>
          <cell r="D858">
            <v>37.59048</v>
          </cell>
          <cell r="E858">
            <v>1</v>
          </cell>
          <cell r="F858">
            <v>43.229052</v>
          </cell>
        </row>
        <row r="859">
          <cell r="A859" t="str">
            <v>HILCA</v>
          </cell>
          <cell r="B859" t="str">
            <v>Hilada de ladrillo de capuchino</v>
          </cell>
          <cell r="C859" t="str">
            <v>ML</v>
          </cell>
          <cell r="D859">
            <v>21.4802742857143</v>
          </cell>
          <cell r="E859">
            <v>1</v>
          </cell>
          <cell r="F859">
            <v>24.7023154285714</v>
          </cell>
        </row>
        <row r="860">
          <cell r="A860" t="str">
            <v>HILSO</v>
          </cell>
          <cell r="B860" t="str">
            <v>Hilada de ladrillo de soga</v>
          </cell>
          <cell r="C860" t="str">
            <v>ML</v>
          </cell>
          <cell r="D860">
            <v>16.70688</v>
          </cell>
          <cell r="E860">
            <v>1</v>
          </cell>
          <cell r="F860">
            <v>19.212912</v>
          </cell>
        </row>
        <row r="861">
          <cell r="A861" t="str">
            <v>HILTE</v>
          </cell>
          <cell r="B861" t="str">
            <v>Hilada de ladrillo de tezon</v>
          </cell>
          <cell r="C861" t="str">
            <v>ML</v>
          </cell>
          <cell r="D861">
            <v>21.4802742857143</v>
          </cell>
          <cell r="E861">
            <v>1</v>
          </cell>
          <cell r="F861">
            <v>24.7023154285714</v>
          </cell>
        </row>
        <row r="862">
          <cell r="A862" t="str">
            <v>HILTEJ</v>
          </cell>
          <cell r="B862" t="str">
            <v>Hilada de teja al inicio losa con mortero</v>
          </cell>
          <cell r="C862" t="str">
            <v>ML</v>
          </cell>
          <cell r="D862">
            <v>25.06032</v>
          </cell>
          <cell r="E862">
            <v>1</v>
          </cell>
          <cell r="F862">
            <v>28.819368</v>
          </cell>
        </row>
        <row r="863">
          <cell r="A863" t="str">
            <v>HILLA</v>
          </cell>
          <cell r="B863" t="str">
            <v>Hilada de ladrillo de azotea</v>
          </cell>
          <cell r="C863" t="str">
            <v>ML</v>
          </cell>
          <cell r="D863">
            <v>16.70688</v>
          </cell>
          <cell r="E863">
            <v>1</v>
          </cell>
          <cell r="F863">
            <v>19.212912</v>
          </cell>
        </row>
        <row r="864">
          <cell r="A864" t="str">
            <v>HOR01</v>
          </cell>
          <cell r="B864" t="str">
            <v>Hormigon en azotea esp. 15-30 cms. prom.</v>
          </cell>
          <cell r="C864" t="str">
            <v>M2</v>
          </cell>
          <cell r="D864">
            <v>75.18096</v>
          </cell>
          <cell r="E864">
            <v>1</v>
          </cell>
          <cell r="F864">
            <v>86.458104</v>
          </cell>
        </row>
        <row r="865">
          <cell r="A865" t="str">
            <v>HOR02</v>
          </cell>
          <cell r="B865" t="str">
            <v>Hormigon premezclado hasta 20 cms espesor</v>
          </cell>
          <cell r="C865" t="str">
            <v>M2</v>
          </cell>
          <cell r="D865">
            <v>30.072384</v>
          </cell>
        </row>
        <row r="865">
          <cell r="F865">
            <v>34.5832416</v>
          </cell>
        </row>
        <row r="866">
          <cell r="A866" t="str">
            <v>HUEMP</v>
          </cell>
          <cell r="B866" t="str">
            <v>Hueco para micropilote</v>
          </cell>
          <cell r="C866" t="str">
            <v>ML</v>
          </cell>
          <cell r="D866">
            <v>82.7984140969163</v>
          </cell>
        </row>
        <row r="866">
          <cell r="F866">
            <v>95.2181762114537</v>
          </cell>
        </row>
        <row r="867">
          <cell r="A867" t="str">
            <v>HUPOL</v>
          </cell>
          <cell r="B867" t="str">
            <v>Hueco para anclaje de polines de crucetas</v>
          </cell>
          <cell r="C867" t="str">
            <v>PZA</v>
          </cell>
          <cell r="D867">
            <v>24.2519225806452</v>
          </cell>
        </row>
        <row r="867">
          <cell r="F867">
            <v>27.8897109677419</v>
          </cell>
        </row>
        <row r="868">
          <cell r="A868" t="str">
            <v>IMP01</v>
          </cell>
          <cell r="B868" t="str">
            <v>Impermeabilizar azotea, 2 capas membrana</v>
          </cell>
          <cell r="C868" t="str">
            <v>M2</v>
          </cell>
          <cell r="D868">
            <v>39.5689263157895</v>
          </cell>
        </row>
        <row r="868">
          <cell r="F868">
            <v>45.5042652631579</v>
          </cell>
        </row>
        <row r="869">
          <cell r="A869" t="str">
            <v>IMP02</v>
          </cell>
          <cell r="B869" t="str">
            <v>Impermeabilizar dala</v>
          </cell>
          <cell r="C869" t="str">
            <v>ML</v>
          </cell>
          <cell r="D869">
            <v>15.036192</v>
          </cell>
        </row>
        <row r="869">
          <cell r="F869">
            <v>17.2916208</v>
          </cell>
        </row>
        <row r="870">
          <cell r="A870" t="str">
            <v>IMP03</v>
          </cell>
          <cell r="B870" t="str">
            <v>Impermeabilizar muro de enrase o divisorio</v>
          </cell>
          <cell r="C870" t="str">
            <v>M2</v>
          </cell>
          <cell r="D870">
            <v>18.79524</v>
          </cell>
        </row>
        <row r="870">
          <cell r="F870">
            <v>21.614526</v>
          </cell>
        </row>
        <row r="871">
          <cell r="A871" t="str">
            <v>IMP04</v>
          </cell>
          <cell r="B871" t="str">
            <v>Impermeabilizar piso, 2 capas membrana</v>
          </cell>
          <cell r="C871" t="str">
            <v>M2</v>
          </cell>
          <cell r="D871">
            <v>37.59048</v>
          </cell>
        </row>
        <row r="871">
          <cell r="F871">
            <v>43.229052</v>
          </cell>
        </row>
        <row r="872">
          <cell r="A872" t="str">
            <v>INSADO</v>
          </cell>
          <cell r="B872" t="str">
            <v>Instalacion de adocreto junteado con color</v>
          </cell>
          <cell r="C872" t="str">
            <v>M2</v>
          </cell>
          <cell r="D872">
            <v>88.4481882352941</v>
          </cell>
        </row>
        <row r="872">
          <cell r="F872">
            <v>101.715416470588</v>
          </cell>
        </row>
        <row r="873">
          <cell r="A873" t="str">
            <v>INS01</v>
          </cell>
          <cell r="B873" t="str">
            <v>Instalacion de azulejo</v>
          </cell>
          <cell r="C873" t="str">
            <v>M2</v>
          </cell>
          <cell r="D873">
            <v>115.308220858896</v>
          </cell>
        </row>
        <row r="873">
          <cell r="F873">
            <v>132.60445398773</v>
          </cell>
        </row>
        <row r="874">
          <cell r="A874" t="str">
            <v>INS02</v>
          </cell>
          <cell r="B874" t="str">
            <v>Instalacion de keralita</v>
          </cell>
          <cell r="C874" t="str">
            <v>M2</v>
          </cell>
          <cell r="D874">
            <v>93.9762</v>
          </cell>
        </row>
        <row r="874">
          <cell r="F874">
            <v>108.07263</v>
          </cell>
        </row>
        <row r="875">
          <cell r="A875" t="str">
            <v>INS03</v>
          </cell>
          <cell r="B875" t="str">
            <v>Instalacion de lavadero</v>
          </cell>
          <cell r="C875" t="str">
            <v>PZA</v>
          </cell>
          <cell r="D875">
            <v>442.240941176471</v>
          </cell>
        </row>
        <row r="875">
          <cell r="F875">
            <v>508.577082352941</v>
          </cell>
        </row>
        <row r="876">
          <cell r="A876" t="str">
            <v>INS04</v>
          </cell>
          <cell r="B876" t="str">
            <v>Instalacion de teja</v>
          </cell>
          <cell r="C876" t="str">
            <v>M2</v>
          </cell>
          <cell r="D876">
            <v>68.3463272727273</v>
          </cell>
        </row>
        <row r="876">
          <cell r="F876">
            <v>78.5982763636364</v>
          </cell>
        </row>
        <row r="877">
          <cell r="A877" t="str">
            <v>INS04A</v>
          </cell>
          <cell r="B877" t="str">
            <v>Instalacion de teja con cama inferior pegada con crest</v>
          </cell>
          <cell r="C877" t="str">
            <v>M2</v>
          </cell>
          <cell r="D877">
            <v>84.9502372881356</v>
          </cell>
        </row>
        <row r="877">
          <cell r="F877">
            <v>97.6927728813559</v>
          </cell>
        </row>
        <row r="878">
          <cell r="A878" t="str">
            <v>INS05</v>
          </cell>
          <cell r="B878" t="str">
            <v>Instalacion de tiratrim</v>
          </cell>
          <cell r="C878" t="str">
            <v>ML</v>
          </cell>
          <cell r="D878">
            <v>21</v>
          </cell>
        </row>
        <row r="878">
          <cell r="F878">
            <v>24.15</v>
          </cell>
        </row>
        <row r="879">
          <cell r="A879" t="str">
            <v>INS06</v>
          </cell>
          <cell r="B879" t="str">
            <v>Instalacion de tubo drenaje de 4,6 y 8 "</v>
          </cell>
          <cell r="C879" t="str">
            <v>ML</v>
          </cell>
          <cell r="D879">
            <v>37.59048</v>
          </cell>
        </row>
        <row r="879">
          <cell r="F879">
            <v>43.229052</v>
          </cell>
        </row>
        <row r="880">
          <cell r="A880" t="str">
            <v>INS07</v>
          </cell>
          <cell r="B880" t="str">
            <v>Instalacion de vitropiso</v>
          </cell>
          <cell r="C880" t="str">
            <v>M2</v>
          </cell>
          <cell r="D880">
            <v>93.9762</v>
          </cell>
        </row>
        <row r="880">
          <cell r="F880">
            <v>108.07263</v>
          </cell>
        </row>
        <row r="881">
          <cell r="A881" t="str">
            <v>INS07C</v>
          </cell>
          <cell r="B881" t="str">
            <v>Instalaciones de vitropiso en casa habitacion</v>
          </cell>
          <cell r="C881" t="str">
            <v>M2</v>
          </cell>
          <cell r="D881">
            <v>45</v>
          </cell>
        </row>
        <row r="881">
          <cell r="F881">
            <v>51.75</v>
          </cell>
        </row>
        <row r="882">
          <cell r="A882" t="str">
            <v>INS0750</v>
          </cell>
          <cell r="B882" t="str">
            <v>Instalacion de piso de 50 x 50</v>
          </cell>
          <cell r="C882" t="str">
            <v>M2</v>
          </cell>
          <cell r="D882">
            <v>120.289536</v>
          </cell>
        </row>
        <row r="882">
          <cell r="F882">
            <v>138.3329664</v>
          </cell>
        </row>
        <row r="883">
          <cell r="A883" t="str">
            <v>INS08</v>
          </cell>
          <cell r="B883" t="str">
            <v>Instalar adoquin en piso, incluye cama y acarreos</v>
          </cell>
          <cell r="C883" t="str">
            <v>M2</v>
          </cell>
          <cell r="D883">
            <v>107.401371428571</v>
          </cell>
        </row>
        <row r="883">
          <cell r="F883">
            <v>123.511577142857</v>
          </cell>
        </row>
        <row r="884">
          <cell r="A884" t="str">
            <v>INS09</v>
          </cell>
          <cell r="B884" t="str">
            <v>Instalar azulejo de alberca</v>
          </cell>
          <cell r="C884" t="str">
            <v>M2</v>
          </cell>
          <cell r="D884">
            <v>75.18096</v>
          </cell>
        </row>
        <row r="884">
          <cell r="F884">
            <v>86.458104</v>
          </cell>
        </row>
        <row r="885">
          <cell r="A885" t="str">
            <v>INS10</v>
          </cell>
          <cell r="B885" t="str">
            <v>Instalar cantera blanco limon junteada</v>
          </cell>
          <cell r="C885" t="str">
            <v>M2</v>
          </cell>
          <cell r="D885">
            <v>187.9524</v>
          </cell>
        </row>
        <row r="885">
          <cell r="F885">
            <v>216.14526</v>
          </cell>
        </row>
        <row r="886">
          <cell r="A886" t="str">
            <v>INS11</v>
          </cell>
          <cell r="B886" t="str">
            <v>Instalar cantera sangre de pichón junteada</v>
          </cell>
          <cell r="C886" t="str">
            <v>M2</v>
          </cell>
          <cell r="D886">
            <v>187.9524</v>
          </cell>
        </row>
        <row r="886">
          <cell r="F886">
            <v>216.14526</v>
          </cell>
        </row>
        <row r="887">
          <cell r="A887" t="str">
            <v>INS12</v>
          </cell>
          <cell r="B887" t="str">
            <v>Instalar marmol 30 x 30</v>
          </cell>
          <cell r="C887" t="str">
            <v>M2</v>
          </cell>
          <cell r="D887">
            <v>125.3016</v>
          </cell>
        </row>
        <row r="887">
          <cell r="F887">
            <v>144.09684</v>
          </cell>
        </row>
        <row r="888">
          <cell r="A888" t="str">
            <v>INS13</v>
          </cell>
          <cell r="B888" t="str">
            <v>Instalar panel W en bovedas</v>
          </cell>
          <cell r="C888" t="str">
            <v>M2</v>
          </cell>
          <cell r="D888">
            <v>57.8315076923077</v>
          </cell>
        </row>
        <row r="888">
          <cell r="F888">
            <v>66.5062338461538</v>
          </cell>
        </row>
        <row r="889">
          <cell r="A889" t="str">
            <v>INS14</v>
          </cell>
          <cell r="B889" t="str">
            <v>Instalar panel W en muro</v>
          </cell>
          <cell r="C889" t="str">
            <v>M2</v>
          </cell>
          <cell r="D889">
            <v>50.12064</v>
          </cell>
        </row>
        <row r="889">
          <cell r="F889">
            <v>57.638736</v>
          </cell>
        </row>
        <row r="890">
          <cell r="A890" t="str">
            <v>INS15</v>
          </cell>
          <cell r="B890" t="str">
            <v>Instalar piedrita bola en cenefas</v>
          </cell>
          <cell r="C890" t="str">
            <v>ML</v>
          </cell>
          <cell r="D890">
            <v>187.9524</v>
          </cell>
        </row>
        <row r="890">
          <cell r="F890">
            <v>216.14526</v>
          </cell>
        </row>
        <row r="891">
          <cell r="A891" t="str">
            <v>INS16</v>
          </cell>
          <cell r="B891" t="str">
            <v>Instalar piso de barro</v>
          </cell>
          <cell r="C891" t="str">
            <v>M2</v>
          </cell>
          <cell r="D891">
            <v>125.3016</v>
          </cell>
        </row>
        <row r="891">
          <cell r="F891">
            <v>144.09684</v>
          </cell>
        </row>
        <row r="892">
          <cell r="A892" t="str">
            <v>INS17</v>
          </cell>
          <cell r="B892" t="str">
            <v>Instalar piso y azulejo en cartabon</v>
          </cell>
          <cell r="C892" t="str">
            <v>M2</v>
          </cell>
          <cell r="D892">
            <v>93.9762</v>
          </cell>
        </row>
        <row r="892">
          <cell r="F892">
            <v>108.07263</v>
          </cell>
        </row>
        <row r="893">
          <cell r="A893" t="str">
            <v>INS18</v>
          </cell>
          <cell r="B893" t="str">
            <v>Instalar piedrita de rajuela a canto en juntas de piso</v>
          </cell>
          <cell r="C893" t="str">
            <v>ML</v>
          </cell>
          <cell r="D893">
            <v>375.9048</v>
          </cell>
        </row>
        <row r="893">
          <cell r="F893">
            <v>432.29052</v>
          </cell>
        </row>
        <row r="894">
          <cell r="A894" t="str">
            <v>INS19</v>
          </cell>
          <cell r="B894" t="str">
            <v>Instalacion de loseta de vinil en pisos</v>
          </cell>
          <cell r="C894" t="str">
            <v>M2</v>
          </cell>
          <cell r="D894">
            <v>53.7006857142857</v>
          </cell>
        </row>
        <row r="894">
          <cell r="F894">
            <v>61.7557885714286</v>
          </cell>
        </row>
        <row r="895">
          <cell r="A895" t="str">
            <v>INS20</v>
          </cell>
          <cell r="B895" t="str">
            <v>Instalacion de piso san andres medidas variables</v>
          </cell>
          <cell r="C895" t="str">
            <v>M2</v>
          </cell>
          <cell r="D895">
            <v>200</v>
          </cell>
        </row>
        <row r="896">
          <cell r="A896" t="str">
            <v>INS21</v>
          </cell>
          <cell r="B896" t="str">
            <v>Instalacion de piedra laja de cubrecanto 60 cms ancho para bancas</v>
          </cell>
          <cell r="C896" t="str">
            <v>ML</v>
          </cell>
          <cell r="D896">
            <v>600</v>
          </cell>
        </row>
        <row r="897">
          <cell r="A897" t="str">
            <v>INS22</v>
          </cell>
          <cell r="B897" t="str">
            <v>Corte, base de cemento y pegado de piso san andres 20 x 20</v>
          </cell>
          <cell r="C897" t="str">
            <v>M2</v>
          </cell>
          <cell r="D897">
            <v>320</v>
          </cell>
        </row>
        <row r="898">
          <cell r="A898" t="str">
            <v>JAB01</v>
          </cell>
          <cell r="B898" t="str">
            <v>Jaboneras con azulejo</v>
          </cell>
          <cell r="C898" t="str">
            <v>PZA</v>
          </cell>
          <cell r="D898">
            <v>300.72384</v>
          </cell>
        </row>
        <row r="898">
          <cell r="F898">
            <v>345.832416</v>
          </cell>
        </row>
        <row r="899">
          <cell r="A899" t="str">
            <v>JUNT1</v>
          </cell>
          <cell r="B899" t="str">
            <v>Junta de dilatacion en azotea</v>
          </cell>
          <cell r="C899" t="str">
            <v>ML</v>
          </cell>
          <cell r="D899">
            <v>31.5886386554622</v>
          </cell>
        </row>
        <row r="899">
          <cell r="F899">
            <v>36.3269344537815</v>
          </cell>
        </row>
        <row r="900">
          <cell r="A900" t="str">
            <v>JUNT2</v>
          </cell>
          <cell r="B900" t="str">
            <v>Junteo de ladrillo cuarteron con color</v>
          </cell>
          <cell r="C900" t="str">
            <v>M2</v>
          </cell>
          <cell r="D900">
            <v>65.9482105263158</v>
          </cell>
        </row>
        <row r="900">
          <cell r="F900">
            <v>75.8404421052632</v>
          </cell>
        </row>
        <row r="901">
          <cell r="A901" t="str">
            <v>JUNT3</v>
          </cell>
          <cell r="B901" t="str">
            <v>Junteo de ladrillo peron colocando alambre recocido</v>
          </cell>
          <cell r="C901" t="str">
            <v>M2</v>
          </cell>
          <cell r="D901">
            <v>39.5689263157895</v>
          </cell>
        </row>
        <row r="901">
          <cell r="F901">
            <v>45.5042652631579</v>
          </cell>
        </row>
        <row r="902">
          <cell r="A902" t="str">
            <v>LAVP</v>
          </cell>
          <cell r="B902" t="str">
            <v>Lavado de piso con acido muriatico p/porosidad</v>
          </cell>
          <cell r="C902" t="str">
            <v>M2</v>
          </cell>
          <cell r="D902">
            <v>25.06032</v>
          </cell>
        </row>
        <row r="902">
          <cell r="F902">
            <v>28.819368</v>
          </cell>
        </row>
        <row r="903">
          <cell r="A903" t="str">
            <v>LEC01</v>
          </cell>
          <cell r="B903" t="str">
            <v>Lechadeado de boveda</v>
          </cell>
          <cell r="C903" t="str">
            <v>M2</v>
          </cell>
          <cell r="D903">
            <v>7.16009142857143</v>
          </cell>
          <cell r="E903">
            <v>1</v>
          </cell>
          <cell r="F903">
            <v>8.23410514285714</v>
          </cell>
        </row>
        <row r="904">
          <cell r="A904" t="str">
            <v>LEC02</v>
          </cell>
          <cell r="B904" t="str">
            <v>Lechadeo de ladrillo azotea</v>
          </cell>
          <cell r="C904" t="str">
            <v>M2</v>
          </cell>
          <cell r="D904">
            <v>7.16009142857143</v>
          </cell>
          <cell r="E904">
            <v>1</v>
          </cell>
          <cell r="F904">
            <v>8.23410514285714</v>
          </cell>
        </row>
        <row r="905">
          <cell r="A905" t="str">
            <v>LEC03</v>
          </cell>
          <cell r="B905" t="str">
            <v>Lechadeo de firme</v>
          </cell>
          <cell r="C905" t="str">
            <v>M2</v>
          </cell>
          <cell r="D905">
            <v>7.16009142857143</v>
          </cell>
          <cell r="E905">
            <v>1</v>
          </cell>
          <cell r="F905">
            <v>8.23410514285714</v>
          </cell>
        </row>
        <row r="906">
          <cell r="A906" t="str">
            <v>LEC04</v>
          </cell>
          <cell r="B906" t="str">
            <v>Lechadeo sobre ladrillo azotea ya lechadeado</v>
          </cell>
          <cell r="C906" t="str">
            <v>M2</v>
          </cell>
          <cell r="D906">
            <v>8.35344</v>
          </cell>
          <cell r="E906">
            <v>1</v>
          </cell>
          <cell r="F906">
            <v>9.606456</v>
          </cell>
        </row>
        <row r="907">
          <cell r="A907" t="str">
            <v>LEC05</v>
          </cell>
          <cell r="B907" t="str">
            <v>Lechada de cemento en terraplen afinado</v>
          </cell>
          <cell r="C907" t="str">
            <v>M2</v>
          </cell>
          <cell r="D907">
            <v>6.0144768</v>
          </cell>
          <cell r="E907">
            <v>1</v>
          </cell>
          <cell r="F907">
            <v>6.91664832</v>
          </cell>
        </row>
        <row r="908">
          <cell r="A908" t="str">
            <v>LEC06</v>
          </cell>
          <cell r="B908" t="str">
            <v>Lechadeo de terminado ladrillo de azotea</v>
          </cell>
          <cell r="C908" t="str">
            <v>M2</v>
          </cell>
          <cell r="D908">
            <v>25.06032</v>
          </cell>
          <cell r="E908">
            <v>1</v>
          </cell>
          <cell r="F908">
            <v>28.819368</v>
          </cell>
        </row>
        <row r="909">
          <cell r="A909" t="str">
            <v>LIJ01</v>
          </cell>
          <cell r="B909" t="str">
            <v>Lijar muro, lavar con thinner y mano extra</v>
          </cell>
          <cell r="C909" t="str">
            <v>M2</v>
          </cell>
          <cell r="D909">
            <v>3</v>
          </cell>
        </row>
        <row r="909">
          <cell r="F909">
            <v>3.45</v>
          </cell>
        </row>
        <row r="910">
          <cell r="A910" t="str">
            <v>LOS10</v>
          </cell>
          <cell r="B910" t="str">
            <v>Colado de losa esp. 10 cms rev. hecho/obra</v>
          </cell>
          <cell r="C910" t="str">
            <v>M2</v>
          </cell>
          <cell r="D910">
            <v>88.4481882352941</v>
          </cell>
          <cell r="E910">
            <v>1</v>
          </cell>
          <cell r="F910">
            <v>101.715416470588</v>
          </cell>
        </row>
        <row r="911">
          <cell r="A911" t="str">
            <v>LOS11</v>
          </cell>
          <cell r="B911" t="str">
            <v>Colado de losa esp. 10 cms rev. premezclada</v>
          </cell>
          <cell r="C911" t="str">
            <v>M2</v>
          </cell>
          <cell r="D911">
            <v>37.59048</v>
          </cell>
        </row>
        <row r="911">
          <cell r="F911">
            <v>43.229052</v>
          </cell>
        </row>
        <row r="912">
          <cell r="A912" t="str">
            <v>LOS12</v>
          </cell>
          <cell r="B912" t="str">
            <v>Colado de losa esp. 12 cms rev. hecho/obra</v>
          </cell>
          <cell r="C912" t="str">
            <v>M2</v>
          </cell>
          <cell r="D912">
            <v>105.888676056338</v>
          </cell>
          <cell r="E912">
            <v>1</v>
          </cell>
          <cell r="F912">
            <v>121.771977464789</v>
          </cell>
        </row>
        <row r="913">
          <cell r="A913" t="str">
            <v>LOS13</v>
          </cell>
          <cell r="B913" t="str">
            <v>Colado de losa esp. 12 cms rev. premezclada</v>
          </cell>
          <cell r="C913" t="str">
            <v>M2</v>
          </cell>
          <cell r="D913">
            <v>41.0824918032787</v>
          </cell>
        </row>
        <row r="913">
          <cell r="F913">
            <v>47.2448655737705</v>
          </cell>
        </row>
        <row r="914">
          <cell r="A914" t="str">
            <v>LOS14</v>
          </cell>
          <cell r="B914" t="str">
            <v>Colado de losa esp. 15 cms rev. hecho/obra</v>
          </cell>
          <cell r="C914" t="str">
            <v>M2</v>
          </cell>
          <cell r="D914">
            <v>131.896421052632</v>
          </cell>
          <cell r="E914">
            <v>1</v>
          </cell>
          <cell r="F914">
            <v>151.680884210526</v>
          </cell>
        </row>
        <row r="915">
          <cell r="A915" t="str">
            <v>LOS15</v>
          </cell>
          <cell r="B915" t="str">
            <v>Colado de losa esp. 15 cms rev. premezclada</v>
          </cell>
          <cell r="C915" t="str">
            <v>M2</v>
          </cell>
          <cell r="D915">
            <v>46.9881</v>
          </cell>
        </row>
        <row r="915">
          <cell r="F915">
            <v>54.036315</v>
          </cell>
        </row>
        <row r="916">
          <cell r="A916" t="str">
            <v>LOS16</v>
          </cell>
          <cell r="B916" t="str">
            <v>Colado de losa esp. 20 cms rev. hecho/obra</v>
          </cell>
          <cell r="C916" t="str">
            <v>M2</v>
          </cell>
          <cell r="D916">
            <v>176.896376470588</v>
          </cell>
          <cell r="E916">
            <v>1</v>
          </cell>
          <cell r="F916">
            <v>203.430832941176</v>
          </cell>
        </row>
        <row r="917">
          <cell r="A917" t="str">
            <v>LOS17</v>
          </cell>
          <cell r="B917" t="str">
            <v>Colado de losa esp. 20 cms rev. premezclada</v>
          </cell>
          <cell r="C917" t="str">
            <v>M2</v>
          </cell>
          <cell r="D917">
            <v>55.2801176470588</v>
          </cell>
        </row>
        <row r="917">
          <cell r="F917">
            <v>63.5721352941177</v>
          </cell>
        </row>
        <row r="918">
          <cell r="A918" t="str">
            <v>LOTE</v>
          </cell>
          <cell r="B918" t="str">
            <v>Lote</v>
          </cell>
          <cell r="C918" t="str">
            <v>LOTE</v>
          </cell>
          <cell r="D918">
            <v>100</v>
          </cell>
        </row>
        <row r="918">
          <cell r="F918">
            <v>100</v>
          </cell>
        </row>
        <row r="919">
          <cell r="A919" t="str">
            <v>LOTE150</v>
          </cell>
          <cell r="B919" t="str">
            <v>Lote</v>
          </cell>
          <cell r="C919" t="str">
            <v>LOTE</v>
          </cell>
          <cell r="D919">
            <v>150</v>
          </cell>
        </row>
        <row r="919">
          <cell r="F919">
            <v>150</v>
          </cell>
        </row>
        <row r="920">
          <cell r="A920" t="str">
            <v>LOTE10</v>
          </cell>
          <cell r="B920" t="str">
            <v>Lote</v>
          </cell>
          <cell r="C920" t="str">
            <v>LOTE</v>
          </cell>
          <cell r="D920">
            <v>1000</v>
          </cell>
        </row>
        <row r="920">
          <cell r="F920">
            <v>1000</v>
          </cell>
        </row>
        <row r="921">
          <cell r="A921" t="str">
            <v>LOTE11</v>
          </cell>
          <cell r="B921" t="str">
            <v>Lote</v>
          </cell>
          <cell r="C921" t="str">
            <v>LOTE</v>
          </cell>
          <cell r="D921">
            <v>1100</v>
          </cell>
        </row>
        <row r="921">
          <cell r="F921">
            <v>1100</v>
          </cell>
        </row>
        <row r="922">
          <cell r="A922" t="str">
            <v>LOTE12</v>
          </cell>
          <cell r="B922" t="str">
            <v>Lote</v>
          </cell>
          <cell r="C922" t="str">
            <v>LOTE</v>
          </cell>
          <cell r="D922">
            <v>1200</v>
          </cell>
        </row>
        <row r="922">
          <cell r="F922">
            <v>1200</v>
          </cell>
        </row>
        <row r="923">
          <cell r="A923" t="str">
            <v>LOTE13</v>
          </cell>
          <cell r="B923" t="str">
            <v>Lote</v>
          </cell>
          <cell r="C923" t="str">
            <v>LOTE</v>
          </cell>
          <cell r="D923">
            <v>1300</v>
          </cell>
        </row>
        <row r="923">
          <cell r="F923">
            <v>1300</v>
          </cell>
        </row>
        <row r="924">
          <cell r="A924" t="str">
            <v>LOTE14</v>
          </cell>
          <cell r="B924" t="str">
            <v>Lote</v>
          </cell>
          <cell r="C924" t="str">
            <v>LOTE</v>
          </cell>
          <cell r="D924">
            <v>1400</v>
          </cell>
        </row>
        <row r="924">
          <cell r="F924">
            <v>1400</v>
          </cell>
        </row>
        <row r="925">
          <cell r="A925" t="str">
            <v>LOTE15</v>
          </cell>
          <cell r="B925" t="str">
            <v>Lote</v>
          </cell>
          <cell r="C925" t="str">
            <v>LOTE</v>
          </cell>
          <cell r="D925">
            <v>1500</v>
          </cell>
        </row>
        <row r="925">
          <cell r="F925">
            <v>1500</v>
          </cell>
        </row>
        <row r="926">
          <cell r="A926" t="str">
            <v>LOTE16</v>
          </cell>
          <cell r="B926" t="str">
            <v>Lote</v>
          </cell>
          <cell r="C926" t="str">
            <v>LOTE</v>
          </cell>
          <cell r="D926">
            <v>1600</v>
          </cell>
        </row>
        <row r="926">
          <cell r="F926">
            <v>1600</v>
          </cell>
        </row>
        <row r="927">
          <cell r="A927" t="str">
            <v>LOTE17</v>
          </cell>
          <cell r="B927" t="str">
            <v>Lote</v>
          </cell>
          <cell r="C927" t="str">
            <v>LOTE</v>
          </cell>
          <cell r="D927">
            <v>1700</v>
          </cell>
        </row>
        <row r="927">
          <cell r="F927">
            <v>1700</v>
          </cell>
        </row>
        <row r="928">
          <cell r="A928" t="str">
            <v>LOTE18</v>
          </cell>
          <cell r="B928" t="str">
            <v>Lote</v>
          </cell>
          <cell r="C928" t="str">
            <v>LOTE</v>
          </cell>
          <cell r="D928">
            <v>1800</v>
          </cell>
        </row>
        <row r="928">
          <cell r="F928">
            <v>1800</v>
          </cell>
        </row>
        <row r="929">
          <cell r="A929" t="str">
            <v>LOTE19</v>
          </cell>
          <cell r="B929" t="str">
            <v>Lote</v>
          </cell>
          <cell r="C929" t="str">
            <v>LOTE</v>
          </cell>
          <cell r="D929">
            <v>1900</v>
          </cell>
        </row>
        <row r="929">
          <cell r="F929">
            <v>1900</v>
          </cell>
        </row>
        <row r="930">
          <cell r="A930" t="str">
            <v>LOTE2</v>
          </cell>
          <cell r="B930" t="str">
            <v>Lote</v>
          </cell>
          <cell r="C930" t="str">
            <v>LOTE</v>
          </cell>
          <cell r="D930">
            <v>200</v>
          </cell>
        </row>
        <row r="930">
          <cell r="F930">
            <v>200</v>
          </cell>
        </row>
        <row r="931">
          <cell r="A931" t="str">
            <v>LOTE20</v>
          </cell>
          <cell r="B931" t="str">
            <v>Lote</v>
          </cell>
          <cell r="C931" t="str">
            <v>LOTE</v>
          </cell>
          <cell r="D931">
            <v>2000</v>
          </cell>
        </row>
        <row r="931">
          <cell r="F931">
            <v>2000</v>
          </cell>
        </row>
        <row r="932">
          <cell r="A932" t="str">
            <v>LOTE21</v>
          </cell>
          <cell r="B932" t="str">
            <v>Lote</v>
          </cell>
          <cell r="C932" t="str">
            <v>LOTE</v>
          </cell>
          <cell r="D932">
            <v>2100</v>
          </cell>
        </row>
        <row r="932">
          <cell r="F932">
            <v>2100</v>
          </cell>
        </row>
        <row r="933">
          <cell r="A933" t="str">
            <v>LOTE22</v>
          </cell>
          <cell r="B933" t="str">
            <v>Lote</v>
          </cell>
          <cell r="C933" t="str">
            <v>LOTE</v>
          </cell>
          <cell r="D933">
            <v>2200</v>
          </cell>
        </row>
        <row r="933">
          <cell r="F933">
            <v>2200</v>
          </cell>
        </row>
        <row r="934">
          <cell r="A934" t="str">
            <v>LOTE23</v>
          </cell>
          <cell r="B934" t="str">
            <v>Lote</v>
          </cell>
          <cell r="C934" t="str">
            <v>LOTE</v>
          </cell>
          <cell r="D934">
            <v>2300</v>
          </cell>
        </row>
        <row r="934">
          <cell r="F934">
            <v>2300</v>
          </cell>
        </row>
        <row r="935">
          <cell r="A935" t="str">
            <v>LOTE24</v>
          </cell>
          <cell r="B935" t="str">
            <v>Lote</v>
          </cell>
          <cell r="C935" t="str">
            <v>LOTE</v>
          </cell>
          <cell r="D935">
            <v>2400</v>
          </cell>
        </row>
        <row r="935">
          <cell r="F935">
            <v>2400</v>
          </cell>
        </row>
        <row r="936">
          <cell r="A936" t="str">
            <v>LOTE25</v>
          </cell>
          <cell r="B936" t="str">
            <v>Lote</v>
          </cell>
          <cell r="C936" t="str">
            <v>LOTE</v>
          </cell>
          <cell r="D936">
            <v>2500</v>
          </cell>
        </row>
        <row r="936">
          <cell r="F936">
            <v>2500</v>
          </cell>
        </row>
        <row r="937">
          <cell r="A937" t="str">
            <v>LOTE26</v>
          </cell>
          <cell r="B937" t="str">
            <v>Lote</v>
          </cell>
          <cell r="C937" t="str">
            <v>LOTE</v>
          </cell>
          <cell r="D937">
            <v>2600</v>
          </cell>
        </row>
        <row r="937">
          <cell r="F937">
            <v>2600</v>
          </cell>
        </row>
        <row r="938">
          <cell r="A938" t="str">
            <v>LOTE27</v>
          </cell>
          <cell r="B938" t="str">
            <v>Lote</v>
          </cell>
          <cell r="C938" t="str">
            <v>LOTE</v>
          </cell>
          <cell r="D938">
            <v>2700</v>
          </cell>
        </row>
        <row r="938">
          <cell r="F938">
            <v>2700</v>
          </cell>
        </row>
        <row r="939">
          <cell r="A939" t="str">
            <v>LOTE28</v>
          </cell>
          <cell r="B939" t="str">
            <v>Lote</v>
          </cell>
          <cell r="C939" t="str">
            <v>LOTE</v>
          </cell>
          <cell r="D939">
            <v>2800</v>
          </cell>
        </row>
        <row r="939">
          <cell r="F939">
            <v>2800</v>
          </cell>
        </row>
        <row r="940">
          <cell r="A940" t="str">
            <v>LOTE29</v>
          </cell>
          <cell r="B940" t="str">
            <v>Lote</v>
          </cell>
          <cell r="C940" t="str">
            <v>LOTE</v>
          </cell>
          <cell r="D940">
            <v>2900</v>
          </cell>
        </row>
        <row r="940">
          <cell r="F940">
            <v>2900</v>
          </cell>
        </row>
        <row r="941">
          <cell r="A941" t="str">
            <v>LOTE3</v>
          </cell>
          <cell r="B941" t="str">
            <v>Lote</v>
          </cell>
          <cell r="C941" t="str">
            <v>LOTE</v>
          </cell>
          <cell r="D941">
            <v>300</v>
          </cell>
        </row>
        <row r="941">
          <cell r="F941">
            <v>300</v>
          </cell>
        </row>
        <row r="942">
          <cell r="A942" t="str">
            <v>LOTE30</v>
          </cell>
          <cell r="B942" t="str">
            <v>Lote</v>
          </cell>
          <cell r="C942" t="str">
            <v>LOTE</v>
          </cell>
          <cell r="D942">
            <v>3000</v>
          </cell>
        </row>
        <row r="942">
          <cell r="F942">
            <v>3000</v>
          </cell>
        </row>
        <row r="943">
          <cell r="A943" t="str">
            <v>LOTE4</v>
          </cell>
          <cell r="B943" t="str">
            <v>Lote</v>
          </cell>
          <cell r="C943" t="str">
            <v>LOTE</v>
          </cell>
          <cell r="D943">
            <v>400</v>
          </cell>
        </row>
        <row r="943">
          <cell r="F943">
            <v>400</v>
          </cell>
        </row>
        <row r="944">
          <cell r="A944" t="str">
            <v>LOTE5</v>
          </cell>
          <cell r="B944" t="str">
            <v>Lote</v>
          </cell>
          <cell r="C944" t="str">
            <v>LOTE</v>
          </cell>
          <cell r="D944">
            <v>500</v>
          </cell>
        </row>
        <row r="944">
          <cell r="F944">
            <v>500</v>
          </cell>
        </row>
        <row r="945">
          <cell r="A945" t="str">
            <v>LOTE6</v>
          </cell>
          <cell r="B945" t="str">
            <v>Lote</v>
          </cell>
          <cell r="C945" t="str">
            <v>LOTE</v>
          </cell>
          <cell r="D945">
            <v>600</v>
          </cell>
        </row>
        <row r="945">
          <cell r="F945">
            <v>600</v>
          </cell>
        </row>
        <row r="946">
          <cell r="A946" t="str">
            <v>LOTE7</v>
          </cell>
          <cell r="B946" t="str">
            <v>Lote</v>
          </cell>
          <cell r="C946" t="str">
            <v>LOTE</v>
          </cell>
          <cell r="D946">
            <v>700</v>
          </cell>
        </row>
        <row r="946">
          <cell r="F946">
            <v>700</v>
          </cell>
        </row>
        <row r="947">
          <cell r="A947" t="str">
            <v>LOTE8</v>
          </cell>
          <cell r="B947" t="str">
            <v>Lote</v>
          </cell>
          <cell r="C947" t="str">
            <v>LOTE</v>
          </cell>
          <cell r="D947">
            <v>800</v>
          </cell>
        </row>
        <row r="947">
          <cell r="F947">
            <v>800</v>
          </cell>
        </row>
        <row r="948">
          <cell r="A948" t="str">
            <v>LOTE9</v>
          </cell>
          <cell r="B948" t="str">
            <v>Lote</v>
          </cell>
          <cell r="C948" t="str">
            <v>LOTE</v>
          </cell>
          <cell r="D948">
            <v>900</v>
          </cell>
        </row>
        <row r="948">
          <cell r="F948">
            <v>900</v>
          </cell>
        </row>
        <row r="949">
          <cell r="A949" t="str">
            <v>MSCUR1</v>
          </cell>
          <cell r="B949" t="str">
            <v>Muro de soga curvo</v>
          </cell>
          <cell r="C949" t="str">
            <v>M2</v>
          </cell>
          <cell r="D949">
            <v>123.247475409836</v>
          </cell>
          <cell r="E949">
            <v>1</v>
          </cell>
          <cell r="F949">
            <v>141.734596721311</v>
          </cell>
        </row>
        <row r="950">
          <cell r="A950" t="str">
            <v>MSCUR2</v>
          </cell>
          <cell r="B950" t="str">
            <v>Muro de soga curvo  2a h</v>
          </cell>
          <cell r="C950" t="str">
            <v>M2</v>
          </cell>
          <cell r="D950">
            <v>141.734596721311</v>
          </cell>
          <cell r="E950">
            <v>1</v>
          </cell>
          <cell r="F950">
            <v>162.994786229508</v>
          </cell>
        </row>
        <row r="951">
          <cell r="A951" t="str">
            <v>M201</v>
          </cell>
          <cell r="B951" t="str">
            <v>Muro de 20 de ladrillo</v>
          </cell>
          <cell r="C951" t="str">
            <v>M2</v>
          </cell>
          <cell r="D951">
            <v>123.247475409836</v>
          </cell>
          <cell r="E951">
            <v>1</v>
          </cell>
          <cell r="F951">
            <v>141.734596721311</v>
          </cell>
        </row>
        <row r="952">
          <cell r="A952" t="str">
            <v>M202</v>
          </cell>
          <cell r="B952" t="str">
            <v>Muro de 20 de ladrillo 2a h.</v>
          </cell>
          <cell r="C952" t="str">
            <v>M2</v>
          </cell>
          <cell r="D952">
            <v>141.734596721311</v>
          </cell>
          <cell r="E952">
            <v>1</v>
          </cell>
          <cell r="F952">
            <v>162.994786229508</v>
          </cell>
        </row>
        <row r="953">
          <cell r="A953" t="str">
            <v>M203</v>
          </cell>
          <cell r="B953" t="str">
            <v>Muro de 20 en limpio 1 rostro</v>
          </cell>
          <cell r="C953" t="str">
            <v>M2</v>
          </cell>
          <cell r="D953">
            <v>162.994786229508</v>
          </cell>
          <cell r="E953">
            <v>1</v>
          </cell>
          <cell r="F953">
            <v>187.444004163934</v>
          </cell>
        </row>
        <row r="954">
          <cell r="A954" t="str">
            <v>M201R2</v>
          </cell>
          <cell r="B954" t="str">
            <v>Muro de 20 1 rostro a 2a h</v>
          </cell>
          <cell r="C954" t="str">
            <v>M2</v>
          </cell>
          <cell r="D954">
            <v>182.017061052632</v>
          </cell>
          <cell r="E954">
            <v>1</v>
          </cell>
          <cell r="F954">
            <v>209.319620210526</v>
          </cell>
        </row>
        <row r="955">
          <cell r="A955" t="str">
            <v>M203A</v>
          </cell>
          <cell r="B955" t="str">
            <v>Muro de 20 de ladrillo 3a h</v>
          </cell>
          <cell r="C955" t="str">
            <v>M2</v>
          </cell>
          <cell r="D955">
            <v>141.734596721311</v>
          </cell>
          <cell r="E955">
            <v>1</v>
          </cell>
          <cell r="F955">
            <v>162.994786229508</v>
          </cell>
        </row>
        <row r="956">
          <cell r="A956" t="str">
            <v>M204</v>
          </cell>
          <cell r="B956" t="str">
            <v>Muro de 20 en limpio 2 rostros</v>
          </cell>
          <cell r="C956" t="str">
            <v>M2</v>
          </cell>
          <cell r="D956">
            <v>197.844631578947</v>
          </cell>
          <cell r="E956">
            <v>1</v>
          </cell>
          <cell r="F956">
            <v>227.521326315789</v>
          </cell>
        </row>
        <row r="957">
          <cell r="A957" t="str">
            <v>M25</v>
          </cell>
          <cell r="B957" t="str">
            <v>Muro de 25 cms de espesor</v>
          </cell>
          <cell r="C957" t="str">
            <v>M2</v>
          </cell>
          <cell r="D957">
            <v>145.982446601942</v>
          </cell>
          <cell r="E957">
            <v>1</v>
          </cell>
          <cell r="F957">
            <v>167.879813592233</v>
          </cell>
        </row>
        <row r="958">
          <cell r="A958" t="str">
            <v>M252</v>
          </cell>
          <cell r="B958" t="str">
            <v>Muro de 25 cms de espesor  a 2a h</v>
          </cell>
          <cell r="C958" t="str">
            <v>M2</v>
          </cell>
          <cell r="D958">
            <v>167.879813592233</v>
          </cell>
          <cell r="E958">
            <v>1</v>
          </cell>
          <cell r="F958">
            <v>193.061785631068</v>
          </cell>
        </row>
        <row r="959">
          <cell r="A959" t="str">
            <v>M253</v>
          </cell>
          <cell r="B959" t="str">
            <v>Muro de 25 cms de espesor  a 3a h</v>
          </cell>
          <cell r="C959" t="str">
            <v>M2</v>
          </cell>
          <cell r="D959">
            <v>193.061785631068</v>
          </cell>
          <cell r="E959">
            <v>1</v>
          </cell>
          <cell r="F959">
            <v>222.021053475728</v>
          </cell>
        </row>
        <row r="960">
          <cell r="A960" t="str">
            <v>M254</v>
          </cell>
          <cell r="B960" t="str">
            <v>Muro de 25 cms de espesor  a 4a h</v>
          </cell>
          <cell r="C960" t="str">
            <v>M2</v>
          </cell>
          <cell r="D960">
            <v>222.021053475728</v>
          </cell>
          <cell r="E960">
            <v>1</v>
          </cell>
          <cell r="F960">
            <v>255.324211497087</v>
          </cell>
        </row>
        <row r="961">
          <cell r="A961" t="str">
            <v>M255</v>
          </cell>
          <cell r="B961" t="str">
            <v>Muro de 25 cms de espesor  a 5a h</v>
          </cell>
          <cell r="C961" t="str">
            <v>M2</v>
          </cell>
          <cell r="D961">
            <v>255.324211497087</v>
          </cell>
          <cell r="E961">
            <v>1</v>
          </cell>
          <cell r="F961">
            <v>293.62284322165</v>
          </cell>
        </row>
        <row r="962">
          <cell r="A962" t="str">
            <v>M301R</v>
          </cell>
          <cell r="B962" t="str">
            <v>Muro de 30 cms espesor 1 rostro</v>
          </cell>
          <cell r="C962" t="str">
            <v>M2</v>
          </cell>
          <cell r="D962">
            <v>233.481242236025</v>
          </cell>
          <cell r="E962">
            <v>1</v>
          </cell>
          <cell r="F962">
            <v>268.503428571429</v>
          </cell>
        </row>
        <row r="963">
          <cell r="A963" t="str">
            <v>M301R2</v>
          </cell>
          <cell r="B963" t="str">
            <v>Muro de 30 cms espesor 1 rostro 2a h</v>
          </cell>
          <cell r="C963" t="str">
            <v>M2</v>
          </cell>
          <cell r="D963">
            <v>268.503428571429</v>
          </cell>
          <cell r="E963">
            <v>1</v>
          </cell>
          <cell r="F963">
            <v>308.778942857143</v>
          </cell>
        </row>
        <row r="964">
          <cell r="A964" t="str">
            <v>M301R3</v>
          </cell>
          <cell r="B964" t="str">
            <v>Muro de 30 cms espesor 1 rostro 3a h</v>
          </cell>
          <cell r="C964" t="str">
            <v>M2</v>
          </cell>
          <cell r="D964">
            <v>308.778942857143</v>
          </cell>
          <cell r="E964">
            <v>1</v>
          </cell>
          <cell r="F964">
            <v>355.095784285714</v>
          </cell>
        </row>
        <row r="965">
          <cell r="A965" t="str">
            <v>M35</v>
          </cell>
          <cell r="B965" t="str">
            <v>Muro de 35 cms de espesor</v>
          </cell>
          <cell r="C965" t="str">
            <v>M2</v>
          </cell>
          <cell r="D965">
            <v>187.9524</v>
          </cell>
          <cell r="E965">
            <v>1</v>
          </cell>
          <cell r="F965">
            <v>216.14526</v>
          </cell>
        </row>
        <row r="966">
          <cell r="A966" t="str">
            <v>MACH1</v>
          </cell>
          <cell r="B966" t="str">
            <v>Machuelo forjado con ladrillo</v>
          </cell>
          <cell r="C966" t="str">
            <v>ML</v>
          </cell>
          <cell r="D966">
            <v>62.6508</v>
          </cell>
          <cell r="E966">
            <v>1</v>
          </cell>
          <cell r="F966">
            <v>72.04842</v>
          </cell>
        </row>
        <row r="967">
          <cell r="A967" t="str">
            <v>MACH2</v>
          </cell>
          <cell r="B967" t="str">
            <v>barrenos, armar, cimbrar, colar y perfilar machuelo 20 X 20</v>
          </cell>
          <cell r="C967" t="str">
            <v>ML</v>
          </cell>
          <cell r="D967">
            <v>230.616441717791</v>
          </cell>
        </row>
        <row r="967">
          <cell r="F967">
            <v>265.20890797546</v>
          </cell>
        </row>
        <row r="968">
          <cell r="A968" t="str">
            <v>MACH3</v>
          </cell>
          <cell r="B968" t="str">
            <v>barrenos, colocar varillin , cimbrar, colar y perfilar machuelo 10 x 10</v>
          </cell>
          <cell r="C968" t="str">
            <v>ML</v>
          </cell>
          <cell r="D968">
            <v>125.3016</v>
          </cell>
        </row>
        <row r="968">
          <cell r="F968">
            <v>144.09684</v>
          </cell>
        </row>
        <row r="969">
          <cell r="A969" t="str">
            <v>MALLA</v>
          </cell>
          <cell r="B969" t="str">
            <v>Corte y colocacion de malla lack en piso</v>
          </cell>
          <cell r="C969" t="str">
            <v>M2</v>
          </cell>
          <cell r="D969">
            <v>15.036192</v>
          </cell>
        </row>
        <row r="969">
          <cell r="F969">
            <v>17.2916208</v>
          </cell>
        </row>
        <row r="970">
          <cell r="A970" t="str">
            <v>MAM01</v>
          </cell>
          <cell r="B970" t="str">
            <v>Mamposteo 1 rostro de 0.00-1.50</v>
          </cell>
          <cell r="C970" t="str">
            <v>M3</v>
          </cell>
          <cell r="D970">
            <v>523.411746835443</v>
          </cell>
          <cell r="E970">
            <v>1</v>
          </cell>
          <cell r="F970">
            <v>601.92350886076</v>
          </cell>
        </row>
        <row r="971">
          <cell r="A971" t="str">
            <v>MAM02</v>
          </cell>
          <cell r="B971" t="str">
            <v>Mamposteo 1 rostro de 1.50-3.00</v>
          </cell>
          <cell r="C971" t="str">
            <v>M3</v>
          </cell>
          <cell r="D971">
            <v>661.592448</v>
          </cell>
          <cell r="E971">
            <v>1</v>
          </cell>
          <cell r="F971">
            <v>760.8313152</v>
          </cell>
        </row>
        <row r="972">
          <cell r="A972" t="str">
            <v>MAM02a</v>
          </cell>
          <cell r="B972" t="str">
            <v>Mamposteo 1 rostro de 3.00-5.70</v>
          </cell>
          <cell r="C972" t="str">
            <v>M3</v>
          </cell>
          <cell r="D972">
            <v>835.344</v>
          </cell>
          <cell r="E972">
            <v>1</v>
          </cell>
          <cell r="F972">
            <v>960.6456</v>
          </cell>
        </row>
        <row r="973">
          <cell r="A973" t="str">
            <v>MAM03</v>
          </cell>
          <cell r="B973" t="str">
            <v>Mamposteo 2 rostros de 0.00-1.50</v>
          </cell>
          <cell r="C973" t="str">
            <v>M3</v>
          </cell>
          <cell r="D973">
            <v>972.930070588236</v>
          </cell>
          <cell r="E973">
            <v>1</v>
          </cell>
          <cell r="F973">
            <v>1118.86958117647</v>
          </cell>
        </row>
        <row r="974">
          <cell r="A974" t="str">
            <v>MAM03a</v>
          </cell>
          <cell r="B974" t="str">
            <v>Mamposteo 2 rostros de 0.00-1.50</v>
          </cell>
          <cell r="C974" t="str">
            <v>M3</v>
          </cell>
          <cell r="D974">
            <v>787.610057142857</v>
          </cell>
          <cell r="E974">
            <v>1</v>
          </cell>
          <cell r="F974">
            <v>905.751565714286</v>
          </cell>
        </row>
        <row r="975">
          <cell r="A975" t="str">
            <v>MAM03a2</v>
          </cell>
          <cell r="B975" t="str">
            <v>Mamposteo 2 rostros de 1.50-3.00</v>
          </cell>
          <cell r="C975" t="str">
            <v>M3</v>
          </cell>
          <cell r="D975">
            <v>908.780835164835</v>
          </cell>
          <cell r="E975">
            <v>1</v>
          </cell>
          <cell r="F975">
            <v>1045.09796043956</v>
          </cell>
        </row>
        <row r="976">
          <cell r="A976" t="str">
            <v>MAM04</v>
          </cell>
          <cell r="B976" t="str">
            <v>Mamposteo 2 rostros de 1.50-3.00</v>
          </cell>
          <cell r="C976" t="str">
            <v>M3</v>
          </cell>
          <cell r="D976">
            <v>1234.31426865672</v>
          </cell>
          <cell r="E976">
            <v>1</v>
          </cell>
          <cell r="F976">
            <v>1419.46140895522</v>
          </cell>
        </row>
        <row r="977">
          <cell r="A977" t="str">
            <v>MAM05</v>
          </cell>
          <cell r="B977" t="str">
            <v>Mamposteo en sucio de 0.00-1.50</v>
          </cell>
          <cell r="C977" t="str">
            <v>M3</v>
          </cell>
          <cell r="D977">
            <v>413.49528</v>
          </cell>
          <cell r="E977">
            <v>1</v>
          </cell>
          <cell r="F977">
            <v>475.519572</v>
          </cell>
        </row>
        <row r="978">
          <cell r="A978" t="str">
            <v>MAM06</v>
          </cell>
          <cell r="B978" t="str">
            <v>Mamposteo en sucio de 1.50-3.00</v>
          </cell>
          <cell r="C978" t="str">
            <v>M3</v>
          </cell>
          <cell r="D978">
            <v>486.465035294118</v>
          </cell>
          <cell r="E978">
            <v>1</v>
          </cell>
          <cell r="F978">
            <v>559.434790588235</v>
          </cell>
        </row>
        <row r="979">
          <cell r="A979" t="str">
            <v>MAM07</v>
          </cell>
          <cell r="B979" t="str">
            <v>Mamposteo a 1 rostro con junta cerrada</v>
          </cell>
          <cell r="C979" t="str">
            <v>M3</v>
          </cell>
          <cell r="D979">
            <v>1759.55438297872</v>
          </cell>
          <cell r="E979">
            <v>1</v>
          </cell>
          <cell r="F979">
            <v>2023.48754042553</v>
          </cell>
        </row>
        <row r="980">
          <cell r="A980" t="str">
            <v>MAM08</v>
          </cell>
          <cell r="B980" t="str">
            <v>Mamposteo a 2 rostros con junta cerrada</v>
          </cell>
          <cell r="C980" t="str">
            <v>M3</v>
          </cell>
          <cell r="D980">
            <v>2667.71148387097</v>
          </cell>
          <cell r="E980">
            <v>1</v>
          </cell>
          <cell r="F980">
            <v>3067.86820645161</v>
          </cell>
        </row>
        <row r="981">
          <cell r="A981" t="str">
            <v>MAMRV</v>
          </cell>
          <cell r="B981" t="str">
            <v>Mamposteo muro de piedra a 2 rostros rancho viejo de 0.00 a 2.00</v>
          </cell>
          <cell r="C981" t="str">
            <v>M3</v>
          </cell>
          <cell r="D981">
            <v>1153.08220858896</v>
          </cell>
          <cell r="E981">
            <v>1</v>
          </cell>
          <cell r="F981">
            <v>1326.0445398773</v>
          </cell>
        </row>
        <row r="982">
          <cell r="A982" t="str">
            <v>MAMRV2</v>
          </cell>
          <cell r="B982" t="str">
            <v>Mamposteo muro de piedra a 2 rostros rancho viejo de 2.00 a 4.00</v>
          </cell>
          <cell r="C982" t="str">
            <v>M3</v>
          </cell>
          <cell r="D982">
            <v>1441.3527607362</v>
          </cell>
          <cell r="E982">
            <v>1</v>
          </cell>
          <cell r="F982">
            <v>1657.55567484663</v>
          </cell>
        </row>
        <row r="983">
          <cell r="A983" t="str">
            <v>MAMP1R0-2</v>
          </cell>
          <cell r="B983" t="str">
            <v>Muro de piedra en limpio a 1 rostro de 0.00 a 2.00 alto</v>
          </cell>
          <cell r="C983" t="str">
            <v>M3</v>
          </cell>
          <cell r="D983">
            <v>2000</v>
          </cell>
        </row>
        <row r="984">
          <cell r="A984" t="str">
            <v>MAMP1R2-4</v>
          </cell>
          <cell r="B984" t="str">
            <v>Muro de piedra en limpio a 1 rostro de 2.00 a 4.00 alto</v>
          </cell>
          <cell r="C984" t="str">
            <v>M3</v>
          </cell>
          <cell r="D984">
            <v>2340</v>
          </cell>
        </row>
        <row r="985">
          <cell r="A985" t="str">
            <v>MAMP1R4-6</v>
          </cell>
          <cell r="B985" t="str">
            <v>Muro de piedra en limpio a 1 rostro de 4.00 a 6.00 alto</v>
          </cell>
          <cell r="C985" t="str">
            <v>M3</v>
          </cell>
          <cell r="D985">
            <v>2660</v>
          </cell>
        </row>
        <row r="986">
          <cell r="A986" t="str">
            <v>MAMP2R0-2</v>
          </cell>
          <cell r="B986" t="str">
            <v>Muro de piedra en limpio a 2 rostros de 0.00 a 2.00 alto</v>
          </cell>
          <cell r="C986" t="str">
            <v>M3</v>
          </cell>
          <cell r="D986">
            <v>2300</v>
          </cell>
        </row>
        <row r="987">
          <cell r="A987" t="str">
            <v>MAMP2R2-4</v>
          </cell>
          <cell r="B987" t="str">
            <v>Muro de piedra en limpio a 2 rostros de 2.00 a 4.00 alto</v>
          </cell>
          <cell r="C987" t="str">
            <v>M3</v>
          </cell>
          <cell r="D987">
            <v>2660</v>
          </cell>
        </row>
        <row r="988">
          <cell r="A988" t="str">
            <v>MAMP2R4-6</v>
          </cell>
          <cell r="B988" t="str">
            <v>Muro de piedra en limpio a 2 rostros de 4.00 a 6.00 alto</v>
          </cell>
          <cell r="C988" t="str">
            <v>M3</v>
          </cell>
          <cell r="D988">
            <v>3000</v>
          </cell>
        </row>
        <row r="989">
          <cell r="A989" t="str">
            <v>MANDO</v>
          </cell>
          <cell r="B989" t="str">
            <v>Mando intermedio de personal</v>
          </cell>
          <cell r="C989" t="str">
            <v>LOTE</v>
          </cell>
          <cell r="D989">
            <v>751.8096</v>
          </cell>
        </row>
        <row r="989">
          <cell r="F989">
            <v>864.58104</v>
          </cell>
        </row>
        <row r="990">
          <cell r="A990" t="str">
            <v>MART1</v>
          </cell>
          <cell r="B990" t="str">
            <v>Martelinado de piso concreto</v>
          </cell>
          <cell r="C990" t="str">
            <v>M2</v>
          </cell>
          <cell r="D990">
            <v>300.72384</v>
          </cell>
        </row>
        <row r="990">
          <cell r="F990">
            <v>345.832416</v>
          </cell>
        </row>
        <row r="991">
          <cell r="A991" t="str">
            <v>MART2</v>
          </cell>
          <cell r="B991" t="str">
            <v>Martelinado de escalones de concreto</v>
          </cell>
          <cell r="C991" t="str">
            <v>ML</v>
          </cell>
          <cell r="D991">
            <v>214.802742857143</v>
          </cell>
        </row>
        <row r="991">
          <cell r="F991">
            <v>247.023154285714</v>
          </cell>
        </row>
        <row r="992">
          <cell r="A992" t="str">
            <v>MB203</v>
          </cell>
          <cell r="B992" t="str">
            <v>Muro de 20 de block a 3a h</v>
          </cell>
          <cell r="C992" t="str">
            <v>M2</v>
          </cell>
          <cell r="D992">
            <v>139.224</v>
          </cell>
          <cell r="E992">
            <v>1</v>
          </cell>
          <cell r="F992">
            <v>160.1076</v>
          </cell>
        </row>
        <row r="993">
          <cell r="A993" t="str">
            <v>MBO01</v>
          </cell>
          <cell r="B993" t="str">
            <v>Muro de 20 de block</v>
          </cell>
          <cell r="C993" t="str">
            <v>M2</v>
          </cell>
          <cell r="D993">
            <v>107.401371428571</v>
          </cell>
          <cell r="E993">
            <v>1</v>
          </cell>
          <cell r="F993">
            <v>123.511577142857</v>
          </cell>
        </row>
        <row r="994">
          <cell r="A994" t="str">
            <v>MBO02</v>
          </cell>
          <cell r="B994" t="str">
            <v>Muro de 20 de block 2a h.</v>
          </cell>
          <cell r="C994" t="str">
            <v>M2</v>
          </cell>
          <cell r="D994">
            <v>123.247475409836</v>
          </cell>
          <cell r="E994">
            <v>1</v>
          </cell>
          <cell r="F994">
            <v>141.734596721311</v>
          </cell>
        </row>
        <row r="995">
          <cell r="A995" t="str">
            <v>MBO03</v>
          </cell>
          <cell r="B995" t="str">
            <v>Muro de capuchino de block</v>
          </cell>
          <cell r="C995" t="str">
            <v>M2</v>
          </cell>
          <cell r="D995">
            <v>75.18096</v>
          </cell>
          <cell r="E995">
            <v>1</v>
          </cell>
          <cell r="F995">
            <v>86.458104</v>
          </cell>
        </row>
        <row r="996">
          <cell r="A996" t="str">
            <v>MBO04</v>
          </cell>
          <cell r="B996" t="str">
            <v>Muro de capuchino de block 2a h.</v>
          </cell>
          <cell r="C996" t="str">
            <v>M2</v>
          </cell>
          <cell r="D996">
            <v>86.458104</v>
          </cell>
          <cell r="E996">
            <v>1</v>
          </cell>
          <cell r="F996">
            <v>99.4268196</v>
          </cell>
        </row>
        <row r="997">
          <cell r="A997" t="str">
            <v>MBO05</v>
          </cell>
          <cell r="B997" t="str">
            <v>Muro de soga de block</v>
          </cell>
          <cell r="C997" t="str">
            <v>M2</v>
          </cell>
          <cell r="D997">
            <v>100.24128</v>
          </cell>
          <cell r="E997">
            <v>1</v>
          </cell>
          <cell r="F997">
            <v>115.277472</v>
          </cell>
        </row>
        <row r="998">
          <cell r="A998" t="str">
            <v>MBO06</v>
          </cell>
          <cell r="B998" t="str">
            <v>Muro de soga de block 2a h.</v>
          </cell>
          <cell r="C998" t="str">
            <v>M2</v>
          </cell>
          <cell r="D998">
            <v>115.277472</v>
          </cell>
          <cell r="E998">
            <v>1</v>
          </cell>
          <cell r="F998">
            <v>132.5690928</v>
          </cell>
        </row>
        <row r="999">
          <cell r="A999" t="str">
            <v>MBO07</v>
          </cell>
          <cell r="B999" t="str">
            <v>Muro de tezon de block</v>
          </cell>
          <cell r="C999" t="str">
            <v>M2</v>
          </cell>
          <cell r="D999">
            <v>139.224</v>
          </cell>
          <cell r="E999">
            <v>1</v>
          </cell>
          <cell r="F999">
            <v>160.1076</v>
          </cell>
        </row>
        <row r="1000">
          <cell r="A1000" t="str">
            <v>MBO08</v>
          </cell>
          <cell r="B1000" t="str">
            <v>Muro de tezon de block 2a h.</v>
          </cell>
          <cell r="C1000" t="str">
            <v>M2</v>
          </cell>
          <cell r="D1000">
            <v>160.1076</v>
          </cell>
          <cell r="E1000">
            <v>1</v>
          </cell>
          <cell r="F1000">
            <v>184.12374</v>
          </cell>
        </row>
        <row r="1001">
          <cell r="A1001" t="str">
            <v>MBSO3</v>
          </cell>
          <cell r="B1001" t="str">
            <v>Muro de soga de block a 3a h</v>
          </cell>
          <cell r="C1001" t="str">
            <v>M2</v>
          </cell>
          <cell r="D1001">
            <v>130.313664</v>
          </cell>
          <cell r="E1001">
            <v>1</v>
          </cell>
          <cell r="F1001">
            <v>149.8607136</v>
          </cell>
        </row>
        <row r="1002">
          <cell r="A1002" t="str">
            <v>MBSO4</v>
          </cell>
          <cell r="B1002" t="str">
            <v>Muro de soga de block a 4a h</v>
          </cell>
          <cell r="C1002" t="str">
            <v>M2</v>
          </cell>
          <cell r="D1002">
            <v>145.349856</v>
          </cell>
          <cell r="E1002">
            <v>1</v>
          </cell>
          <cell r="F1002">
            <v>167.1523344</v>
          </cell>
        </row>
        <row r="1003">
          <cell r="A1003" t="str">
            <v>MBSO5</v>
          </cell>
          <cell r="B1003" t="str">
            <v>Muro de soga de block a 5a h</v>
          </cell>
          <cell r="C1003" t="str">
            <v>M2</v>
          </cell>
          <cell r="D1003">
            <v>160.386048</v>
          </cell>
          <cell r="E1003">
            <v>1</v>
          </cell>
          <cell r="F1003">
            <v>184.4439552</v>
          </cell>
        </row>
        <row r="1004">
          <cell r="A1004" t="str">
            <v>MBTE3</v>
          </cell>
          <cell r="B1004" t="str">
            <v>Muro de tezon de block a 3a h</v>
          </cell>
          <cell r="C1004" t="str">
            <v>M2</v>
          </cell>
          <cell r="D1004">
            <v>163.436869565217</v>
          </cell>
          <cell r="E1004">
            <v>1</v>
          </cell>
          <cell r="F1004">
            <v>187.9524</v>
          </cell>
        </row>
        <row r="1005">
          <cell r="A1005" t="str">
            <v>MBTE4</v>
          </cell>
          <cell r="B1005" t="str">
            <v>Muro de tezon de block a 4a h</v>
          </cell>
          <cell r="C1005" t="str">
            <v>M2</v>
          </cell>
          <cell r="D1005">
            <v>187.9524</v>
          </cell>
          <cell r="E1005">
            <v>1</v>
          </cell>
          <cell r="F1005">
            <v>216.14526</v>
          </cell>
        </row>
        <row r="1006">
          <cell r="A1006" t="str">
            <v>MBTE5</v>
          </cell>
          <cell r="B1006" t="str">
            <v>Muro de tezon de block a 5a h</v>
          </cell>
          <cell r="C1006" t="str">
            <v>M2</v>
          </cell>
          <cell r="D1006">
            <v>216.14526</v>
          </cell>
          <cell r="E1006">
            <v>1</v>
          </cell>
          <cell r="F1006">
            <v>248.567049</v>
          </cell>
        </row>
        <row r="1007">
          <cell r="A1007" t="str">
            <v>MBHA</v>
          </cell>
          <cell r="B1007" t="str">
            <v>Muro de block hueco aparente con colado de escalerillas verticales</v>
          </cell>
          <cell r="C1007" t="str">
            <v>M2</v>
          </cell>
          <cell r="D1007">
            <v>139.224</v>
          </cell>
          <cell r="E1007">
            <v>1</v>
          </cell>
          <cell r="F1007">
            <v>160.1076</v>
          </cell>
        </row>
        <row r="1008">
          <cell r="A1008" t="str">
            <v>MBHA2</v>
          </cell>
          <cell r="B1008" t="str">
            <v>Muro de block hueco aparente con colado de escalerillas verticales 2a h</v>
          </cell>
          <cell r="C1008" t="str">
            <v>M2</v>
          </cell>
          <cell r="D1008">
            <v>160.1076</v>
          </cell>
          <cell r="E1008">
            <v>1</v>
          </cell>
          <cell r="F1008">
            <v>184.12374</v>
          </cell>
        </row>
        <row r="1009">
          <cell r="A1009" t="str">
            <v>MPIÑASO</v>
          </cell>
          <cell r="B1009" t="str">
            <v>Muro de piña de soga</v>
          </cell>
          <cell r="C1009" t="str">
            <v>M2</v>
          </cell>
          <cell r="D1009">
            <v>79.137852631579</v>
          </cell>
          <cell r="E1009">
            <v>1</v>
          </cell>
          <cell r="F1009">
            <v>91.0085305263158</v>
          </cell>
        </row>
        <row r="1010">
          <cell r="A1010" t="str">
            <v>MCA1</v>
          </cell>
          <cell r="B1010" t="str">
            <v>Muro de capuchino de ladrillo</v>
          </cell>
          <cell r="C1010" t="str">
            <v>M2</v>
          </cell>
          <cell r="D1010">
            <v>75.18096</v>
          </cell>
          <cell r="E1010">
            <v>1</v>
          </cell>
          <cell r="F1010">
            <v>86.458104</v>
          </cell>
        </row>
        <row r="1011">
          <cell r="A1011" t="str">
            <v>MCA2</v>
          </cell>
          <cell r="B1011" t="str">
            <v>Muro de capuchino de ladrillo 2a h.</v>
          </cell>
          <cell r="C1011" t="str">
            <v>M2</v>
          </cell>
          <cell r="D1011">
            <v>86.458104</v>
          </cell>
          <cell r="E1011">
            <v>1</v>
          </cell>
          <cell r="F1011">
            <v>99.4268196</v>
          </cell>
        </row>
        <row r="1012">
          <cell r="A1012" t="str">
            <v>MPREF</v>
          </cell>
          <cell r="B1012" t="str">
            <v>Colocacion de muro de concreto prefabricado a nivel</v>
          </cell>
          <cell r="C1012" t="str">
            <v>M2</v>
          </cell>
          <cell r="D1012">
            <v>75.18096</v>
          </cell>
          <cell r="E1012">
            <v>1</v>
          </cell>
          <cell r="F1012">
            <v>86.458104</v>
          </cell>
        </row>
        <row r="1013">
          <cell r="A1013" t="str">
            <v>MED01</v>
          </cell>
          <cell r="B1013" t="str">
            <v>Media caña  de cemento blanco y marmolina</v>
          </cell>
          <cell r="C1013" t="str">
            <v>ML</v>
          </cell>
          <cell r="D1013">
            <v>18.79524</v>
          </cell>
          <cell r="E1013">
            <v>1</v>
          </cell>
          <cell r="F1013">
            <v>21.614526</v>
          </cell>
        </row>
        <row r="1014">
          <cell r="A1014" t="str">
            <v>MED02</v>
          </cell>
          <cell r="B1014" t="str">
            <v>Media caña con resina quimica del oeste</v>
          </cell>
          <cell r="C1014" t="str">
            <v>ML</v>
          </cell>
          <cell r="D1014">
            <v>15.6627</v>
          </cell>
          <cell r="E1014">
            <v>1</v>
          </cell>
          <cell r="F1014">
            <v>18.012105</v>
          </cell>
        </row>
        <row r="1015">
          <cell r="A1015" t="str">
            <v>MET01</v>
          </cell>
          <cell r="B1015" t="str">
            <v>Colocacion de metal desplegado</v>
          </cell>
          <cell r="C1015" t="str">
            <v>ML</v>
          </cell>
          <cell r="D1015">
            <v>25.06032</v>
          </cell>
        </row>
        <row r="1015">
          <cell r="F1015">
            <v>28.819368</v>
          </cell>
        </row>
        <row r="1016">
          <cell r="A1016" t="str">
            <v>MHUA</v>
          </cell>
          <cell r="B1016" t="str">
            <v>Muro huacaleado en pozo de absorcion</v>
          </cell>
          <cell r="C1016" t="str">
            <v>M2</v>
          </cell>
          <cell r="D1016">
            <v>75.18096</v>
          </cell>
          <cell r="E1016">
            <v>1</v>
          </cell>
          <cell r="F1016">
            <v>86.458104</v>
          </cell>
        </row>
        <row r="1017">
          <cell r="A1017" t="str">
            <v>MOC20</v>
          </cell>
          <cell r="B1017" t="str">
            <v>Mocheta de 20</v>
          </cell>
          <cell r="C1017" t="str">
            <v>ML</v>
          </cell>
          <cell r="D1017">
            <v>231.326030769231</v>
          </cell>
          <cell r="E1017">
            <v>1</v>
          </cell>
          <cell r="F1017">
            <v>266.024935384615</v>
          </cell>
        </row>
        <row r="1018">
          <cell r="A1018" t="str">
            <v>MOCCA</v>
          </cell>
          <cell r="B1018" t="str">
            <v>Mocheta de capuchino</v>
          </cell>
          <cell r="C1018" t="str">
            <v>ML</v>
          </cell>
          <cell r="D1018">
            <v>158.275705263158</v>
          </cell>
          <cell r="E1018">
            <v>1</v>
          </cell>
          <cell r="F1018">
            <v>182.017061052632</v>
          </cell>
        </row>
        <row r="1019">
          <cell r="A1019" t="str">
            <v>MOCSO</v>
          </cell>
          <cell r="B1019" t="str">
            <v>Mocheta de soga</v>
          </cell>
          <cell r="C1019" t="str">
            <v>ML</v>
          </cell>
          <cell r="D1019">
            <v>158.275705263158</v>
          </cell>
          <cell r="E1019">
            <v>1</v>
          </cell>
          <cell r="F1019">
            <v>182.017061052632</v>
          </cell>
        </row>
        <row r="1020">
          <cell r="A1020" t="str">
            <v>MOCTE</v>
          </cell>
          <cell r="B1020" t="str">
            <v>Mocheta de tezon</v>
          </cell>
          <cell r="C1020" t="str">
            <v>ML</v>
          </cell>
          <cell r="D1020">
            <v>250.6032</v>
          </cell>
          <cell r="E1020">
            <v>1</v>
          </cell>
          <cell r="F1020">
            <v>288.19368</v>
          </cell>
        </row>
        <row r="1021">
          <cell r="A1021" t="str">
            <v>MOJ01</v>
          </cell>
          <cell r="B1021" t="str">
            <v>Mojonera de 30 x 30 x 40 c/varilla terminada</v>
          </cell>
          <cell r="C1021" t="str">
            <v>PZA</v>
          </cell>
          <cell r="D1021">
            <v>93.9762</v>
          </cell>
        </row>
        <row r="1021">
          <cell r="F1021">
            <v>108.07263</v>
          </cell>
        </row>
        <row r="1022">
          <cell r="A1022" t="str">
            <v>MOL01</v>
          </cell>
          <cell r="B1022" t="str">
            <v>Moldura altura hasta 40 cms, incluye cercha</v>
          </cell>
          <cell r="C1022" t="str">
            <v>ML</v>
          </cell>
          <cell r="D1022">
            <v>501.2064</v>
          </cell>
        </row>
        <row r="1022">
          <cell r="F1022">
            <v>576.38736</v>
          </cell>
        </row>
        <row r="1023">
          <cell r="A1023" t="str">
            <v>MOL02</v>
          </cell>
          <cell r="B1023" t="str">
            <v>Moldura en esquina ( remate ), altura hasta 40 cms</v>
          </cell>
          <cell r="C1023" t="str">
            <v>ML</v>
          </cell>
          <cell r="D1023">
            <v>501.2064</v>
          </cell>
        </row>
        <row r="1023">
          <cell r="F1023">
            <v>576.38736</v>
          </cell>
        </row>
        <row r="1024">
          <cell r="A1024" t="str">
            <v>MOL03</v>
          </cell>
          <cell r="B1024" t="str">
            <v>Moldura 10-15 cms espesor c/media caña</v>
          </cell>
          <cell r="C1024" t="str">
            <v>ML</v>
          </cell>
          <cell r="D1024">
            <v>150.36192</v>
          </cell>
        </row>
        <row r="1024">
          <cell r="F1024">
            <v>172.916208</v>
          </cell>
        </row>
        <row r="1025">
          <cell r="A1025" t="str">
            <v>MSO1</v>
          </cell>
          <cell r="B1025" t="str">
            <v>Muro de soga de ladrillo</v>
          </cell>
          <cell r="C1025" t="str">
            <v>M2</v>
          </cell>
          <cell r="D1025">
            <v>100.24128</v>
          </cell>
          <cell r="E1025">
            <v>1</v>
          </cell>
          <cell r="F1025">
            <v>115.277472</v>
          </cell>
        </row>
        <row r="1026">
          <cell r="A1026" t="str">
            <v>MSO2</v>
          </cell>
          <cell r="B1026" t="str">
            <v>Muro de soga de ladrillo 2a h.</v>
          </cell>
          <cell r="C1026" t="str">
            <v>M2</v>
          </cell>
          <cell r="D1026">
            <v>115.277472</v>
          </cell>
          <cell r="E1026">
            <v>1</v>
          </cell>
          <cell r="F1026">
            <v>132.5690928</v>
          </cell>
        </row>
        <row r="1027">
          <cell r="A1027" t="str">
            <v>MSO3</v>
          </cell>
          <cell r="B1027" t="str">
            <v>Muro de soga en limpio 1 rostro</v>
          </cell>
          <cell r="C1027" t="str">
            <v>M2</v>
          </cell>
          <cell r="D1027">
            <v>118.706778947368</v>
          </cell>
          <cell r="E1027">
            <v>1</v>
          </cell>
          <cell r="F1027">
            <v>136.512795789474</v>
          </cell>
        </row>
        <row r="1028">
          <cell r="A1028" t="str">
            <v>MSO32a</v>
          </cell>
          <cell r="B1028" t="str">
            <v>Muro de soga en limpio 1 rostro a 2a h</v>
          </cell>
          <cell r="C1028" t="str">
            <v>M2</v>
          </cell>
          <cell r="D1028">
            <v>136.512795789474</v>
          </cell>
          <cell r="E1028">
            <v>1</v>
          </cell>
          <cell r="F1028">
            <v>156.989715157895</v>
          </cell>
        </row>
        <row r="1029">
          <cell r="A1029" t="str">
            <v>MSO33a</v>
          </cell>
          <cell r="B1029" t="str">
            <v>Muro de soga en limpio 1 rostro a 3a h</v>
          </cell>
          <cell r="C1029" t="str">
            <v>M2</v>
          </cell>
          <cell r="D1029">
            <v>156.989715157895</v>
          </cell>
          <cell r="E1029">
            <v>1</v>
          </cell>
          <cell r="F1029">
            <v>180.538172431579</v>
          </cell>
        </row>
        <row r="1030">
          <cell r="A1030" t="str">
            <v>MSO34a</v>
          </cell>
          <cell r="B1030" t="str">
            <v>Muro de soga en limpio 1 rostro a 4a h</v>
          </cell>
          <cell r="C1030" t="str">
            <v>M2</v>
          </cell>
          <cell r="D1030">
            <v>180.538172431579</v>
          </cell>
          <cell r="E1030">
            <v>1</v>
          </cell>
          <cell r="F1030">
            <v>207.618898296316</v>
          </cell>
        </row>
        <row r="1031">
          <cell r="A1031" t="str">
            <v>MSO4</v>
          </cell>
          <cell r="B1031" t="str">
            <v>Muro de soga en limpio 2 rostros</v>
          </cell>
          <cell r="C1031" t="str">
            <v>M2</v>
          </cell>
          <cell r="D1031">
            <v>150.36192</v>
          </cell>
          <cell r="E1031">
            <v>1</v>
          </cell>
          <cell r="F1031">
            <v>172.916208</v>
          </cell>
        </row>
        <row r="1032">
          <cell r="A1032" t="str">
            <v>MSO2R</v>
          </cell>
          <cell r="B1032" t="str">
            <v>Muro de soga a 2 rostros en limpio</v>
          </cell>
          <cell r="C1032" t="str">
            <v>M2</v>
          </cell>
          <cell r="D1032">
            <v>171.465347368421</v>
          </cell>
          <cell r="E1032">
            <v>1</v>
          </cell>
          <cell r="F1032">
            <v>197.185149473684</v>
          </cell>
        </row>
        <row r="1033">
          <cell r="A1033" t="str">
            <v>MSO2R2</v>
          </cell>
          <cell r="B1033" t="str">
            <v>Muro de soga a 2 rostros en limpio en 2a h</v>
          </cell>
          <cell r="C1033" t="str">
            <v>M2</v>
          </cell>
          <cell r="D1033">
            <v>197.844631578947</v>
          </cell>
          <cell r="E1033">
            <v>1</v>
          </cell>
          <cell r="F1033">
            <v>227.521326315789</v>
          </cell>
        </row>
        <row r="1034">
          <cell r="A1034" t="str">
            <v>M262R</v>
          </cell>
          <cell r="B1034" t="str">
            <v>Muro de 26 cms espesor a 2 rostros en limpio</v>
          </cell>
          <cell r="C1034" t="str">
            <v>M2</v>
          </cell>
          <cell r="D1034">
            <v>237.413557894737</v>
          </cell>
          <cell r="E1034">
            <v>1</v>
          </cell>
          <cell r="F1034">
            <v>273.025591578947</v>
          </cell>
        </row>
        <row r="1035">
          <cell r="A1035" t="str">
            <v>M262R2</v>
          </cell>
          <cell r="B1035" t="str">
            <v>Muro de 26 cms espesor a 2 rostros en limpio en 2a h</v>
          </cell>
          <cell r="C1035" t="str">
            <v>M2</v>
          </cell>
          <cell r="D1035">
            <v>274.344555789474</v>
          </cell>
          <cell r="E1035">
            <v>1</v>
          </cell>
          <cell r="F1035">
            <v>315.496239157895</v>
          </cell>
        </row>
        <row r="1036">
          <cell r="A1036" t="str">
            <v>MTEZ1</v>
          </cell>
          <cell r="B1036" t="str">
            <v>Muro de tezon de ladrillo</v>
          </cell>
          <cell r="C1036" t="str">
            <v>M2</v>
          </cell>
          <cell r="D1036">
            <v>139.224</v>
          </cell>
          <cell r="E1036">
            <v>1</v>
          </cell>
          <cell r="F1036">
            <v>160.1076</v>
          </cell>
        </row>
        <row r="1037">
          <cell r="A1037" t="str">
            <v>MTEZ2</v>
          </cell>
          <cell r="B1037" t="str">
            <v>Muro de tezon de ladrillo 2a h.</v>
          </cell>
          <cell r="C1037" t="str">
            <v>M2</v>
          </cell>
          <cell r="D1037">
            <v>160.1076</v>
          </cell>
          <cell r="E1037">
            <v>1</v>
          </cell>
          <cell r="F1037">
            <v>184.12374</v>
          </cell>
        </row>
        <row r="1038">
          <cell r="A1038" t="str">
            <v>MUSOG</v>
          </cell>
          <cell r="B1038" t="str">
            <v>Murete de soga de nivelacion en cimentaciones</v>
          </cell>
          <cell r="C1038" t="str">
            <v>ML</v>
          </cell>
          <cell r="D1038">
            <v>53.7006857142857</v>
          </cell>
          <cell r="E1038">
            <v>1</v>
          </cell>
          <cell r="F1038">
            <v>61.7557885714286</v>
          </cell>
        </row>
        <row r="1039">
          <cell r="A1039" t="str">
            <v>MUTEZ</v>
          </cell>
          <cell r="B1039" t="str">
            <v>Murete de tezon de nivelacion en cimentaciones</v>
          </cell>
          <cell r="C1039" t="str">
            <v>ML</v>
          </cell>
          <cell r="D1039">
            <v>107.401371428571</v>
          </cell>
          <cell r="E1039">
            <v>1</v>
          </cell>
          <cell r="F1039">
            <v>123.511577142857</v>
          </cell>
        </row>
        <row r="1040">
          <cell r="A1040" t="str">
            <v>NIV01</v>
          </cell>
          <cell r="B1040" t="str">
            <v>Nivelacion de dado con pasta cemento</v>
          </cell>
          <cell r="C1040" t="str">
            <v>PZA</v>
          </cell>
          <cell r="D1040">
            <v>93.9762</v>
          </cell>
        </row>
        <row r="1040">
          <cell r="F1040">
            <v>108.07263</v>
          </cell>
        </row>
        <row r="1041">
          <cell r="A1041" t="str">
            <v>NIV02</v>
          </cell>
          <cell r="B1041" t="str">
            <v>Nivelacion de muro de mamposteo esp. 80 cms</v>
          </cell>
          <cell r="C1041" t="str">
            <v>ML</v>
          </cell>
          <cell r="D1041">
            <v>68.3463272727273</v>
          </cell>
          <cell r="E1041">
            <v>1</v>
          </cell>
          <cell r="F1041">
            <v>78.5982763636364</v>
          </cell>
        </row>
        <row r="1042">
          <cell r="A1042" t="str">
            <v>NIV03</v>
          </cell>
          <cell r="B1042" t="str">
            <v>Nivelar muro de ladrillo</v>
          </cell>
          <cell r="C1042" t="str">
            <v>ML</v>
          </cell>
          <cell r="D1042">
            <v>37.59048</v>
          </cell>
        </row>
        <row r="1042">
          <cell r="F1042">
            <v>43.229052</v>
          </cell>
        </row>
        <row r="1043">
          <cell r="A1043" t="str">
            <v>NIV04</v>
          </cell>
          <cell r="B1043" t="str">
            <v>Nivelar y recibir centro carga, resanado</v>
          </cell>
          <cell r="C1043" t="str">
            <v>PZA</v>
          </cell>
          <cell r="D1043">
            <v>250.6032</v>
          </cell>
        </row>
        <row r="1043">
          <cell r="F1043">
            <v>288.19368</v>
          </cell>
        </row>
        <row r="1044">
          <cell r="A1044" t="str">
            <v>NIV05</v>
          </cell>
          <cell r="B1044" t="str">
            <v>Nivelacion de tierra para piso de 5-15 esp.</v>
          </cell>
          <cell r="C1044" t="str">
            <v>M2</v>
          </cell>
          <cell r="D1044">
            <v>21.4802742857143</v>
          </cell>
        </row>
        <row r="1044">
          <cell r="F1044">
            <v>24.7023154285714</v>
          </cell>
        </row>
        <row r="1045">
          <cell r="A1045" t="str">
            <v>NIV06</v>
          </cell>
          <cell r="B1045" t="str">
            <v>Nivelacion de pisos con pasta para instalar vitropiso</v>
          </cell>
          <cell r="C1045" t="str">
            <v>M2</v>
          </cell>
          <cell r="D1045">
            <v>21.1034273684211</v>
          </cell>
        </row>
        <row r="1045">
          <cell r="F1045">
            <v>24.2689414736842</v>
          </cell>
        </row>
        <row r="1046">
          <cell r="A1046" t="str">
            <v>NIV20</v>
          </cell>
          <cell r="B1046" t="str">
            <v>Nivelacion de muro de 20 sobre dala intermedia</v>
          </cell>
          <cell r="C1046" t="str">
            <v>ML</v>
          </cell>
          <cell r="D1046">
            <v>93.9762</v>
          </cell>
          <cell r="E1046">
            <v>1</v>
          </cell>
          <cell r="F1046">
            <v>108.07263</v>
          </cell>
        </row>
        <row r="1047">
          <cell r="A1047" t="str">
            <v>NIVSOG</v>
          </cell>
          <cell r="B1047" t="str">
            <v>Nivelacion de muro de soga sobre dala intermedia</v>
          </cell>
          <cell r="C1047" t="str">
            <v>ML</v>
          </cell>
          <cell r="D1047">
            <v>53.7006857142857</v>
          </cell>
          <cell r="E1047">
            <v>1</v>
          </cell>
          <cell r="F1047">
            <v>61.7557885714286</v>
          </cell>
        </row>
        <row r="1048">
          <cell r="A1048" t="str">
            <v>NOCT</v>
          </cell>
          <cell r="B1048" t="str">
            <v>Trabajo nocturno</v>
          </cell>
          <cell r="C1048" t="str">
            <v>LOTE</v>
          </cell>
          <cell r="D1048">
            <v>100</v>
          </cell>
        </row>
        <row r="1048">
          <cell r="F1048">
            <v>100</v>
          </cell>
        </row>
        <row r="1049">
          <cell r="A1049" t="str">
            <v>NUCKET</v>
          </cell>
          <cell r="B1049" t="str">
            <v>Nucket aplicado en resanes de piso</v>
          </cell>
          <cell r="C1049" t="str">
            <v>PZA</v>
          </cell>
          <cell r="D1049">
            <v>57.8315076923077</v>
          </cell>
        </row>
        <row r="1049">
          <cell r="F1049">
            <v>66.5062338461538</v>
          </cell>
        </row>
        <row r="1050">
          <cell r="A1050" t="str">
            <v>OFI01</v>
          </cell>
          <cell r="B1050" t="str">
            <v>Oficial por el dia</v>
          </cell>
          <cell r="C1050" t="str">
            <v>JORNAL</v>
          </cell>
          <cell r="D1050">
            <v>608.38</v>
          </cell>
        </row>
        <row r="1051">
          <cell r="A1051" t="str">
            <v>ORE01</v>
          </cell>
          <cell r="B1051" t="str">
            <v>Orejas de varillas para macizos acuñado</v>
          </cell>
          <cell r="C1051" t="str">
            <v>PZA</v>
          </cell>
          <cell r="D1051">
            <v>13.6692654545455</v>
          </cell>
        </row>
        <row r="1051">
          <cell r="F1051">
            <v>15.7196552727273</v>
          </cell>
        </row>
        <row r="1052">
          <cell r="A1052" t="str">
            <v>OVA01</v>
          </cell>
          <cell r="B1052" t="str">
            <v>Recibir ovalines por debajo de losa</v>
          </cell>
          <cell r="C1052" t="str">
            <v>PZA</v>
          </cell>
          <cell r="D1052">
            <v>75.18096</v>
          </cell>
        </row>
        <row r="1052">
          <cell r="F1052">
            <v>86.458104</v>
          </cell>
        </row>
        <row r="1053">
          <cell r="A1053" t="str">
            <v>PALMA</v>
          </cell>
          <cell r="B1053" t="str">
            <v>Derribar palma con todo y raiz alt. 10.00 mts</v>
          </cell>
          <cell r="C1053" t="str">
            <v>PZA</v>
          </cell>
          <cell r="D1053">
            <v>751.8096</v>
          </cell>
        </row>
        <row r="1053">
          <cell r="F1053">
            <v>864.58104</v>
          </cell>
        </row>
        <row r="1054">
          <cell r="A1054" t="str">
            <v>PAS01</v>
          </cell>
          <cell r="B1054" t="str">
            <v>Pasada de boveda</v>
          </cell>
          <cell r="C1054" t="str">
            <v>PZA</v>
          </cell>
          <cell r="D1054">
            <v>93.9762</v>
          </cell>
        </row>
        <row r="1054">
          <cell r="F1054">
            <v>108.07263</v>
          </cell>
        </row>
        <row r="1055">
          <cell r="A1055" t="str">
            <v>PAS02</v>
          </cell>
          <cell r="B1055" t="str">
            <v>Pasada de cimiento</v>
          </cell>
          <cell r="C1055" t="str">
            <v>PZA</v>
          </cell>
          <cell r="D1055">
            <v>250.6032</v>
          </cell>
        </row>
        <row r="1055">
          <cell r="F1055">
            <v>288.19368</v>
          </cell>
        </row>
        <row r="1056">
          <cell r="A1056" t="str">
            <v>PAS03</v>
          </cell>
          <cell r="B1056" t="str">
            <v>Pasada de muro o registro (p/tuberia)</v>
          </cell>
          <cell r="C1056" t="str">
            <v>PZA</v>
          </cell>
          <cell r="D1056">
            <v>41.7672</v>
          </cell>
        </row>
        <row r="1056">
          <cell r="F1056">
            <v>48.03228</v>
          </cell>
        </row>
        <row r="1057">
          <cell r="A1057" t="str">
            <v>PAS04</v>
          </cell>
          <cell r="B1057" t="str">
            <v>Pasada de concreto</v>
          </cell>
          <cell r="C1057" t="str">
            <v>PZA</v>
          </cell>
          <cell r="D1057">
            <v>95.9246698564593</v>
          </cell>
        </row>
        <row r="1057">
          <cell r="F1057">
            <v>110.313370334928</v>
          </cell>
        </row>
        <row r="1058">
          <cell r="A1058" t="str">
            <v>PAS05</v>
          </cell>
          <cell r="B1058" t="str">
            <v>Pasada de dala o castillo por ranuras de instalaciones</v>
          </cell>
          <cell r="C1058" t="str">
            <v>PZA</v>
          </cell>
          <cell r="D1058">
            <v>41.7672</v>
          </cell>
        </row>
        <row r="1058">
          <cell r="F1058">
            <v>48.03228</v>
          </cell>
        </row>
        <row r="1059">
          <cell r="A1059" t="str">
            <v>PEO01</v>
          </cell>
          <cell r="B1059" t="str">
            <v>Peon por el dia</v>
          </cell>
          <cell r="C1059" t="str">
            <v>JORNAL</v>
          </cell>
          <cell r="D1059">
            <v>337.98</v>
          </cell>
        </row>
        <row r="1059">
          <cell r="F1059">
            <v>248.8</v>
          </cell>
        </row>
        <row r="1060">
          <cell r="A1060" t="str">
            <v>PEOTEJ</v>
          </cell>
          <cell r="B1060" t="str">
            <v>Peon por el dia</v>
          </cell>
          <cell r="C1060" t="str">
            <v>JORNAL</v>
          </cell>
          <cell r="D1060">
            <v>250</v>
          </cell>
        </row>
        <row r="1060">
          <cell r="F1060">
            <v>250</v>
          </cell>
        </row>
        <row r="1061">
          <cell r="A1061" t="str">
            <v>PER01</v>
          </cell>
          <cell r="B1061" t="str">
            <v>Perfilar dala o castillo con mortero cemento</v>
          </cell>
          <cell r="C1061" t="str">
            <v>ML</v>
          </cell>
          <cell r="D1061">
            <v>37.59048</v>
          </cell>
        </row>
        <row r="1061">
          <cell r="F1061">
            <v>43.229052</v>
          </cell>
        </row>
        <row r="1062">
          <cell r="A1062" t="str">
            <v>PER02</v>
          </cell>
          <cell r="B1062" t="str">
            <v>Perfilar caja de luz chalupa con mezcla o yeso</v>
          </cell>
          <cell r="C1062" t="str">
            <v>PZA</v>
          </cell>
          <cell r="D1062">
            <v>50.12064</v>
          </cell>
        </row>
        <row r="1062">
          <cell r="F1062">
            <v>57.638736</v>
          </cell>
        </row>
        <row r="1063">
          <cell r="A1063" t="str">
            <v>PER03</v>
          </cell>
          <cell r="B1063" t="str">
            <v>Perfilar caja de luz en boveda tipo MAGG</v>
          </cell>
          <cell r="C1063" t="str">
            <v>PZA</v>
          </cell>
          <cell r="D1063">
            <v>79.137852631579</v>
          </cell>
        </row>
        <row r="1063">
          <cell r="F1063">
            <v>91.0085305263158</v>
          </cell>
        </row>
        <row r="1064">
          <cell r="A1064" t="str">
            <v>PER04</v>
          </cell>
          <cell r="B1064" t="str">
            <v>Perfilar losa de concreto</v>
          </cell>
          <cell r="C1064" t="str">
            <v>M2</v>
          </cell>
          <cell r="D1064">
            <v>37.59048</v>
          </cell>
        </row>
        <row r="1064">
          <cell r="F1064">
            <v>43.229052</v>
          </cell>
        </row>
        <row r="1065">
          <cell r="A1065" t="str">
            <v>PIC01</v>
          </cell>
          <cell r="B1065" t="str">
            <v>Picar piso para desplante de dala</v>
          </cell>
          <cell r="C1065" t="str">
            <v>ML</v>
          </cell>
          <cell r="D1065">
            <v>16.70688</v>
          </cell>
        </row>
        <row r="1065">
          <cell r="F1065">
            <v>19.212912</v>
          </cell>
        </row>
        <row r="1066">
          <cell r="A1066" t="str">
            <v>PIC02</v>
          </cell>
          <cell r="B1066" t="str">
            <v>Picar piso,boveda o muro p/media caña</v>
          </cell>
          <cell r="C1066" t="str">
            <v>ML</v>
          </cell>
          <cell r="D1066">
            <v>15.036192</v>
          </cell>
        </row>
        <row r="1066">
          <cell r="F1066">
            <v>17.2916208</v>
          </cell>
        </row>
        <row r="1067">
          <cell r="A1067" t="str">
            <v>PIC03</v>
          </cell>
          <cell r="B1067" t="str">
            <v>Picar columna, dala o trabe</v>
          </cell>
          <cell r="C1067" t="str">
            <v>ML</v>
          </cell>
          <cell r="D1067">
            <v>25.06032</v>
          </cell>
        </row>
        <row r="1067">
          <cell r="F1067">
            <v>28.819368</v>
          </cell>
        </row>
        <row r="1068">
          <cell r="A1068" t="str">
            <v>PIC04</v>
          </cell>
          <cell r="B1068" t="str">
            <v>Picar piso para preparar superficie</v>
          </cell>
          <cell r="C1068" t="str">
            <v>M2</v>
          </cell>
          <cell r="D1068">
            <v>50.12064</v>
          </cell>
        </row>
        <row r="1068">
          <cell r="F1068">
            <v>57.638736</v>
          </cell>
        </row>
        <row r="1069">
          <cell r="A1069" t="str">
            <v>PIN.30</v>
          </cell>
          <cell r="B1069" t="str">
            <v>Preparacion y pintura de postes de malla y</v>
          </cell>
          <cell r="C1069" t="str">
            <v>PZA</v>
          </cell>
          <cell r="D1069">
            <v>31.5</v>
          </cell>
        </row>
        <row r="1069">
          <cell r="F1069">
            <v>36.225</v>
          </cell>
        </row>
        <row r="1070">
          <cell r="A1070" t="str">
            <v>PIN01</v>
          </cell>
          <cell r="B1070" t="str">
            <v>Preparacion y pintura de muros,bovedas o pisos</v>
          </cell>
          <cell r="C1070" t="str">
            <v>M2</v>
          </cell>
          <cell r="D1070">
            <v>15</v>
          </cell>
        </row>
        <row r="1070">
          <cell r="F1070">
            <v>17.25</v>
          </cell>
        </row>
        <row r="1071">
          <cell r="A1071" t="str">
            <v>PIN01-1</v>
          </cell>
          <cell r="B1071" t="str">
            <v>Preparacion y pintura de muros,bovedas o pisos</v>
          </cell>
          <cell r="C1071" t="str">
            <v>M2</v>
          </cell>
          <cell r="D1071">
            <v>15</v>
          </cell>
        </row>
        <row r="1071">
          <cell r="F1071">
            <v>17.25</v>
          </cell>
        </row>
        <row r="1072">
          <cell r="A1072" t="str">
            <v>PIN02</v>
          </cell>
          <cell r="B1072" t="str">
            <v>Trazo y pintura de zoclos y cenefas</v>
          </cell>
          <cell r="C1072" t="str">
            <v>ML</v>
          </cell>
          <cell r="D1072">
            <v>5.25</v>
          </cell>
        </row>
        <row r="1072">
          <cell r="F1072">
            <v>6.0375</v>
          </cell>
        </row>
        <row r="1073">
          <cell r="A1073" t="str">
            <v>PIN03</v>
          </cell>
          <cell r="B1073" t="str">
            <v>Pintura de tuberia con esmalte</v>
          </cell>
          <cell r="C1073" t="str">
            <v>ML</v>
          </cell>
          <cell r="D1073">
            <v>5.25</v>
          </cell>
        </row>
        <row r="1074">
          <cell r="A1074" t="str">
            <v>PIN04</v>
          </cell>
          <cell r="B1074" t="str">
            <v>Trazo y pintura de lineas de trafico en piso</v>
          </cell>
          <cell r="C1074" t="str">
            <v>ML</v>
          </cell>
          <cell r="D1074">
            <v>5.25</v>
          </cell>
        </row>
        <row r="1074">
          <cell r="F1074">
            <v>6.0375</v>
          </cell>
        </row>
        <row r="1075">
          <cell r="A1075" t="str">
            <v>PIN05</v>
          </cell>
          <cell r="B1075" t="str">
            <v>Lijar muros, lavar con thinner y mano extra</v>
          </cell>
          <cell r="C1075" t="str">
            <v>M2</v>
          </cell>
          <cell r="D1075">
            <v>5.25</v>
          </cell>
        </row>
        <row r="1075">
          <cell r="F1075">
            <v>6.0375</v>
          </cell>
        </row>
        <row r="1076">
          <cell r="A1076" t="str">
            <v>PIN06</v>
          </cell>
          <cell r="B1076" t="str">
            <v>Preparacion y pintura de estructuras de fierro</v>
          </cell>
          <cell r="C1076" t="str">
            <v>ML</v>
          </cell>
          <cell r="D1076">
            <v>5.775</v>
          </cell>
        </row>
        <row r="1076">
          <cell r="F1076">
            <v>6.64125</v>
          </cell>
        </row>
        <row r="1077">
          <cell r="A1077" t="str">
            <v>PIN07</v>
          </cell>
          <cell r="B1077" t="str">
            <v>Lijar muros y correr plaste, resane gral.</v>
          </cell>
          <cell r="C1077" t="str">
            <v>M2</v>
          </cell>
          <cell r="D1077">
            <v>5.25</v>
          </cell>
        </row>
        <row r="1077">
          <cell r="F1077">
            <v>6.0375</v>
          </cell>
        </row>
        <row r="1078">
          <cell r="A1078" t="str">
            <v>PIN08</v>
          </cell>
          <cell r="B1078" t="str">
            <v>Trazo y pintura numeros estacionamiento</v>
          </cell>
          <cell r="C1078" t="str">
            <v>PZA</v>
          </cell>
          <cell r="D1078">
            <v>21</v>
          </cell>
        </row>
        <row r="1078">
          <cell r="F1078">
            <v>24.15</v>
          </cell>
        </row>
        <row r="1079">
          <cell r="A1079" t="str">
            <v>PIN09</v>
          </cell>
          <cell r="B1079" t="str">
            <v>Pintura de tapas hidrantes contra incendio</v>
          </cell>
          <cell r="C1079" t="str">
            <v>PZA</v>
          </cell>
          <cell r="D1079">
            <v>36.75</v>
          </cell>
        </row>
        <row r="1079">
          <cell r="F1079">
            <v>42.2625</v>
          </cell>
        </row>
        <row r="1080">
          <cell r="A1080" t="str">
            <v>PIN10</v>
          </cell>
          <cell r="B1080" t="str">
            <v>Aplicar terracota en azotea a 2 manos</v>
          </cell>
          <cell r="C1080" t="str">
            <v>M2</v>
          </cell>
          <cell r="D1080">
            <v>12</v>
          </cell>
        </row>
        <row r="1080">
          <cell r="F1080">
            <v>13.8</v>
          </cell>
        </row>
        <row r="1081">
          <cell r="A1081" t="str">
            <v>PIN11</v>
          </cell>
          <cell r="B1081" t="str">
            <v>Pintura de numeros de lockers</v>
          </cell>
          <cell r="C1081" t="str">
            <v>PZA</v>
          </cell>
          <cell r="D1081">
            <v>5.775</v>
          </cell>
        </row>
        <row r="1081">
          <cell r="F1081">
            <v>6.64125</v>
          </cell>
        </row>
        <row r="1082">
          <cell r="A1082" t="str">
            <v>PIN12</v>
          </cell>
          <cell r="B1082" t="str">
            <v>Preparacion y pintura de lamparas</v>
          </cell>
          <cell r="C1082" t="str">
            <v>PZA</v>
          </cell>
          <cell r="D1082">
            <v>21</v>
          </cell>
        </row>
        <row r="1082">
          <cell r="F1082">
            <v>24.15</v>
          </cell>
        </row>
        <row r="1083">
          <cell r="A1083" t="str">
            <v>PINSOLE</v>
          </cell>
          <cell r="B1083" t="str">
            <v>Pintura de soleras de tension</v>
          </cell>
          <cell r="C1083" t="str">
            <v>ML</v>
          </cell>
          <cell r="D1083">
            <v>11.8125</v>
          </cell>
        </row>
        <row r="1083">
          <cell r="F1083">
            <v>13.584375</v>
          </cell>
        </row>
        <row r="1084">
          <cell r="A1084" t="str">
            <v>PIS3</v>
          </cell>
          <cell r="B1084" t="str">
            <v>Piso de cemento 3 cms espesor acabado pulido / apalillado</v>
          </cell>
          <cell r="C1084" t="str">
            <v>M2</v>
          </cell>
          <cell r="D1084">
            <v>41.7672</v>
          </cell>
          <cell r="E1084">
            <v>1</v>
          </cell>
          <cell r="F1084">
            <v>48.03228</v>
          </cell>
        </row>
        <row r="1085">
          <cell r="A1085" t="str">
            <v>PIS5</v>
          </cell>
          <cell r="B1085" t="str">
            <v>Piso de cemento 5 cms espesor acabado pulido / apalillado</v>
          </cell>
          <cell r="C1085" t="str">
            <v>M2</v>
          </cell>
          <cell r="D1085">
            <v>53.7006857142857</v>
          </cell>
          <cell r="E1085">
            <v>1</v>
          </cell>
          <cell r="F1085">
            <v>61.7557885714286</v>
          </cell>
        </row>
        <row r="1086">
          <cell r="A1086" t="str">
            <v>PIS08</v>
          </cell>
          <cell r="B1086" t="str">
            <v>Piso de cemento 8 cms espesor repellado</v>
          </cell>
          <cell r="C1086" t="str">
            <v>M2</v>
          </cell>
          <cell r="D1086">
            <v>64.2572307692308</v>
          </cell>
          <cell r="E1086">
            <v>1</v>
          </cell>
          <cell r="F1086">
            <v>73.8958153846154</v>
          </cell>
        </row>
        <row r="1087">
          <cell r="A1087" t="str">
            <v>PIS7</v>
          </cell>
          <cell r="B1087" t="str">
            <v>Piso de cemento 7 cms espesor acabado pulido / apalillado</v>
          </cell>
          <cell r="C1087" t="str">
            <v>M2</v>
          </cell>
          <cell r="D1087">
            <v>75.18096</v>
          </cell>
          <cell r="E1087">
            <v>1</v>
          </cell>
          <cell r="F1087">
            <v>86.458104</v>
          </cell>
        </row>
        <row r="1088">
          <cell r="A1088" t="str">
            <v>PIS72</v>
          </cell>
          <cell r="B1088" t="str">
            <v>Piso de cemento 7 cms espesor acabado pulido / apalillado a 2a h</v>
          </cell>
          <cell r="C1088" t="str">
            <v>M2</v>
          </cell>
          <cell r="D1088">
            <v>86.458104</v>
          </cell>
          <cell r="E1088">
            <v>1</v>
          </cell>
          <cell r="F1088">
            <v>99.4268196</v>
          </cell>
        </row>
        <row r="1089">
          <cell r="A1089" t="str">
            <v>PISGRA</v>
          </cell>
          <cell r="B1089" t="str">
            <v>Piso de concreto /granito deslavado incluye malla y cimbra</v>
          </cell>
          <cell r="C1089" t="str">
            <v>M2</v>
          </cell>
          <cell r="D1089">
            <v>150.36192</v>
          </cell>
          <cell r="E1089">
            <v>1</v>
          </cell>
          <cell r="F1089">
            <v>172.916208</v>
          </cell>
        </row>
        <row r="1090">
          <cell r="A1090" t="str">
            <v>PLA01</v>
          </cell>
          <cell r="B1090" t="str">
            <v>Plantilla de piedra esp. 20 cms promedio</v>
          </cell>
          <cell r="C1090" t="str">
            <v>M2</v>
          </cell>
          <cell r="D1090">
            <v>62.6508</v>
          </cell>
          <cell r="E1090">
            <v>1</v>
          </cell>
          <cell r="F1090">
            <v>72.04842</v>
          </cell>
        </row>
        <row r="1091">
          <cell r="A1091" t="str">
            <v>PLA10</v>
          </cell>
          <cell r="B1091" t="str">
            <v>Plantilla de concreto pobre esp. 10 cms</v>
          </cell>
          <cell r="C1091" t="str">
            <v>M2</v>
          </cell>
          <cell r="D1091">
            <v>50.12064</v>
          </cell>
          <cell r="E1091">
            <v>1</v>
          </cell>
          <cell r="F1091">
            <v>57.638736</v>
          </cell>
        </row>
        <row r="1092">
          <cell r="A1092" t="str">
            <v>PLA5</v>
          </cell>
          <cell r="B1092" t="str">
            <v>Plantilla de concreto pobre esp. 5 cms</v>
          </cell>
          <cell r="C1092" t="str">
            <v>M2</v>
          </cell>
          <cell r="D1092">
            <v>25.06032</v>
          </cell>
          <cell r="E1092">
            <v>1</v>
          </cell>
          <cell r="F1092">
            <v>28.819368</v>
          </cell>
        </row>
        <row r="1093">
          <cell r="A1093" t="str">
            <v>PLA7</v>
          </cell>
          <cell r="B1093" t="str">
            <v>Plantilla de concreto pobre esp. 7 cms</v>
          </cell>
          <cell r="C1093" t="str">
            <v>M2</v>
          </cell>
          <cell r="D1093">
            <v>30.072384</v>
          </cell>
          <cell r="E1093">
            <v>1</v>
          </cell>
          <cell r="F1093">
            <v>34.5832416</v>
          </cell>
        </row>
        <row r="1094">
          <cell r="A1094" t="str">
            <v>PLAS</v>
          </cell>
          <cell r="B1094" t="str">
            <v>Colocar plastico en muros o piso</v>
          </cell>
          <cell r="C1094" t="str">
            <v>M2</v>
          </cell>
          <cell r="D1094">
            <v>4.17672</v>
          </cell>
        </row>
        <row r="1094">
          <cell r="F1094">
            <v>4.803228</v>
          </cell>
        </row>
        <row r="1095">
          <cell r="A1095" t="str">
            <v>PODA</v>
          </cell>
          <cell r="B1095" t="str">
            <v>Poda de arbol diametro de 10 a 30 cms c/desenraice</v>
          </cell>
          <cell r="C1095" t="str">
            <v>PZA</v>
          </cell>
          <cell r="D1095">
            <v>202.241178947368</v>
          </cell>
        </row>
        <row r="1095">
          <cell r="F1095">
            <v>232.577355789474</v>
          </cell>
        </row>
        <row r="1096">
          <cell r="A1096" t="str">
            <v>PORCE</v>
          </cell>
          <cell r="B1096" t="str">
            <v>Instalacion de porcelanato en muros y pisos</v>
          </cell>
          <cell r="C1096" t="str">
            <v>M2</v>
          </cell>
          <cell r="D1096">
            <v>100</v>
          </cell>
        </row>
        <row r="1096">
          <cell r="F1096">
            <v>115</v>
          </cell>
        </row>
        <row r="1097">
          <cell r="A1097" t="str">
            <v>POSTE</v>
          </cell>
          <cell r="B1097" t="str">
            <v>Recibir poste de cedula  30 para puerta acceso</v>
          </cell>
          <cell r="C1097" t="str">
            <v>PZA</v>
          </cell>
          <cell r="D1097">
            <v>300.72384</v>
          </cell>
        </row>
        <row r="1097">
          <cell r="F1097">
            <v>345.832416</v>
          </cell>
        </row>
        <row r="1098">
          <cell r="A1098" t="str">
            <v>POZO</v>
          </cell>
          <cell r="B1098" t="str">
            <v>Pozo de visita terminado diametro inf. 1.20 y sup. 0.60</v>
          </cell>
          <cell r="C1098" t="str">
            <v>ML</v>
          </cell>
          <cell r="D1098">
            <v>839.340861244019</v>
          </cell>
        </row>
        <row r="1098">
          <cell r="F1098">
            <v>965.241990430622</v>
          </cell>
        </row>
        <row r="1099">
          <cell r="A1099" t="str">
            <v>PRE20</v>
          </cell>
          <cell r="B1099" t="str">
            <v>Pretil de muro 20 alt. 70 cms c/ acarreo y nivelacion</v>
          </cell>
          <cell r="C1099" t="str">
            <v>ML</v>
          </cell>
          <cell r="D1099">
            <v>93.9762</v>
          </cell>
          <cell r="E1099">
            <v>1</v>
          </cell>
          <cell r="F1099">
            <v>108.07263</v>
          </cell>
        </row>
        <row r="1100">
          <cell r="A1100" t="str">
            <v>PRE25</v>
          </cell>
          <cell r="B1100" t="str">
            <v>Pretil de muro de 25 hasta 70 cms altura</v>
          </cell>
          <cell r="C1100" t="str">
            <v>ML</v>
          </cell>
          <cell r="D1100">
            <v>115.663015384615</v>
          </cell>
          <cell r="E1100">
            <v>1</v>
          </cell>
          <cell r="F1100">
            <v>133.012467692308</v>
          </cell>
        </row>
        <row r="1101">
          <cell r="A1101" t="str">
            <v>PRECA</v>
          </cell>
          <cell r="B1101" t="str">
            <v>Pretil de muro capuchino alt. 70 cms c/ acarreo y nivelacion</v>
          </cell>
          <cell r="C1101" t="str">
            <v>ML</v>
          </cell>
          <cell r="D1101">
            <v>68.3463272727273</v>
          </cell>
          <cell r="E1101">
            <v>1</v>
          </cell>
          <cell r="F1101">
            <v>78.5982763636364</v>
          </cell>
        </row>
        <row r="1102">
          <cell r="A1102" t="str">
            <v>PRESO</v>
          </cell>
          <cell r="B1102" t="str">
            <v>Pretil de muro soga alt. 70 cms</v>
          </cell>
          <cell r="C1102" t="str">
            <v>ML</v>
          </cell>
          <cell r="D1102">
            <v>53.7006857142857</v>
          </cell>
          <cell r="E1102">
            <v>1</v>
          </cell>
          <cell r="F1102">
            <v>61.7557885714286</v>
          </cell>
        </row>
        <row r="1103">
          <cell r="A1103" t="str">
            <v>PRETE</v>
          </cell>
          <cell r="B1103" t="str">
            <v>Pretil de muro tezon alt. 70 cms</v>
          </cell>
          <cell r="C1103" t="str">
            <v>ML</v>
          </cell>
          <cell r="D1103">
            <v>107.401371428571</v>
          </cell>
          <cell r="E1103">
            <v>1</v>
          </cell>
          <cell r="F1103">
            <v>123.511577142857</v>
          </cell>
        </row>
        <row r="1104">
          <cell r="A1104" t="str">
            <v>PUL01</v>
          </cell>
          <cell r="B1104" t="str">
            <v>Pulido de piso con maquina</v>
          </cell>
          <cell r="C1104" t="str">
            <v>M2</v>
          </cell>
          <cell r="D1104">
            <v>25.06032</v>
          </cell>
        </row>
        <row r="1104">
          <cell r="F1104">
            <v>28.819368</v>
          </cell>
        </row>
        <row r="1105">
          <cell r="A1105" t="str">
            <v>RAJU</v>
          </cell>
          <cell r="B1105" t="str">
            <v>Instalacion de piedrita rajuela en muro de piedra</v>
          </cell>
          <cell r="C1105" t="str">
            <v>M2</v>
          </cell>
          <cell r="D1105">
            <v>182.036222760291</v>
          </cell>
        </row>
        <row r="1105">
          <cell r="F1105">
            <v>209.341656174334</v>
          </cell>
        </row>
        <row r="1106">
          <cell r="A1106" t="str">
            <v>RAJUELA</v>
          </cell>
          <cell r="B1106" t="str">
            <v>Muro de piedra de rajuela</v>
          </cell>
          <cell r="C1106" t="str">
            <v>M2</v>
          </cell>
          <cell r="D1106">
            <v>971.33023255814</v>
          </cell>
        </row>
        <row r="1106">
          <cell r="F1106">
            <v>1117.02976744186</v>
          </cell>
        </row>
        <row r="1107">
          <cell r="A1107" t="str">
            <v>RASPT</v>
          </cell>
          <cell r="B1107" t="str">
            <v>Raspado de tecata de lechada de cemento suelta sobre ladrillo</v>
          </cell>
          <cell r="C1107" t="str">
            <v>M2</v>
          </cell>
          <cell r="D1107">
            <v>8.4472988764045</v>
          </cell>
        </row>
        <row r="1107">
          <cell r="F1107">
            <v>9.71439370786517</v>
          </cell>
        </row>
        <row r="1108">
          <cell r="A1108" t="str">
            <v>REB01</v>
          </cell>
          <cell r="B1108" t="str">
            <v>Rebajar castillo, dala</v>
          </cell>
          <cell r="C1108" t="str">
            <v>ML</v>
          </cell>
          <cell r="D1108">
            <v>57.8315076923077</v>
          </cell>
        </row>
        <row r="1108">
          <cell r="F1108">
            <v>66.5062338461538</v>
          </cell>
        </row>
        <row r="1109">
          <cell r="A1109" t="str">
            <v>REB02</v>
          </cell>
          <cell r="B1109" t="str">
            <v>Rebajar trabe de concreto marro y cincel</v>
          </cell>
          <cell r="C1109" t="str">
            <v>ML</v>
          </cell>
          <cell r="D1109">
            <v>125.3016</v>
          </cell>
        </row>
        <row r="1109">
          <cell r="F1109">
            <v>144.09684</v>
          </cell>
        </row>
        <row r="1110">
          <cell r="A1110" t="str">
            <v>REC01</v>
          </cell>
          <cell r="B1110" t="str">
            <v>Recibir caja con chalupa</v>
          </cell>
          <cell r="C1110" t="str">
            <v>PZA</v>
          </cell>
          <cell r="D1110">
            <v>37.59048</v>
          </cell>
          <cell r="E1110">
            <v>1</v>
          </cell>
          <cell r="F1110">
            <v>43.229052</v>
          </cell>
        </row>
        <row r="1111">
          <cell r="A1111" t="str">
            <v>REC02</v>
          </cell>
          <cell r="B1111" t="str">
            <v>Recibir cespol con revoltura</v>
          </cell>
          <cell r="C1111" t="str">
            <v>PZA</v>
          </cell>
          <cell r="D1111">
            <v>83.5344</v>
          </cell>
          <cell r="E1111">
            <v>1</v>
          </cell>
          <cell r="F1111">
            <v>96.06456</v>
          </cell>
        </row>
        <row r="1112">
          <cell r="A1112" t="str">
            <v>REC03</v>
          </cell>
          <cell r="B1112" t="str">
            <v>Recibir contramarco de registro</v>
          </cell>
          <cell r="C1112" t="str">
            <v>PZA</v>
          </cell>
          <cell r="D1112">
            <v>93.9762</v>
          </cell>
        </row>
        <row r="1112">
          <cell r="F1112">
            <v>108.07263</v>
          </cell>
        </row>
        <row r="1113">
          <cell r="A1113" t="str">
            <v>REC04</v>
          </cell>
          <cell r="B1113" t="str">
            <v>Recibir placa o ancla en dado p/columna</v>
          </cell>
          <cell r="C1113" t="str">
            <v>PZA</v>
          </cell>
          <cell r="D1113">
            <v>187.9524</v>
          </cell>
        </row>
        <row r="1113">
          <cell r="F1113">
            <v>216.14526</v>
          </cell>
        </row>
        <row r="1114">
          <cell r="A1114" t="str">
            <v>REC05</v>
          </cell>
          <cell r="B1114" t="str">
            <v>Recibir tuberia o poliducto</v>
          </cell>
          <cell r="C1114" t="str">
            <v>ML</v>
          </cell>
          <cell r="D1114">
            <v>15.036192</v>
          </cell>
        </row>
        <row r="1114">
          <cell r="F1114">
            <v>17.2916208</v>
          </cell>
        </row>
        <row r="1115">
          <cell r="A1115" t="str">
            <v>REC06</v>
          </cell>
          <cell r="B1115" t="str">
            <v>Recibir tubo de drenaje 10 "</v>
          </cell>
          <cell r="C1115" t="str">
            <v>ML</v>
          </cell>
          <cell r="D1115">
            <v>50.12064</v>
          </cell>
        </row>
        <row r="1115">
          <cell r="F1115">
            <v>57.638736</v>
          </cell>
        </row>
        <row r="1116">
          <cell r="A1116" t="str">
            <v>REC07</v>
          </cell>
          <cell r="B1116" t="str">
            <v>Recibir tubo de drenaje 4 "</v>
          </cell>
          <cell r="C1116" t="str">
            <v>ML</v>
          </cell>
          <cell r="D1116">
            <v>25.06032</v>
          </cell>
        </row>
        <row r="1116">
          <cell r="F1116">
            <v>28.819368</v>
          </cell>
        </row>
        <row r="1117">
          <cell r="A1117" t="str">
            <v>REC08</v>
          </cell>
          <cell r="B1117" t="str">
            <v>Recibir tubo de drenaje 6 "</v>
          </cell>
          <cell r="C1117" t="str">
            <v>ML</v>
          </cell>
          <cell r="D1117">
            <v>30.072384</v>
          </cell>
        </row>
        <row r="1117">
          <cell r="F1117">
            <v>34.5832416</v>
          </cell>
        </row>
        <row r="1118">
          <cell r="A1118" t="str">
            <v>REC09</v>
          </cell>
          <cell r="B1118" t="str">
            <v>Recibir tubo de drenaje 8 "</v>
          </cell>
          <cell r="C1118" t="str">
            <v>ML</v>
          </cell>
          <cell r="D1118">
            <v>37.59048</v>
          </cell>
        </row>
        <row r="1118">
          <cell r="F1118">
            <v>43.229052</v>
          </cell>
        </row>
        <row r="1119">
          <cell r="A1119" t="str">
            <v>REC10</v>
          </cell>
          <cell r="B1119" t="str">
            <v>Recibir viga de acero sobre macizo</v>
          </cell>
          <cell r="C1119" t="str">
            <v>PZA</v>
          </cell>
          <cell r="D1119">
            <v>83.5344</v>
          </cell>
        </row>
        <row r="1119">
          <cell r="F1119">
            <v>96.06456</v>
          </cell>
        </row>
        <row r="1120">
          <cell r="A1120" t="str">
            <v>REC11</v>
          </cell>
          <cell r="B1120" t="str">
            <v>Recorte de enjarre muros o bovedas</v>
          </cell>
          <cell r="C1120" t="str">
            <v>ML</v>
          </cell>
          <cell r="D1120">
            <v>10.5517136842105</v>
          </cell>
        </row>
        <row r="1120">
          <cell r="F1120">
            <v>12.1344707368421</v>
          </cell>
        </row>
        <row r="1121">
          <cell r="A1121" t="str">
            <v>REC12</v>
          </cell>
          <cell r="B1121" t="str">
            <v>Recibir placa para anclado barandal</v>
          </cell>
          <cell r="C1121" t="str">
            <v>PZA</v>
          </cell>
          <cell r="D1121">
            <v>62.6508</v>
          </cell>
          <cell r="E1121">
            <v>1</v>
          </cell>
          <cell r="F1121">
            <v>72.04842</v>
          </cell>
        </row>
        <row r="1122">
          <cell r="A1122" t="str">
            <v>RECRES</v>
          </cell>
          <cell r="B1122" t="str">
            <v>Recibir y resanar ranura de poliducto en muro o piso</v>
          </cell>
          <cell r="C1122" t="str">
            <v>ML</v>
          </cell>
          <cell r="D1122">
            <v>25.2709109243697</v>
          </cell>
          <cell r="E1122">
            <v>1</v>
          </cell>
          <cell r="F1122">
            <v>29.0615475630252</v>
          </cell>
        </row>
        <row r="1123">
          <cell r="A1123" t="str">
            <v>REG01</v>
          </cell>
          <cell r="B1123" t="str">
            <v>Registro sanitario terminado alt hasta 1.50 con plantilla</v>
          </cell>
          <cell r="C1123" t="str">
            <v>PZA</v>
          </cell>
          <cell r="D1123">
            <v>601.44768</v>
          </cell>
        </row>
        <row r="1123">
          <cell r="F1123">
            <v>691.664832</v>
          </cell>
        </row>
        <row r="1124">
          <cell r="A1124" t="str">
            <v>REG02</v>
          </cell>
          <cell r="B1124" t="str">
            <v>Registro caja arenera terminado incluye plantilla</v>
          </cell>
          <cell r="C1124" t="str">
            <v>PZA</v>
          </cell>
          <cell r="D1124">
            <v>429.605485714286</v>
          </cell>
        </row>
        <row r="1124">
          <cell r="F1124">
            <v>494.046308571429</v>
          </cell>
        </row>
        <row r="1125">
          <cell r="A1125" t="str">
            <v>REG03</v>
          </cell>
          <cell r="B1125" t="str">
            <v>Registro caja arenera con trampa central</v>
          </cell>
          <cell r="C1125" t="str">
            <v>PZA</v>
          </cell>
          <cell r="D1125">
            <v>791.37852631579</v>
          </cell>
        </row>
        <row r="1125">
          <cell r="F1125">
            <v>910.085305263158</v>
          </cell>
        </row>
        <row r="1126">
          <cell r="A1126" t="str">
            <v>RELL01</v>
          </cell>
          <cell r="B1126" t="str">
            <v>Relleno con grava</v>
          </cell>
          <cell r="C1126" t="str">
            <v>M3</v>
          </cell>
          <cell r="D1126">
            <v>50.12064</v>
          </cell>
        </row>
        <row r="1126">
          <cell r="F1126">
            <v>57.638736</v>
          </cell>
        </row>
        <row r="1127">
          <cell r="A1127" t="str">
            <v>RELL02</v>
          </cell>
          <cell r="B1127" t="str">
            <v>Relleno con jalcreto</v>
          </cell>
          <cell r="C1127" t="str">
            <v>M3</v>
          </cell>
          <cell r="D1127">
            <v>250.6032</v>
          </cell>
          <cell r="E1127">
            <v>1</v>
          </cell>
          <cell r="F1127">
            <v>288.19368</v>
          </cell>
        </row>
        <row r="1128">
          <cell r="A1128" t="str">
            <v>RELL03</v>
          </cell>
          <cell r="B1128" t="str">
            <v>Relleno c/ material producto excavacion a cada 20 cms</v>
          </cell>
          <cell r="C1128" t="str">
            <v>M3</v>
          </cell>
          <cell r="D1128">
            <v>44.2240941176471</v>
          </cell>
        </row>
        <row r="1128">
          <cell r="F1128">
            <v>50.8577082352941</v>
          </cell>
        </row>
        <row r="1129">
          <cell r="A1129" t="str">
            <v>RELL04</v>
          </cell>
          <cell r="B1129" t="str">
            <v>Relleno con suelo cemento batido a mano y compactado</v>
          </cell>
          <cell r="C1129" t="str">
            <v>M3</v>
          </cell>
          <cell r="D1129">
            <v>163.082342733189</v>
          </cell>
        </row>
        <row r="1129">
          <cell r="F1129">
            <v>187.544694143167</v>
          </cell>
        </row>
        <row r="1130">
          <cell r="A1130" t="str">
            <v>RELL05</v>
          </cell>
          <cell r="B1130" t="str">
            <v>Relleno con suelo cemento batido a mano y compactado con pizon</v>
          </cell>
          <cell r="C1130" t="str">
            <v>M3</v>
          </cell>
          <cell r="D1130">
            <v>179.858755980861</v>
          </cell>
        </row>
        <row r="1130">
          <cell r="F1130">
            <v>206.83756937799</v>
          </cell>
        </row>
        <row r="1131">
          <cell r="A1131" t="str">
            <v>RELLT</v>
          </cell>
          <cell r="B1131" t="str">
            <v>Relleno de cepas y zapatas con tepetate capas 20 cms</v>
          </cell>
          <cell r="C1131" t="str">
            <v>M3</v>
          </cell>
          <cell r="D1131">
            <v>125.3016</v>
          </cell>
        </row>
        <row r="1131">
          <cell r="F1131">
            <v>144.09684</v>
          </cell>
        </row>
        <row r="1132">
          <cell r="A1132" t="str">
            <v>RELLZAP</v>
          </cell>
          <cell r="B1132" t="str">
            <v>Relleno de zapatas con suelo cemento batido capas 20 cms</v>
          </cell>
          <cell r="C1132" t="str">
            <v>M3</v>
          </cell>
          <cell r="D1132">
            <v>163.082342733189</v>
          </cell>
        </row>
        <row r="1132">
          <cell r="F1132">
            <v>187.544694143167</v>
          </cell>
        </row>
        <row r="1133">
          <cell r="A1133" t="str">
            <v>REN01</v>
          </cell>
          <cell r="B1133" t="str">
            <v>Cimiento renchido de 0.00-1.50</v>
          </cell>
          <cell r="C1133" t="str">
            <v>M3</v>
          </cell>
          <cell r="D1133">
            <v>250.6032</v>
          </cell>
          <cell r="E1133">
            <v>1</v>
          </cell>
          <cell r="F1133">
            <v>288.19368</v>
          </cell>
        </row>
        <row r="1134">
          <cell r="A1134" t="str">
            <v>REN02</v>
          </cell>
          <cell r="B1134" t="str">
            <v>Cimiento renchido de 1.50-3.00</v>
          </cell>
          <cell r="C1134" t="str">
            <v>M3</v>
          </cell>
          <cell r="D1134">
            <v>351.312897196262</v>
          </cell>
          <cell r="E1134">
            <v>1</v>
          </cell>
          <cell r="F1134">
            <v>404.009831775701</v>
          </cell>
        </row>
        <row r="1135">
          <cell r="A1135" t="str">
            <v>REP01</v>
          </cell>
          <cell r="B1135" t="str">
            <v>Repatinar viga</v>
          </cell>
          <cell r="C1135" t="str">
            <v>ML</v>
          </cell>
          <cell r="D1135">
            <v>12.53016</v>
          </cell>
          <cell r="E1135">
            <v>1</v>
          </cell>
          <cell r="F1135">
            <v>14.409684</v>
          </cell>
        </row>
        <row r="1136">
          <cell r="A1136" t="str">
            <v>REP02</v>
          </cell>
          <cell r="B1136" t="str">
            <v>Repellado de hormigon, piso o concreto c/lechada</v>
          </cell>
          <cell r="C1136" t="str">
            <v>M2</v>
          </cell>
          <cell r="D1136">
            <v>25.06032</v>
          </cell>
          <cell r="E1136">
            <v>1</v>
          </cell>
          <cell r="F1136">
            <v>28.819368</v>
          </cell>
        </row>
        <row r="1137">
          <cell r="A1137" t="str">
            <v>REP03</v>
          </cell>
          <cell r="B1137" t="str">
            <v>Repizon esp. 15 cms con colado y perfilado</v>
          </cell>
          <cell r="C1137" t="str">
            <v>ML</v>
          </cell>
          <cell r="D1137">
            <v>375.9048</v>
          </cell>
          <cell r="E1137">
            <v>1</v>
          </cell>
          <cell r="F1137">
            <v>432.29052</v>
          </cell>
        </row>
        <row r="1138">
          <cell r="A1138" t="str">
            <v>REP03C</v>
          </cell>
          <cell r="B1138" t="str">
            <v>Repizon esp. 25 cms con colado y perfilado en cocinas</v>
          </cell>
          <cell r="C1138" t="str">
            <v>ML</v>
          </cell>
          <cell r="D1138">
            <v>375.9048</v>
          </cell>
          <cell r="E1138">
            <v>1</v>
          </cell>
          <cell r="F1138">
            <v>432.29052</v>
          </cell>
        </row>
        <row r="1139">
          <cell r="A1139" t="str">
            <v>RESID</v>
          </cell>
          <cell r="B1139" t="str">
            <v>RESIDENCIA DE OBRA</v>
          </cell>
          <cell r="C1139" t="str">
            <v>LOTE</v>
          </cell>
          <cell r="D1139">
            <v>100</v>
          </cell>
        </row>
        <row r="1140">
          <cell r="A1140" t="str">
            <v>RES01</v>
          </cell>
          <cell r="B1140" t="str">
            <v>Resane de enjarre por ranuras</v>
          </cell>
          <cell r="C1140" t="str">
            <v>ML</v>
          </cell>
          <cell r="D1140">
            <v>18.79524</v>
          </cell>
          <cell r="E1140">
            <v>1</v>
          </cell>
          <cell r="F1140">
            <v>21.614526</v>
          </cell>
        </row>
        <row r="1141">
          <cell r="A1141" t="str">
            <v>SABT</v>
          </cell>
          <cell r="B1141" t="str">
            <v>Sabado por la tarde</v>
          </cell>
          <cell r="C1141" t="str">
            <v>LOTE</v>
          </cell>
          <cell r="D1141">
            <v>100</v>
          </cell>
        </row>
        <row r="1141">
          <cell r="F1141">
            <v>100</v>
          </cell>
        </row>
        <row r="1142">
          <cell r="A1142" t="str">
            <v>SAR01</v>
          </cell>
          <cell r="B1142" t="str">
            <v>Sardinel cimbrado ,colado y perfilado</v>
          </cell>
          <cell r="C1142" t="str">
            <v>ML</v>
          </cell>
          <cell r="D1142">
            <v>187.9524</v>
          </cell>
          <cell r="E1142">
            <v>1</v>
          </cell>
          <cell r="F1142">
            <v>216.14526</v>
          </cell>
        </row>
        <row r="1143">
          <cell r="A1143" t="str">
            <v>SAR02</v>
          </cell>
          <cell r="B1143" t="str">
            <v>Sarpeo de boveda</v>
          </cell>
          <cell r="C1143" t="str">
            <v>M2</v>
          </cell>
          <cell r="D1143">
            <v>30.072384</v>
          </cell>
          <cell r="E1143">
            <v>1</v>
          </cell>
          <cell r="F1143">
            <v>34.5832416</v>
          </cell>
        </row>
        <row r="1144">
          <cell r="A1144" t="str">
            <v>SAR03</v>
          </cell>
          <cell r="B1144" t="str">
            <v>Sarpeo de dalas y castillos</v>
          </cell>
          <cell r="C1144" t="str">
            <v>ML</v>
          </cell>
          <cell r="D1144">
            <v>8.35344</v>
          </cell>
          <cell r="E1144">
            <v>1</v>
          </cell>
          <cell r="F1144">
            <v>9.606456</v>
          </cell>
        </row>
        <row r="1145">
          <cell r="A1145" t="str">
            <v>SAR04</v>
          </cell>
          <cell r="B1145" t="str">
            <v>Sarpeo de muro con cemento</v>
          </cell>
          <cell r="C1145" t="str">
            <v>M2</v>
          </cell>
          <cell r="D1145">
            <v>20.048256</v>
          </cell>
          <cell r="E1145">
            <v>1</v>
          </cell>
          <cell r="F1145">
            <v>23.0554944</v>
          </cell>
        </row>
        <row r="1146">
          <cell r="A1146" t="str">
            <v>SAR04f</v>
          </cell>
          <cell r="B1146" t="str">
            <v>Sarpeo de muro con manoseo para cubrir porocidad</v>
          </cell>
          <cell r="C1146" t="str">
            <v>M2</v>
          </cell>
          <cell r="D1146">
            <v>28.9157538461538</v>
          </cell>
          <cell r="E1146">
            <v>1</v>
          </cell>
          <cell r="F1146">
            <v>33.2531169230769</v>
          </cell>
        </row>
        <row r="1147">
          <cell r="A1147" t="str">
            <v>SAR05</v>
          </cell>
          <cell r="B1147" t="str">
            <v>Sarpeo de panel</v>
          </cell>
          <cell r="C1147" t="str">
            <v>M2</v>
          </cell>
          <cell r="D1147">
            <v>25.06032</v>
          </cell>
          <cell r="E1147">
            <v>1</v>
          </cell>
          <cell r="F1147">
            <v>28.819368</v>
          </cell>
        </row>
        <row r="1148">
          <cell r="A1148" t="str">
            <v>SAR06</v>
          </cell>
          <cell r="B1148" t="str">
            <v>Sarpeo de vigas</v>
          </cell>
          <cell r="C1148" t="str">
            <v>ML</v>
          </cell>
          <cell r="D1148">
            <v>12.53016</v>
          </cell>
          <cell r="E1148">
            <v>1</v>
          </cell>
          <cell r="F1148">
            <v>14.409684</v>
          </cell>
        </row>
        <row r="1149">
          <cell r="A1149" t="str">
            <v>SAR07</v>
          </cell>
          <cell r="B1149" t="str">
            <v>sarpeo de columnas o vigas con crest y festerbond</v>
          </cell>
          <cell r="C1149" t="str">
            <v>ML</v>
          </cell>
          <cell r="D1149">
            <v>8.35344</v>
          </cell>
          <cell r="E1149">
            <v>1</v>
          </cell>
          <cell r="F1149">
            <v>9.606456</v>
          </cell>
        </row>
        <row r="1150">
          <cell r="A1150" t="str">
            <v>SELLS</v>
          </cell>
          <cell r="B1150" t="str">
            <v>Sellado con silicon en esquinas muros ,muebles y puertas</v>
          </cell>
          <cell r="C1150" t="str">
            <v>ML</v>
          </cell>
          <cell r="D1150">
            <v>5.78315076923077</v>
          </cell>
        </row>
        <row r="1150">
          <cell r="F1150">
            <v>6.65062338461538</v>
          </cell>
        </row>
        <row r="1151">
          <cell r="A1151" t="str">
            <v>SILL01</v>
          </cell>
          <cell r="B1151" t="str">
            <v>Silletas para mallalack</v>
          </cell>
          <cell r="C1151" t="str">
            <v>PZA</v>
          </cell>
          <cell r="D1151">
            <v>10.024128</v>
          </cell>
        </row>
        <row r="1151">
          <cell r="F1151">
            <v>11.5277472</v>
          </cell>
        </row>
        <row r="1152">
          <cell r="A1152" t="str">
            <v>SOL01</v>
          </cell>
          <cell r="B1152" t="str">
            <v>Soldadura estructural de perfiles metalicos</v>
          </cell>
          <cell r="C1152" t="str">
            <v>KG</v>
          </cell>
          <cell r="D1152">
            <v>5.25</v>
          </cell>
        </row>
        <row r="1153">
          <cell r="A1153" t="str">
            <v>SOL02</v>
          </cell>
          <cell r="B1153" t="str">
            <v>Soldadura estructural de perfiles laminares</v>
          </cell>
          <cell r="C1153" t="str">
            <v>KG</v>
          </cell>
          <cell r="D1153">
            <v>7.56</v>
          </cell>
        </row>
        <row r="1154">
          <cell r="A1154" t="str">
            <v>SOL03</v>
          </cell>
          <cell r="B1154" t="str">
            <v>Punteada con soldadura en varillas</v>
          </cell>
          <cell r="C1154" t="str">
            <v>PZA</v>
          </cell>
        </row>
        <row r="1155">
          <cell r="A1155" t="str">
            <v>TAP01</v>
          </cell>
          <cell r="B1155" t="str">
            <v>Tapa de registro armada,cimbrada y colada</v>
          </cell>
          <cell r="C1155" t="str">
            <v>PZA</v>
          </cell>
          <cell r="D1155">
            <v>93.9762</v>
          </cell>
          <cell r="E1155">
            <v>1</v>
          </cell>
          <cell r="F1155">
            <v>108.07263</v>
          </cell>
        </row>
        <row r="1156">
          <cell r="A1156" t="str">
            <v>TAP02</v>
          </cell>
          <cell r="B1156" t="str">
            <v>Taponeo de muro o pasada registro o cimiento</v>
          </cell>
          <cell r="C1156" t="str">
            <v>PZA</v>
          </cell>
          <cell r="D1156">
            <v>62.6508</v>
          </cell>
          <cell r="E1156">
            <v>1</v>
          </cell>
          <cell r="F1156">
            <v>72.04842</v>
          </cell>
        </row>
        <row r="1157">
          <cell r="A1157" t="str">
            <v>TELA1</v>
          </cell>
          <cell r="B1157" t="str">
            <v>Colocacion de tela de alambre en boveda</v>
          </cell>
          <cell r="C1157" t="str">
            <v>M2</v>
          </cell>
          <cell r="D1157">
            <v>30.072384</v>
          </cell>
        </row>
        <row r="1157">
          <cell r="F1157">
            <v>34.5832416</v>
          </cell>
        </row>
        <row r="1158">
          <cell r="A1158" t="str">
            <v>TELA2</v>
          </cell>
          <cell r="B1158" t="str">
            <v>Colocacion de tela de alambre en dala o castillos</v>
          </cell>
          <cell r="C1158" t="str">
            <v>ML</v>
          </cell>
          <cell r="D1158">
            <v>15.036192</v>
          </cell>
        </row>
        <row r="1158">
          <cell r="F1158">
            <v>17.2916208</v>
          </cell>
        </row>
        <row r="1159">
          <cell r="A1159" t="str">
            <v>TELA3</v>
          </cell>
          <cell r="B1159" t="str">
            <v>Colocacion de tela de alambre en muro</v>
          </cell>
          <cell r="C1159" t="str">
            <v>M2</v>
          </cell>
          <cell r="D1159">
            <v>21.4802742857143</v>
          </cell>
        </row>
        <row r="1159">
          <cell r="F1159">
            <v>24.7023154285714</v>
          </cell>
        </row>
        <row r="1160">
          <cell r="A1160" t="str">
            <v>TELA4</v>
          </cell>
          <cell r="B1160" t="str">
            <v>Colocacion de tela de alambre en azotea</v>
          </cell>
          <cell r="C1160" t="str">
            <v>M2</v>
          </cell>
          <cell r="D1160">
            <v>15.036192</v>
          </cell>
        </row>
        <row r="1160">
          <cell r="F1160">
            <v>17.2916208</v>
          </cell>
        </row>
        <row r="1161">
          <cell r="A1161" t="str">
            <v>TELA5</v>
          </cell>
          <cell r="B1161" t="str">
            <v>Colocacion de tela de alambre sobre cimbra c/amarre a trabes</v>
          </cell>
          <cell r="C1161" t="str">
            <v>M2</v>
          </cell>
          <cell r="D1161">
            <v>7.518096</v>
          </cell>
        </row>
        <row r="1161">
          <cell r="F1161">
            <v>8.6458104</v>
          </cell>
        </row>
        <row r="1162">
          <cell r="A1162" t="str">
            <v>TIR01</v>
          </cell>
          <cell r="B1162" t="str">
            <v>Tirantes de varilla en boveda</v>
          </cell>
          <cell r="C1162" t="str">
            <v>ML</v>
          </cell>
          <cell r="D1162">
            <v>18.79524</v>
          </cell>
        </row>
        <row r="1162">
          <cell r="F1162">
            <v>21.614526</v>
          </cell>
        </row>
        <row r="1163">
          <cell r="A1163" t="str">
            <v>TOPE</v>
          </cell>
          <cell r="B1163" t="str">
            <v>Tope, arm.cimbra, colado y anclado</v>
          </cell>
          <cell r="C1163" t="str">
            <v>PZA</v>
          </cell>
          <cell r="D1163">
            <v>93.9762</v>
          </cell>
        </row>
        <row r="1163">
          <cell r="F1163">
            <v>108.07263</v>
          </cell>
        </row>
        <row r="1164">
          <cell r="A1164" t="str">
            <v>TOPE2</v>
          </cell>
          <cell r="B1164" t="str">
            <v>Trazo, nivelacion y recibir tope prefabricado con masilla</v>
          </cell>
          <cell r="C1164" t="str">
            <v>PZA</v>
          </cell>
          <cell r="D1164">
            <v>46.9881</v>
          </cell>
        </row>
        <row r="1164">
          <cell r="F1164">
            <v>54.036315</v>
          </cell>
        </row>
        <row r="1165">
          <cell r="A1165" t="str">
            <v>TOPO1</v>
          </cell>
          <cell r="B1165" t="str">
            <v>Topografia</v>
          </cell>
          <cell r="C1165" t="str">
            <v>HORA</v>
          </cell>
          <cell r="D1165">
            <v>250</v>
          </cell>
        </row>
        <row r="1166">
          <cell r="A1166" t="str">
            <v>TOPO2</v>
          </cell>
          <cell r="B1166" t="str">
            <v>Topografia</v>
          </cell>
          <cell r="C1166" t="str">
            <v>HORA</v>
          </cell>
          <cell r="D1166">
            <v>275</v>
          </cell>
        </row>
        <row r="1167">
          <cell r="A1167" t="str">
            <v>TRA01</v>
          </cell>
          <cell r="B1167" t="str">
            <v>Traslapes en castillos y dalas</v>
          </cell>
          <cell r="C1167" t="str">
            <v>PZA</v>
          </cell>
          <cell r="D1167">
            <v>18.79524</v>
          </cell>
        </row>
        <row r="1167">
          <cell r="F1167">
            <v>21.614526</v>
          </cell>
        </row>
        <row r="1168">
          <cell r="A1168" t="str">
            <v>TRA02</v>
          </cell>
          <cell r="B1168" t="str">
            <v>Traslapes en varillas muro de panel</v>
          </cell>
          <cell r="C1168" t="str">
            <v>PZA</v>
          </cell>
          <cell r="D1168">
            <v>9.39762</v>
          </cell>
        </row>
        <row r="1168">
          <cell r="F1168">
            <v>10.807263</v>
          </cell>
        </row>
        <row r="1169">
          <cell r="A1169" t="str">
            <v>TRA03</v>
          </cell>
          <cell r="B1169" t="str">
            <v>Traspaleo 0.00-10.00 mts</v>
          </cell>
          <cell r="C1169" t="str">
            <v>M3</v>
          </cell>
          <cell r="D1169">
            <v>68.3463272727273</v>
          </cell>
        </row>
        <row r="1169">
          <cell r="F1169">
            <v>78.5982763636364</v>
          </cell>
        </row>
        <row r="1170">
          <cell r="A1170" t="str">
            <v>TRA04</v>
          </cell>
          <cell r="B1170" t="str">
            <v>Traspaleo de 0.00-30.00 mts acarreo carretilla</v>
          </cell>
          <cell r="C1170" t="str">
            <v>M3</v>
          </cell>
          <cell r="D1170">
            <v>136.692654545455</v>
          </cell>
        </row>
        <row r="1170">
          <cell r="F1170">
            <v>157.196552727273</v>
          </cell>
        </row>
        <row r="1171">
          <cell r="A1171" t="str">
            <v>TRA05</v>
          </cell>
          <cell r="B1171" t="str">
            <v>Traspaleo de 0.00-50.00 mts acarreo carretilla</v>
          </cell>
          <cell r="C1171" t="str">
            <v>M3</v>
          </cell>
          <cell r="D1171">
            <v>187.9524</v>
          </cell>
        </row>
        <row r="1171">
          <cell r="F1171">
            <v>216.14526</v>
          </cell>
        </row>
        <row r="1172">
          <cell r="A1172" t="str">
            <v>TRA06</v>
          </cell>
          <cell r="B1172" t="str">
            <v>Traspaleo a botes mezcla o escombro distancia 15 mts</v>
          </cell>
          <cell r="C1172" t="str">
            <v>M3</v>
          </cell>
          <cell r="D1172">
            <v>150.36192</v>
          </cell>
        </row>
        <row r="1172">
          <cell r="F1172">
            <v>172.916208</v>
          </cell>
        </row>
        <row r="1173">
          <cell r="A1173" t="str">
            <v>TRA07</v>
          </cell>
          <cell r="B1173" t="str">
            <v>Trazo y nivelacion de terreno</v>
          </cell>
          <cell r="C1173" t="str">
            <v>M2</v>
          </cell>
          <cell r="D1173">
            <v>2.506032</v>
          </cell>
        </row>
        <row r="1173">
          <cell r="F1173">
            <v>2.8819368</v>
          </cell>
        </row>
        <row r="1174">
          <cell r="A1174" t="str">
            <v>TUBO38</v>
          </cell>
          <cell r="B1174" t="str">
            <v>Instalacion de tubo de concreto diametro 38 cms</v>
          </cell>
          <cell r="C1174" t="str">
            <v>ML</v>
          </cell>
          <cell r="D1174">
            <v>50.12064</v>
          </cell>
        </row>
        <row r="1174">
          <cell r="F1174">
            <v>57.638736</v>
          </cell>
        </row>
        <row r="1175">
          <cell r="A1175" t="str">
            <v>TUBO45</v>
          </cell>
          <cell r="B1175" t="str">
            <v>Instalacion de tubo de concreto diametro 45 cms</v>
          </cell>
          <cell r="C1175" t="str">
            <v>ML</v>
          </cell>
          <cell r="D1175">
            <v>75.18096</v>
          </cell>
        </row>
        <row r="1175">
          <cell r="F1175">
            <v>86.458104</v>
          </cell>
        </row>
        <row r="1176">
          <cell r="A1176" t="str">
            <v>VEL01</v>
          </cell>
          <cell r="B1176" t="str">
            <v>Velador</v>
          </cell>
          <cell r="C1176" t="str">
            <v>JORNAL</v>
          </cell>
          <cell r="D1176">
            <v>337.98</v>
          </cell>
        </row>
        <row r="1176">
          <cell r="F1176">
            <v>240</v>
          </cell>
        </row>
        <row r="1177">
          <cell r="A1177" t="str">
            <v>VER01</v>
          </cell>
          <cell r="B1177" t="str">
            <v>Vertedero, forjado y terminado</v>
          </cell>
          <cell r="C1177" t="str">
            <v>ML</v>
          </cell>
          <cell r="D1177">
            <v>375.9048</v>
          </cell>
        </row>
        <row r="1177">
          <cell r="F1177">
            <v>432.29052</v>
          </cell>
        </row>
        <row r="1178">
          <cell r="A1178" t="str">
            <v>VIAL</v>
          </cell>
          <cell r="B1178" t="str">
            <v>Instalacion de vialeta en pisos de estacionamiento</v>
          </cell>
          <cell r="C1178" t="str">
            <v>PZA</v>
          </cell>
          <cell r="D1178">
            <v>11.7654084507042</v>
          </cell>
        </row>
        <row r="1178">
          <cell r="F1178">
            <v>13.5302197183099</v>
          </cell>
        </row>
        <row r="1179">
          <cell r="A1179" t="str">
            <v>VIGAMA</v>
          </cell>
          <cell r="B1179" t="str">
            <v>Corte, colocacion y nivelacion de viga de madera para cubiertas</v>
          </cell>
          <cell r="C1179" t="str">
            <v>ML</v>
          </cell>
          <cell r="D1179">
            <v>60.6787409200969</v>
          </cell>
        </row>
        <row r="1179">
          <cell r="F1179">
            <v>69.7805520581114</v>
          </cell>
        </row>
        <row r="1180">
          <cell r="A1180" t="str">
            <v>VITRO</v>
          </cell>
          <cell r="B1180" t="str">
            <v>Vitroblock, instalacion por pza. incluye limpieza</v>
          </cell>
          <cell r="C1180" t="str">
            <v>PZA</v>
          </cell>
          <cell r="D1180">
            <v>24.2519225806452</v>
          </cell>
        </row>
        <row r="1180">
          <cell r="F1180">
            <v>27.8897109677419</v>
          </cell>
        </row>
        <row r="1181">
          <cell r="A1181" t="str">
            <v>ZAP01</v>
          </cell>
          <cell r="B1181" t="str">
            <v>Colado de zapata rev. Hecha en obra, c/traspaleos</v>
          </cell>
          <cell r="C1181" t="str">
            <v>M3</v>
          </cell>
          <cell r="D1181">
            <v>375.9048</v>
          </cell>
          <cell r="E1181">
            <v>1</v>
          </cell>
          <cell r="F1181">
            <v>432.29052</v>
          </cell>
        </row>
        <row r="1182">
          <cell r="A1182" t="str">
            <v>ZAP02</v>
          </cell>
          <cell r="B1182" t="str">
            <v>Colado de zapata rev. Premezclada</v>
          </cell>
          <cell r="C1182" t="str">
            <v>M3</v>
          </cell>
          <cell r="D1182">
            <v>187.9524</v>
          </cell>
        </row>
        <row r="1182">
          <cell r="F1182">
            <v>216.14526</v>
          </cell>
        </row>
        <row r="1183">
          <cell r="A1183" t="str">
            <v>ZAV01</v>
          </cell>
          <cell r="B1183" t="str">
            <v>Zavaleta con revoltura</v>
          </cell>
          <cell r="C1183" t="str">
            <v>ML</v>
          </cell>
          <cell r="D1183">
            <v>55.1566851674641</v>
          </cell>
          <cell r="E1183">
            <v>1</v>
          </cell>
          <cell r="F1183">
            <v>63.4301879425837</v>
          </cell>
        </row>
        <row r="1184">
          <cell r="A1184" t="str">
            <v>ZAV02</v>
          </cell>
          <cell r="B1184" t="str">
            <v>Zavaleta de 1/2 ladrillo</v>
          </cell>
          <cell r="C1184" t="str">
            <v>ML</v>
          </cell>
          <cell r="D1184">
            <v>35.9717511961723</v>
          </cell>
          <cell r="E1184">
            <v>1</v>
          </cell>
          <cell r="F1184">
            <v>41.3675138755981</v>
          </cell>
        </row>
        <row r="1185">
          <cell r="A1185" t="str">
            <v>ZAV03</v>
          </cell>
          <cell r="B1185" t="str">
            <v>Zavaleta ladrillo entero</v>
          </cell>
          <cell r="C1185" t="str">
            <v>ML</v>
          </cell>
          <cell r="D1185">
            <v>35.9717511961723</v>
          </cell>
          <cell r="E1185">
            <v>1</v>
          </cell>
          <cell r="F1185">
            <v>41.3675138755981</v>
          </cell>
        </row>
        <row r="1186">
          <cell r="A1186" t="str">
            <v>ZOC01</v>
          </cell>
          <cell r="B1186" t="str">
            <v>Zoclo de ceramica cortado</v>
          </cell>
          <cell r="C1186" t="str">
            <v>ML</v>
          </cell>
          <cell r="D1186">
            <v>53.7006857142857</v>
          </cell>
        </row>
        <row r="1186">
          <cell r="F1186">
            <v>61.7557885714286</v>
          </cell>
        </row>
        <row r="1187">
          <cell r="A1187" t="str">
            <v>ZOC01C</v>
          </cell>
          <cell r="B1187" t="str">
            <v>Zoclo de ceramica en casa habitacion</v>
          </cell>
          <cell r="C1187" t="str">
            <v>ML</v>
          </cell>
          <cell r="D1187">
            <v>30</v>
          </cell>
        </row>
        <row r="1187">
          <cell r="F1187">
            <v>34.5</v>
          </cell>
        </row>
        <row r="1188">
          <cell r="A1188" t="str">
            <v>ZOC02</v>
          </cell>
          <cell r="B1188" t="str">
            <v>Zoclo de ladrillo peron, incluye corte, ranura y resane</v>
          </cell>
          <cell r="C1188" t="str">
            <v>ML</v>
          </cell>
          <cell r="D1188">
            <v>100.24128</v>
          </cell>
        </row>
        <row r="1188">
          <cell r="F1188">
            <v>115.277472</v>
          </cell>
        </row>
        <row r="1194">
          <cell r="A1194" t="str">
            <v>PONTO QUITO PRECIOS</v>
          </cell>
        </row>
        <row r="1196">
          <cell r="A1196" t="str">
            <v>CVE</v>
          </cell>
          <cell r="B1196" t="str">
            <v>CONCEPTO</v>
          </cell>
          <cell r="C1196" t="str">
            <v>UNIDAD</v>
          </cell>
          <cell r="D1196" t="str">
            <v>P.UNIT.</v>
          </cell>
        </row>
        <row r="1198">
          <cell r="A1198" t="str">
            <v>PQcc20x20</v>
          </cell>
          <cell r="B1198" t="str">
            <v>Armado de castillo 15x15 varilla 1/2" y est 3/8", cimbra y colado 20x20</v>
          </cell>
          <cell r="C1198" t="str">
            <v>ML</v>
          </cell>
          <cell r="D1198">
            <v>600</v>
          </cell>
        </row>
        <row r="1199">
          <cell r="A1199" t="str">
            <v>PQcc25x20</v>
          </cell>
          <cell r="B1199" t="str">
            <v>Armado de castillo 20x15 varilla 1/2" y est 3/8", cimbra y colado 25x20</v>
          </cell>
          <cell r="C1199" t="str">
            <v>ML</v>
          </cell>
          <cell r="D1199">
            <v>650</v>
          </cell>
        </row>
        <row r="1200">
          <cell r="A1200" t="str">
            <v>PQcc30x20</v>
          </cell>
          <cell r="B1200" t="str">
            <v>Armado de castillo 25x15 varilla 1/2" y est 3/8", cimbra y colado 30x20</v>
          </cell>
          <cell r="C1200" t="str">
            <v>ML</v>
          </cell>
          <cell r="D1200">
            <v>700</v>
          </cell>
        </row>
        <row r="1201">
          <cell r="A1201" t="str">
            <v>PQtb20x50</v>
          </cell>
          <cell r="B1201" t="str">
            <v>Armado de trabe de 45x15 varilla 1/2" y estribos 3/8" cimbra y colado 20x50</v>
          </cell>
          <cell r="C1201" t="str">
            <v>ML</v>
          </cell>
          <cell r="D1201">
            <v>1000</v>
          </cell>
        </row>
        <row r="1202">
          <cell r="A1202" t="str">
            <v>PQzap1x85</v>
          </cell>
          <cell r="B1202" t="str">
            <v>Armado de parrilla 1x85 varilla 1/2" @20 cms cimbra y colado 85x20</v>
          </cell>
          <cell r="C1202" t="str">
            <v>ML</v>
          </cell>
          <cell r="D1202">
            <v>800</v>
          </cell>
        </row>
        <row r="1203">
          <cell r="A1203" t="str">
            <v>PQbk14.20.40c</v>
          </cell>
          <cell r="B1203" t="str">
            <v>Muro de block de 14x20x40 capuchino colocando andamios h= 4mts</v>
          </cell>
          <cell r="C1203" t="str">
            <v>M2</v>
          </cell>
          <cell r="D1203">
            <v>200</v>
          </cell>
        </row>
        <row r="1204">
          <cell r="A1204" t="str">
            <v>PQbk14.20.40s</v>
          </cell>
          <cell r="B1204" t="str">
            <v>Muro de block de 14x20x40 soga colocando andamios h= 4mts</v>
          </cell>
          <cell r="C1204" t="str">
            <v>M2</v>
          </cell>
          <cell r="D1204">
            <v>200</v>
          </cell>
        </row>
        <row r="1205">
          <cell r="A1205" t="str">
            <v>PQbk14.20.40t</v>
          </cell>
          <cell r="B1205" t="str">
            <v>Muro de block de 14x20x40 tezon contencion 0-2.00 h</v>
          </cell>
          <cell r="C1205" t="str">
            <v>M2</v>
          </cell>
          <cell r="D1205">
            <v>400</v>
          </cell>
        </row>
        <row r="1206">
          <cell r="A1206" t="str">
            <v>PQbk14.20.40t2</v>
          </cell>
          <cell r="B1206" t="str">
            <v>Muro de block de 14x20x40 tezon contencion 2.00 h andamios</v>
          </cell>
          <cell r="C1206" t="str">
            <v>M2</v>
          </cell>
          <cell r="D1206">
            <v>500</v>
          </cell>
        </row>
        <row r="1207">
          <cell r="A1207" t="str">
            <v>PQmam1r80</v>
          </cell>
          <cell r="B1207" t="str">
            <v>Pegado de muro de piedra 1 rostro arranque 80 cms alto 1</v>
          </cell>
          <cell r="C1207" t="str">
            <v>ML</v>
          </cell>
          <cell r="D1207">
            <v>1000</v>
          </cell>
        </row>
        <row r="1208">
          <cell r="A1208" t="str">
            <v>PQmam1r80-60</v>
          </cell>
          <cell r="B1208" t="str">
            <v>Pegado de muro de piedra 1 rostro 80 a 60 cms alto 1</v>
          </cell>
          <cell r="C1208" t="str">
            <v>ML</v>
          </cell>
          <cell r="D1208">
            <v>1000</v>
          </cell>
        </row>
        <row r="1209">
          <cell r="A1209" t="str">
            <v>PQenj0-3</v>
          </cell>
          <cell r="B1209" t="str">
            <v>Enjarre repellado incluye malla en boquillas, sarpeo y enjarre 0-3.00</v>
          </cell>
          <cell r="C1209" t="str">
            <v>M2</v>
          </cell>
          <cell r="D1209">
            <v>250</v>
          </cell>
        </row>
        <row r="1210">
          <cell r="A1210" t="str">
            <v>PQenj3-5</v>
          </cell>
          <cell r="B1210" t="str">
            <v>Enjarre repellado incluye malla en boquillas, sarpeo y enjarre 3.00-5.00</v>
          </cell>
          <cell r="C1210" t="str">
            <v>M2</v>
          </cell>
          <cell r="D1210">
            <v>300</v>
          </cell>
        </row>
        <row r="1211">
          <cell r="A1211" t="str">
            <v>PQboq2b</v>
          </cell>
          <cell r="B1211" t="str">
            <v>Boquilla con boleado grueso por 2 lados</v>
          </cell>
          <cell r="C1211" t="str">
            <v>ML</v>
          </cell>
          <cell r="D1211">
            <v>250</v>
          </cell>
        </row>
        <row r="1212">
          <cell r="A1212" t="str">
            <v>PQboq1b</v>
          </cell>
          <cell r="B1212" t="str">
            <v>Boquilla con boleado grueso por 1 lado</v>
          </cell>
          <cell r="C1212" t="str">
            <v>ML</v>
          </cell>
          <cell r="D1212">
            <v>150</v>
          </cell>
        </row>
        <row r="1213">
          <cell r="A1213" t="str">
            <v>PQsuecem20</v>
          </cell>
          <cell r="B1213" t="str">
            <v>Relleno con suelo cemento humedo compactado 20 cms espesor, incluye acarreos</v>
          </cell>
          <cell r="C1213" t="str">
            <v>M2</v>
          </cell>
          <cell r="D1213">
            <v>100</v>
          </cell>
        </row>
        <row r="1214">
          <cell r="A1214" t="str">
            <v>PQsuecem40</v>
          </cell>
          <cell r="B1214" t="str">
            <v>Relleno con suelo cemento humedo compactado 40 cms espesor, incluye acarreos</v>
          </cell>
          <cell r="C1214" t="str">
            <v>M2</v>
          </cell>
          <cell r="D1214">
            <v>200</v>
          </cell>
        </row>
        <row r="1215">
          <cell r="A1215" t="str">
            <v>PQsuecem60</v>
          </cell>
          <cell r="B1215" t="str">
            <v>Relleno con suelo cemento humedo compactado 60 cms espesor, incluye acarreos</v>
          </cell>
          <cell r="C1215" t="str">
            <v>M2</v>
          </cell>
          <cell r="D1215">
            <v>300</v>
          </cell>
        </row>
        <row r="1216">
          <cell r="A1216" t="str">
            <v>PQexc1x1x1</v>
          </cell>
          <cell r="B1216" t="str">
            <v>Excavacion para cimentacion de 1.00x1.00x1.00 terreno normal</v>
          </cell>
          <cell r="C1216" t="str">
            <v>ML</v>
          </cell>
          <cell r="D1216">
            <v>500</v>
          </cell>
        </row>
        <row r="1217">
          <cell r="A1217" t="str">
            <v>PQexc1x1x1-2</v>
          </cell>
          <cell r="B1217" t="str">
            <v>Excavacion para cimentacion de 1.00x1.00x1.00 terreno duro cascajo o laja</v>
          </cell>
          <cell r="C1217" t="str">
            <v>ML</v>
          </cell>
          <cell r="D1217">
            <v>500</v>
          </cell>
        </row>
        <row r="1219">
          <cell r="A1219" t="str">
            <v>TAPALPA, PRECIOS DEL PAY</v>
          </cell>
        </row>
        <row r="1221">
          <cell r="A1221" t="str">
            <v>TACEITE</v>
          </cell>
          <cell r="B1221" t="str">
            <v>Limpiar y aplicar aceite o barniz sobre madera</v>
          </cell>
          <cell r="C1221" t="str">
            <v>M2</v>
          </cell>
          <cell r="D1221">
            <v>50</v>
          </cell>
        </row>
        <row r="1222">
          <cell r="A1222" t="str">
            <v>TALB</v>
          </cell>
          <cell r="B1222" t="str">
            <v>Albañil por el día</v>
          </cell>
          <cell r="C1222" t="str">
            <v>JORNAL</v>
          </cell>
          <cell r="D1222">
            <v>600</v>
          </cell>
        </row>
        <row r="1223">
          <cell r="A1223" t="str">
            <v>TARMC</v>
          </cell>
          <cell r="B1223" t="str">
            <v>Armado de castillo con varilla de 3/8" y estribos alambrón @ 20 cms</v>
          </cell>
          <cell r="C1223" t="str">
            <v>ML</v>
          </cell>
          <cell r="D1223">
            <v>45</v>
          </cell>
        </row>
        <row r="1224">
          <cell r="A1224" t="str">
            <v>TBANCOC</v>
          </cell>
          <cell r="B1224" t="str">
            <v>Banquetón de cocina pulido</v>
          </cell>
          <cell r="C1224" t="str">
            <v>ML</v>
          </cell>
          <cell r="D1224">
            <v>150</v>
          </cell>
        </row>
        <row r="1224">
          <cell r="F1224">
            <v>13</v>
          </cell>
        </row>
        <row r="1225">
          <cell r="A1225" t="str">
            <v>TBODEGA</v>
          </cell>
          <cell r="B1225" t="str">
            <v>Armar bodega y baño con fajillas y malla en exterior, colocsar puertas</v>
          </cell>
          <cell r="C1225" t="str">
            <v>M2</v>
          </cell>
          <cell r="D1225">
            <v>350</v>
          </cell>
        </row>
        <row r="1226">
          <cell r="A1226" t="str">
            <v>TBOQ</v>
          </cell>
          <cell r="B1226" t="str">
            <v>Boquilla en puertas y ventanas</v>
          </cell>
          <cell r="C1226" t="str">
            <v>ML</v>
          </cell>
          <cell r="D1226">
            <v>90</v>
          </cell>
        </row>
        <row r="1227">
          <cell r="A1227" t="str">
            <v>TCCASO</v>
          </cell>
          <cell r="B1227" t="str">
            <v>Cimbrar y colar castillo de soga</v>
          </cell>
          <cell r="C1227" t="str">
            <v>ML</v>
          </cell>
          <cell r="D1227">
            <v>100</v>
          </cell>
        </row>
        <row r="1228">
          <cell r="A1228" t="str">
            <v>TCCASO3</v>
          </cell>
          <cell r="B1228" t="str">
            <v>Cimbrar y colar castillo de soga 3 caras</v>
          </cell>
          <cell r="C1228" t="str">
            <v>ML</v>
          </cell>
          <cell r="D1228">
            <v>120</v>
          </cell>
        </row>
        <row r="1229">
          <cell r="A1229" t="str">
            <v>TCCATE</v>
          </cell>
          <cell r="B1229" t="str">
            <v>Cimbrar y colar castillo de tezón</v>
          </cell>
          <cell r="C1229" t="str">
            <v>ML</v>
          </cell>
          <cell r="D1229">
            <v>120</v>
          </cell>
        </row>
        <row r="1230">
          <cell r="A1230" t="str">
            <v>TCCATE3</v>
          </cell>
          <cell r="B1230" t="str">
            <v>Cimbrar y colar castillo de tezón 3 caras</v>
          </cell>
          <cell r="C1230" t="str">
            <v>ML</v>
          </cell>
          <cell r="D1230">
            <v>145</v>
          </cell>
        </row>
        <row r="1231">
          <cell r="A1231" t="str">
            <v>TCCESO</v>
          </cell>
          <cell r="B1231" t="str">
            <v>Cimbrar y colar cerramiento de soga</v>
          </cell>
          <cell r="C1231" t="str">
            <v>ML</v>
          </cell>
          <cell r="D1231">
            <v>130</v>
          </cell>
        </row>
        <row r="1232">
          <cell r="A1232" t="str">
            <v>TCCETE</v>
          </cell>
          <cell r="B1232" t="str">
            <v>Cimbrar y colar cerramiento de tezón</v>
          </cell>
          <cell r="C1232" t="str">
            <v>ML</v>
          </cell>
          <cell r="D1232">
            <v>234</v>
          </cell>
        </row>
        <row r="1233">
          <cell r="A1233" t="str">
            <v>TCDASO</v>
          </cell>
          <cell r="B1233" t="str">
            <v>Armar, cimbrar y colar dala de 15 x 20</v>
          </cell>
          <cell r="C1233" t="str">
            <v>ML</v>
          </cell>
          <cell r="D1233">
            <v>100</v>
          </cell>
        </row>
        <row r="1234">
          <cell r="A1234" t="str">
            <v>TCDATE</v>
          </cell>
          <cell r="B1234" t="str">
            <v>Cimbrar y colar dala tezón con doble armex</v>
          </cell>
          <cell r="C1234" t="str">
            <v>ML</v>
          </cell>
          <cell r="D1234">
            <v>130</v>
          </cell>
        </row>
        <row r="1235">
          <cell r="A1235" t="str">
            <v>TCENRAJ</v>
          </cell>
          <cell r="B1235" t="str">
            <v>Instalación de piso de rajuela a canto en cenefa ancho hasta 60 cms</v>
          </cell>
          <cell r="C1235" t="str">
            <v>ML</v>
          </cell>
          <cell r="D1235">
            <v>600</v>
          </cell>
        </row>
        <row r="1236">
          <cell r="A1236" t="str">
            <v>TDADO</v>
          </cell>
          <cell r="B1236" t="str">
            <v>Colado de dado completo de 80x 80 x 80</v>
          </cell>
          <cell r="C1236" t="str">
            <v>PZA</v>
          </cell>
          <cell r="D1236">
            <v>400</v>
          </cell>
        </row>
        <row r="1236">
          <cell r="F1236">
            <v>62</v>
          </cell>
        </row>
        <row r="1237">
          <cell r="A1237" t="str">
            <v>TENJADO</v>
          </cell>
          <cell r="B1237" t="str">
            <v>Sarpeo, enjarre y figurado tipo adobe con estrías</v>
          </cell>
          <cell r="C1237" t="str">
            <v>M2</v>
          </cell>
          <cell r="D1237">
            <v>150</v>
          </cell>
        </row>
        <row r="1238">
          <cell r="A1238" t="str">
            <v>TENJAFB</v>
          </cell>
          <cell r="B1238" t="str">
            <v>Enjarre en bóveda terminado afinado, incluye sarpeos y andamios</v>
          </cell>
          <cell r="C1238" t="str">
            <v>M2</v>
          </cell>
          <cell r="D1238">
            <v>133</v>
          </cell>
        </row>
        <row r="1239">
          <cell r="A1239" t="str">
            <v>TENJAFM</v>
          </cell>
          <cell r="B1239" t="str">
            <v>Enjarre en muro terminado afinado, incluye sarpeos y andamios</v>
          </cell>
          <cell r="C1239" t="str">
            <v>M2</v>
          </cell>
          <cell r="D1239">
            <v>120</v>
          </cell>
        </row>
        <row r="1240">
          <cell r="A1240" t="str">
            <v>TENJAP</v>
          </cell>
          <cell r="B1240" t="str">
            <v>Enjarre en muro terminado apalillado, incluye sarpeos y andamios</v>
          </cell>
          <cell r="C1240" t="str">
            <v>M2</v>
          </cell>
          <cell r="D1240">
            <v>100</v>
          </cell>
        </row>
        <row r="1241">
          <cell r="A1241" t="str">
            <v>TENJB</v>
          </cell>
          <cell r="B1241" t="str">
            <v>Enjarre en bóveda, incluye sarpeos y andamios</v>
          </cell>
          <cell r="C1241" t="str">
            <v>M2</v>
          </cell>
          <cell r="D1241">
            <v>120</v>
          </cell>
        </row>
        <row r="1242">
          <cell r="A1242" t="str">
            <v>TENJCP</v>
          </cell>
          <cell r="B1242" t="str">
            <v>Enjarre a tallón de cuchara pulido</v>
          </cell>
          <cell r="C1242" t="str">
            <v>M2</v>
          </cell>
          <cell r="D1242">
            <v>100</v>
          </cell>
        </row>
        <row r="1243">
          <cell r="A1243" t="str">
            <v>TEXCAV</v>
          </cell>
          <cell r="B1243" t="str">
            <v>Excavación terreno</v>
          </cell>
          <cell r="C1243" t="str">
            <v>M3</v>
          </cell>
          <cell r="D1243">
            <v>380</v>
          </cell>
        </row>
        <row r="1244">
          <cell r="A1244" t="str">
            <v>TFILTRO</v>
          </cell>
          <cell r="B1244" t="str">
            <v>Filtro de grava de 10 cms compactada</v>
          </cell>
          <cell r="C1244" t="str">
            <v>M2</v>
          </cell>
          <cell r="D1244">
            <v>25</v>
          </cell>
        </row>
        <row r="1244">
          <cell r="F1244">
            <v>74</v>
          </cell>
        </row>
        <row r="1245">
          <cell r="A1245" t="str">
            <v>TFIRJAL</v>
          </cell>
          <cell r="B1245" t="str">
            <v>Colocar jal con malla electro-soldada y lechadeado</v>
          </cell>
          <cell r="C1245" t="str">
            <v>M2</v>
          </cell>
          <cell r="D1245">
            <v>90</v>
          </cell>
        </row>
        <row r="1245">
          <cell r="F1245">
            <v>40</v>
          </cell>
        </row>
        <row r="1246">
          <cell r="A1246" t="str">
            <v>TFOSA</v>
          </cell>
          <cell r="B1246" t="str">
            <v>Excavación, forjado y terminado de fosa séptica con filtros</v>
          </cell>
          <cell r="C1246" t="str">
            <v>M3</v>
          </cell>
          <cell r="D1246">
            <v>1200</v>
          </cell>
        </row>
        <row r="1247">
          <cell r="A1247" t="str">
            <v>TIMP</v>
          </cell>
          <cell r="B1247" t="str">
            <v>Raspado de superficie, repellado e impermeabilizado azotea</v>
          </cell>
          <cell r="C1247" t="str">
            <v>M2</v>
          </cell>
          <cell r="D1247">
            <v>50</v>
          </cell>
        </row>
        <row r="1248">
          <cell r="A1248" t="str">
            <v>TJALIN</v>
          </cell>
          <cell r="B1248" t="str">
            <v>Colocar jal en techo inclinado, incluye malla y apalillado</v>
          </cell>
          <cell r="C1248" t="str">
            <v>M2</v>
          </cell>
          <cell r="D1248">
            <v>110</v>
          </cell>
        </row>
        <row r="1248">
          <cell r="F1248">
            <v>41</v>
          </cell>
        </row>
        <row r="1249">
          <cell r="A1249" t="str">
            <v>TJALP</v>
          </cell>
          <cell r="B1249" t="str">
            <v>Colocar jal en techo plano, incluye malla y apalillado</v>
          </cell>
          <cell r="C1249" t="str">
            <v>M2</v>
          </cell>
          <cell r="D1249">
            <v>125</v>
          </cell>
        </row>
        <row r="1249">
          <cell r="F1249">
            <v>42</v>
          </cell>
        </row>
        <row r="1250">
          <cell r="A1250" t="str">
            <v>TLADAZ</v>
          </cell>
          <cell r="B1250" t="str">
            <v>Instalar ladrillo de azotea sobre superficies de azotea, incluye acarreos</v>
          </cell>
          <cell r="C1250" t="str">
            <v>M2</v>
          </cell>
          <cell r="D1250">
            <v>90</v>
          </cell>
        </row>
        <row r="1251">
          <cell r="A1251" t="str">
            <v>TLADAZA</v>
          </cell>
          <cell r="B1251" t="str">
            <v>Colocar piso de barro y juntear, detallar y limpiar terminado aparente</v>
          </cell>
          <cell r="C1251" t="str">
            <v>M2</v>
          </cell>
          <cell r="D1251">
            <v>160</v>
          </cell>
          <cell r="E1251">
            <v>49</v>
          </cell>
        </row>
        <row r="1252">
          <cell r="A1252" t="str">
            <v>TLODADOB</v>
          </cell>
          <cell r="B1252" t="str">
            <v>Aplicar sellador y lodo sobre superficie de adobe terminado</v>
          </cell>
          <cell r="C1252" t="str">
            <v>M2</v>
          </cell>
          <cell r="D1252">
            <v>50</v>
          </cell>
        </row>
        <row r="1253">
          <cell r="A1253" t="str">
            <v>TLOSA</v>
          </cell>
          <cell r="B1253" t="str">
            <v>Colocar malla, colado de losa concreto y repellado</v>
          </cell>
          <cell r="C1253" t="str">
            <v>M2</v>
          </cell>
          <cell r="D1253">
            <v>100</v>
          </cell>
        </row>
        <row r="1254">
          <cell r="A1254" t="str">
            <v>TLOSDESP</v>
          </cell>
          <cell r="B1254" t="str">
            <v>Trazo, ranuras, barrenos, armar, cimbrar y colar losa despensa terminado</v>
          </cell>
          <cell r="C1254" t="str">
            <v>ML</v>
          </cell>
          <cell r="D1254">
            <v>300</v>
          </cell>
        </row>
        <row r="1255">
          <cell r="A1255" t="str">
            <v>TMAM1R40</v>
          </cell>
          <cell r="B1255" t="str">
            <v>Mamposteo de piedra 1 rostro de 40 cms</v>
          </cell>
          <cell r="C1255" t="str">
            <v>M2</v>
          </cell>
          <cell r="D1255">
            <v>800</v>
          </cell>
        </row>
        <row r="1256">
          <cell r="A1256" t="str">
            <v>TMAM1R50</v>
          </cell>
          <cell r="B1256" t="str">
            <v>Mamposteo de piedra 1 rostro de 50 cms</v>
          </cell>
          <cell r="C1256" t="str">
            <v>M2</v>
          </cell>
          <cell r="D1256">
            <v>1000</v>
          </cell>
        </row>
        <row r="1257">
          <cell r="A1257" t="str">
            <v>TMAM1R60</v>
          </cell>
          <cell r="B1257" t="str">
            <v>Mamposteo de piedra 1 rostro de 60 cms</v>
          </cell>
          <cell r="C1257" t="str">
            <v>M2</v>
          </cell>
          <cell r="D1257">
            <v>1200</v>
          </cell>
        </row>
        <row r="1258">
          <cell r="A1258" t="str">
            <v>TMAM2R</v>
          </cell>
          <cell r="B1258" t="str">
            <v>Mamposteo de piedra 2 rostros de 40 a 50 cms</v>
          </cell>
          <cell r="C1258" t="str">
            <v>M2</v>
          </cell>
          <cell r="D1258">
            <v>1375</v>
          </cell>
        </row>
        <row r="1259">
          <cell r="A1259" t="str">
            <v>TMAM2R40</v>
          </cell>
          <cell r="B1259" t="str">
            <v>Mamposteo de piedra 2 rostros de 40 cms</v>
          </cell>
          <cell r="C1259" t="str">
            <v>M2</v>
          </cell>
          <cell r="D1259">
            <v>1300</v>
          </cell>
        </row>
        <row r="1260">
          <cell r="A1260" t="str">
            <v>TMAM2R50</v>
          </cell>
          <cell r="B1260" t="str">
            <v>Mamposteo de piedra 2 rostro de 50 cms</v>
          </cell>
          <cell r="C1260" t="str">
            <v>M2</v>
          </cell>
          <cell r="D1260">
            <v>1450</v>
          </cell>
        </row>
        <row r="1261">
          <cell r="A1261" t="str">
            <v>TMCAP</v>
          </cell>
          <cell r="B1261" t="str">
            <v>Muro de capuchino en sucio</v>
          </cell>
          <cell r="C1261" t="str">
            <v>M2</v>
          </cell>
          <cell r="D1261">
            <v>120</v>
          </cell>
        </row>
        <row r="1262">
          <cell r="A1262" t="str">
            <v>TMOCSO</v>
          </cell>
          <cell r="B1262" t="str">
            <v>Mocheta de soga en sucio</v>
          </cell>
          <cell r="C1262" t="str">
            <v>ML</v>
          </cell>
          <cell r="D1262">
            <v>125</v>
          </cell>
        </row>
        <row r="1263">
          <cell r="A1263" t="str">
            <v>TMOCTE</v>
          </cell>
          <cell r="B1263" t="str">
            <v>Mocheta de tezón en sucio</v>
          </cell>
          <cell r="C1263" t="str">
            <v>ML</v>
          </cell>
          <cell r="D1263">
            <v>150</v>
          </cell>
        </row>
        <row r="1264">
          <cell r="A1264" t="str">
            <v>TMSOG</v>
          </cell>
          <cell r="B1264" t="str">
            <v>Muro de soga en sucio</v>
          </cell>
          <cell r="C1264" t="str">
            <v>M2</v>
          </cell>
          <cell r="D1264">
            <v>125</v>
          </cell>
        </row>
        <row r="1265">
          <cell r="A1265" t="str">
            <v>TMTEZ</v>
          </cell>
          <cell r="B1265" t="str">
            <v>Muro de tezón en sucio</v>
          </cell>
          <cell r="C1265" t="str">
            <v>M2</v>
          </cell>
          <cell r="D1265">
            <v>150</v>
          </cell>
        </row>
        <row r="1266">
          <cell r="A1266" t="str">
            <v>TMUADOSO</v>
          </cell>
          <cell r="B1266" t="str">
            <v>Muro de adobe de soga en sucio no importa altura, inlcuye junta</v>
          </cell>
          <cell r="C1266" t="str">
            <v>M2</v>
          </cell>
          <cell r="D1266">
            <v>200</v>
          </cell>
        </row>
        <row r="1267">
          <cell r="A1267" t="str">
            <v>TMUADOTE</v>
          </cell>
          <cell r="B1267" t="str">
            <v>Muro de adobe de soga en sucio no importa altura, inlcuye junta</v>
          </cell>
          <cell r="C1267" t="str">
            <v>M2</v>
          </cell>
          <cell r="D1267">
            <v>300</v>
          </cell>
        </row>
        <row r="1268">
          <cell r="A1268" t="str">
            <v>TNIVMR</v>
          </cell>
          <cell r="B1268" t="str">
            <v>Nivelación de muro de piedra con rostro</v>
          </cell>
          <cell r="C1268" t="str">
            <v>ML</v>
          </cell>
          <cell r="D1268">
            <v>70</v>
          </cell>
        </row>
        <row r="1269">
          <cell r="A1269" t="str">
            <v>TPEO</v>
          </cell>
          <cell r="B1269" t="str">
            <v>Peón por el día</v>
          </cell>
          <cell r="C1269" t="str">
            <v>JORNAL</v>
          </cell>
          <cell r="D1269">
            <v>390</v>
          </cell>
        </row>
        <row r="1270">
          <cell r="A1270" t="str">
            <v>TPINT</v>
          </cell>
          <cell r="B1270" t="str">
            <v>Raspar, resanes, sellador y pintura terminado sobre muros y bóvedas</v>
          </cell>
          <cell r="C1270" t="str">
            <v>M2</v>
          </cell>
          <cell r="D1270">
            <v>50</v>
          </cell>
        </row>
        <row r="1271">
          <cell r="A1271" t="str">
            <v>TPISO</v>
          </cell>
          <cell r="B1271" t="str">
            <v>Lechadeo, colocar malla, colado de piso repellado</v>
          </cell>
          <cell r="C1271" t="str">
            <v>M2</v>
          </cell>
          <cell r="D1271">
            <v>125</v>
          </cell>
        </row>
        <row r="1271">
          <cell r="F1271">
            <v>42</v>
          </cell>
        </row>
        <row r="1272">
          <cell r="A1272" t="str">
            <v>TPISORAJ</v>
          </cell>
          <cell r="B1272" t="str">
            <v>Instalación de piso de rajuela a canto en pisos</v>
          </cell>
          <cell r="C1272" t="str">
            <v>M2</v>
          </cell>
          <cell r="D1272">
            <v>1000</v>
          </cell>
        </row>
        <row r="1273">
          <cell r="A1273" t="str">
            <v>TREG</v>
          </cell>
          <cell r="B1273" t="str">
            <v>Excavación, forjado y terminado registro sanitario 1.00x1.00x1.00</v>
          </cell>
          <cell r="C1273" t="str">
            <v>PZA</v>
          </cell>
          <cell r="D1273">
            <v>1000</v>
          </cell>
        </row>
        <row r="1274">
          <cell r="A1274" t="str">
            <v>TRELLM</v>
          </cell>
          <cell r="B1274" t="str">
            <v>Relleno y compactación en capas de 20 cms con apoyo de máquina</v>
          </cell>
          <cell r="C1274" t="str">
            <v>M3</v>
          </cell>
          <cell r="D1274">
            <v>100</v>
          </cell>
        </row>
        <row r="1274">
          <cell r="F1274">
            <v>124</v>
          </cell>
        </row>
        <row r="1275">
          <cell r="A1275" t="str">
            <v>TREN</v>
          </cell>
          <cell r="B1275" t="str">
            <v>Renchido de piedra</v>
          </cell>
          <cell r="C1275" t="str">
            <v>M3</v>
          </cell>
          <cell r="D1275">
            <v>400</v>
          </cell>
        </row>
        <row r="1276">
          <cell r="A1276" t="str">
            <v>TSUBVIGA</v>
          </cell>
          <cell r="B1276" t="str">
            <v>subir y nivelar cerramientos de madera ( incluye fester, resanes y colados )</v>
          </cell>
          <cell r="C1276" t="str">
            <v>ML</v>
          </cell>
          <cell r="D1276">
            <v>140</v>
          </cell>
        </row>
        <row r="1276">
          <cell r="F1276">
            <v>135</v>
          </cell>
        </row>
        <row r="1277">
          <cell r="A1277" t="str">
            <v>TTEJA</v>
          </cell>
          <cell r="B1277" t="str">
            <v>Tejar, inculye costuras y caballeteros</v>
          </cell>
          <cell r="C1277" t="str">
            <v>M2</v>
          </cell>
          <cell r="D1277">
            <v>110</v>
          </cell>
        </row>
        <row r="1277">
          <cell r="F1277">
            <v>138</v>
          </cell>
        </row>
        <row r="1278">
          <cell r="A1278" t="str">
            <v>TVADO</v>
          </cell>
          <cell r="B1278" t="str">
            <v>Vado pluvial de 1 metro de ancho</v>
          </cell>
          <cell r="C1278" t="str">
            <v>ML</v>
          </cell>
          <cell r="D1278">
            <v>90</v>
          </cell>
        </row>
        <row r="1278">
          <cell r="F1278">
            <v>140</v>
          </cell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>TORRES GARCIA SAUL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</v>
          </cell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</v>
          </cell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>BARRAGAN GUERRERO URIEL ARAHI</v>
          </cell>
          <cell r="C3025" t="str">
            <v>OF</v>
          </cell>
          <cell r="D3025">
            <v>553.07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</v>
          </cell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</v>
          </cell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</v>
          </cell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428.571428571429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260.46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>MEJIA MEJIA EDUARDO EMMANUEL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260.46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260.46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260.46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260.46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260.46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260.46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260.46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260.46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>GONZALEZ PERALES JORGE</v>
          </cell>
          <cell r="C3213" t="str">
            <v>OF</v>
          </cell>
          <cell r="D3213">
            <v>553.07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</v>
          </cell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</v>
          </cell>
        </row>
        <row r="3292">
          <cell r="A3292">
            <v>4752</v>
          </cell>
          <cell r="B3292" t="str">
            <v>RODRIGUEZ MALTA JULIO CESAR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>TELLO PÉREZ ARMANDO ABRAHAM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</v>
          </cell>
        </row>
        <row r="3372">
          <cell r="A3372">
            <v>4832</v>
          </cell>
          <cell r="B3372" t="str">
            <v>FLORES GARCÍA SERGIO</v>
          </cell>
          <cell r="C3372" t="str">
            <v>OF</v>
          </cell>
          <cell r="D3372">
            <v>553.07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>ECHEVERRÍA MENDOZA JESÚS OSWALDO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>MONTALVO HERNANDEZ JUAN LUIS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</row>
        <row r="3407">
          <cell r="A3407">
            <v>4867</v>
          </cell>
        </row>
        <row r="3408">
          <cell r="A3408">
            <v>4868</v>
          </cell>
        </row>
        <row r="3409">
          <cell r="A3409">
            <v>4869</v>
          </cell>
        </row>
        <row r="3410">
          <cell r="A3410">
            <v>4870</v>
          </cell>
        </row>
        <row r="3411">
          <cell r="A3411">
            <v>4871</v>
          </cell>
        </row>
        <row r="3412">
          <cell r="A3412">
            <v>4872</v>
          </cell>
        </row>
        <row r="3413">
          <cell r="A3413">
            <v>4873</v>
          </cell>
        </row>
        <row r="3414">
          <cell r="A3414">
            <v>4874</v>
          </cell>
        </row>
        <row r="3427">
          <cell r="A3427" t="str">
            <v>LISTA DE PRECIOS UNITARIOS</v>
          </cell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</v>
          </cell>
        </row>
        <row r="3431">
          <cell r="F3431">
            <v>100.06725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69.612</v>
          </cell>
        </row>
        <row r="3432">
          <cell r="F3432">
            <v>80.0538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</row>
        <row r="3433">
          <cell r="F3433">
            <v>200.1345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77.7167464114833</v>
          </cell>
        </row>
        <row r="3434">
          <cell r="F3434">
            <v>89.3742583732057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</v>
          </cell>
        </row>
        <row r="3435">
          <cell r="F3435">
            <v>53.3692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18.3189473684211</v>
          </cell>
        </row>
        <row r="3436">
          <cell r="F3436">
            <v>21.0667894736842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</row>
        <row r="3437"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17.403</v>
          </cell>
        </row>
        <row r="3438">
          <cell r="F3438">
            <v>20.01345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</v>
          </cell>
        </row>
        <row r="3439">
          <cell r="F3439">
            <v>57.1812857142857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34.806</v>
          </cell>
        </row>
        <row r="3440">
          <cell r="F3440">
            <v>40.0269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66.7115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</v>
          </cell>
          <cell r="E3442">
            <v>1</v>
          </cell>
          <cell r="F3442">
            <v>53.3692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27.8448</v>
          </cell>
          <cell r="E3443">
            <v>1</v>
          </cell>
          <cell r="F3443">
            <v>32.02152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66.7115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69.612</v>
          </cell>
          <cell r="E3445">
            <v>1</v>
          </cell>
          <cell r="F3445">
            <v>80.0538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122.126315789474</v>
          </cell>
          <cell r="E3446">
            <v>1</v>
          </cell>
          <cell r="F3446">
            <v>140.445263157895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266.846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</v>
          </cell>
        </row>
        <row r="3448">
          <cell r="F3448">
            <v>61.5798461538462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8.7015</v>
          </cell>
          <cell r="E3449">
            <v>1</v>
          </cell>
          <cell r="F3449">
            <v>10.006725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31.6418181818182</v>
          </cell>
          <cell r="E3450">
            <v>1</v>
          </cell>
          <cell r="F3450">
            <v>36.3880909090909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</v>
          </cell>
          <cell r="E3451">
            <v>1</v>
          </cell>
          <cell r="F3451">
            <v>49.2638769230769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16.677875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</v>
          </cell>
          <cell r="E3453">
            <v>1</v>
          </cell>
          <cell r="F3453">
            <v>29.540147601476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</row>
        <row r="3454">
          <cell r="F3454">
            <v>133.423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37.1264</v>
          </cell>
        </row>
        <row r="3455">
          <cell r="F3455">
            <v>42.69536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</v>
          </cell>
          <cell r="E3456">
            <v>1</v>
          </cell>
          <cell r="F3456">
            <v>47.0904705882353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66.7115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99.4457142857143</v>
          </cell>
          <cell r="E3458">
            <v>1</v>
          </cell>
          <cell r="F3458">
            <v>114.362571428571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</v>
          </cell>
        </row>
        <row r="3459">
          <cell r="F3459">
            <v>53.3692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</v>
          </cell>
          <cell r="E3460">
            <v>1</v>
          </cell>
          <cell r="F3460">
            <v>47.0904705882353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</v>
          </cell>
          <cell r="E3461">
            <v>1</v>
          </cell>
          <cell r="F3461">
            <v>32.4104453441296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</v>
          </cell>
        </row>
        <row r="3462">
          <cell r="F3462">
            <v>44.4743333333333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</row>
        <row r="3463">
          <cell r="F3463">
            <v>16.01076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34.806</v>
          </cell>
        </row>
        <row r="3464">
          <cell r="F3464">
            <v>40.0269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66.6143540669857</v>
          </cell>
        </row>
        <row r="3465">
          <cell r="F3465">
            <v>76.6065071770335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</v>
          </cell>
        </row>
        <row r="3466">
          <cell r="F3466">
            <v>8.42671578947368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34.806</v>
          </cell>
        </row>
        <row r="3467">
          <cell r="F3467">
            <v>40.0269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400.269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133.423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200.1345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</v>
          </cell>
          <cell r="E3471">
            <v>1</v>
          </cell>
          <cell r="F3471">
            <v>381.208571428571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4.54980392156863</v>
          </cell>
        </row>
        <row r="3472">
          <cell r="F3472">
            <v>5.23227450980392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4.54980392156863</v>
          </cell>
        </row>
        <row r="3473">
          <cell r="F3473">
            <v>5.23227450980392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4.54980392156863</v>
          </cell>
        </row>
        <row r="3474">
          <cell r="F3474">
            <v>5.23227450980392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</v>
          </cell>
        </row>
        <row r="3475"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4.54980392156863</v>
          </cell>
        </row>
        <row r="3476">
          <cell r="F3476">
            <v>5.23227450980392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69.612</v>
          </cell>
        </row>
        <row r="3477">
          <cell r="F3477">
            <v>80.0538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4.54980392156863</v>
          </cell>
        </row>
        <row r="3478">
          <cell r="F3478">
            <v>5.23227450980392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4.09361952366951</v>
          </cell>
        </row>
        <row r="3479">
          <cell r="F3479">
            <v>4.70766245221994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4.54980392156863</v>
          </cell>
        </row>
        <row r="3480">
          <cell r="F3480">
            <v>5.23227450980392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</v>
          </cell>
        </row>
        <row r="3481">
          <cell r="F3481">
            <v>42.1335789473684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</row>
        <row r="3482"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</v>
          </cell>
        </row>
        <row r="3483">
          <cell r="F3483">
            <v>4.648875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4.54980392156863</v>
          </cell>
        </row>
        <row r="3484">
          <cell r="F3484">
            <v>5.23227450980392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3.4806</v>
          </cell>
        </row>
        <row r="3485">
          <cell r="F3485">
            <v>4.00269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188.140540540541</v>
          </cell>
        </row>
        <row r="3486">
          <cell r="F3486">
            <v>216.361621621622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</row>
        <row r="3487">
          <cell r="F3487">
            <v>533.692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12.6567272727273</v>
          </cell>
        </row>
        <row r="3488">
          <cell r="F3488">
            <v>14.5552363636364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</v>
          </cell>
        </row>
        <row r="3489">
          <cell r="F3489">
            <v>63.8387559808613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</v>
          </cell>
        </row>
        <row r="3490">
          <cell r="F3490">
            <v>17.7897333333333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12.6567272727273</v>
          </cell>
        </row>
        <row r="3491">
          <cell r="F3491">
            <v>14.5552363636364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</row>
        <row r="3492">
          <cell r="F3492">
            <v>400.269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69.612</v>
          </cell>
        </row>
        <row r="3493">
          <cell r="F3493">
            <v>80.0538</v>
          </cell>
        </row>
        <row r="3494">
          <cell r="A3494" t="str">
            <v>BAYO</v>
          </cell>
          <cell r="B3494" t="str">
            <v>Bayoneteo de varillas</v>
          </cell>
          <cell r="C3494" t="str">
            <v>PZA</v>
          </cell>
          <cell r="D3494">
            <v>2.78448</v>
          </cell>
        </row>
        <row r="3494">
          <cell r="F3494">
            <v>3.202152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27.8448</v>
          </cell>
        </row>
        <row r="3495">
          <cell r="F3495">
            <v>32.02152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34.806</v>
          </cell>
        </row>
        <row r="3496">
          <cell r="F3496">
            <v>40.0269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</v>
          </cell>
        </row>
        <row r="3497"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8.7015</v>
          </cell>
        </row>
        <row r="3498">
          <cell r="F3498">
            <v>10.006725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34.806</v>
          </cell>
          <cell r="E3499">
            <v>1</v>
          </cell>
          <cell r="F3499">
            <v>40.0269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69.612</v>
          </cell>
          <cell r="E3500">
            <v>1</v>
          </cell>
          <cell r="F3500">
            <v>80.0538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</v>
          </cell>
          <cell r="E3501">
            <v>1</v>
          </cell>
          <cell r="F3501">
            <v>53.3692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</v>
          </cell>
        </row>
        <row r="3502">
          <cell r="F3502">
            <v>100.06725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</v>
          </cell>
          <cell r="E3503">
            <v>1</v>
          </cell>
          <cell r="F3503">
            <v>100.06725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69.612</v>
          </cell>
          <cell r="E3504">
            <v>1</v>
          </cell>
          <cell r="F3504">
            <v>80.0538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63.2836363636364</v>
          </cell>
          <cell r="E3505">
            <v>1</v>
          </cell>
          <cell r="F3505">
            <v>72.7761818181818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139.224</v>
          </cell>
          <cell r="E3506">
            <v>1</v>
          </cell>
          <cell r="F3506">
            <v>160.1076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</v>
          </cell>
          <cell r="E3507">
            <v>1</v>
          </cell>
          <cell r="F3507">
            <v>177.897333333333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99.4457142857143</v>
          </cell>
          <cell r="E3508">
            <v>1</v>
          </cell>
          <cell r="F3508">
            <v>114.362571428571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</v>
          </cell>
          <cell r="E3509">
            <v>1</v>
          </cell>
          <cell r="F3509">
            <v>131.516957142857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107.095384615385</v>
          </cell>
          <cell r="E3510">
            <v>1</v>
          </cell>
          <cell r="F3510">
            <v>123.159692307692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</v>
          </cell>
          <cell r="E3511">
            <v>1</v>
          </cell>
          <cell r="F3511">
            <v>141.633646153846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139.224</v>
          </cell>
        </row>
        <row r="3512">
          <cell r="F3512">
            <v>160.1076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99.4457142857143</v>
          </cell>
          <cell r="E3513">
            <v>1</v>
          </cell>
          <cell r="F3513">
            <v>114.362571428571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</v>
          </cell>
        </row>
        <row r="3514">
          <cell r="F3514">
            <v>702.226315789474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</v>
          </cell>
          <cell r="E3515">
            <v>1</v>
          </cell>
          <cell r="F3515">
            <v>100.06725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</v>
          </cell>
          <cell r="E3516">
            <v>1</v>
          </cell>
          <cell r="F3516">
            <v>70.2226315789474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</v>
          </cell>
        </row>
        <row r="3517"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</row>
        <row r="3518"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</row>
        <row r="3519">
          <cell r="F3519">
            <v>4002.69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</row>
        <row r="3520">
          <cell r="F3520">
            <v>3202.152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3164.18181818182</v>
          </cell>
        </row>
        <row r="3521">
          <cell r="F3521">
            <v>3638.80909090909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</row>
        <row r="3522"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12.6567272727273</v>
          </cell>
        </row>
        <row r="3523">
          <cell r="F3523">
            <v>14.5552363636364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99.4457142857143</v>
          </cell>
        </row>
        <row r="3524">
          <cell r="F3524">
            <v>114.362571428571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</v>
          </cell>
          <cell r="E3525">
            <v>1</v>
          </cell>
          <cell r="F3525">
            <v>100.06725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100.06725</v>
          </cell>
          <cell r="E3526">
            <v>1</v>
          </cell>
          <cell r="F3526">
            <v>115.0773375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63.2836363636364</v>
          </cell>
          <cell r="E3527">
            <v>1</v>
          </cell>
          <cell r="F3527">
            <v>72.7761818181818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</v>
          </cell>
          <cell r="E3528">
            <v>1</v>
          </cell>
          <cell r="F3528">
            <v>83.389375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69.612</v>
          </cell>
          <cell r="E3529">
            <v>1</v>
          </cell>
          <cell r="F3529">
            <v>80.0538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80.0538</v>
          </cell>
          <cell r="E3530">
            <v>1</v>
          </cell>
          <cell r="F3530">
            <v>92.06187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99.4457142857143</v>
          </cell>
          <cell r="E3531">
            <v>1</v>
          </cell>
          <cell r="F3531">
            <v>114.362571428571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</v>
          </cell>
          <cell r="E3532">
            <v>1</v>
          </cell>
          <cell r="F3532">
            <v>131.516957142857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</v>
          </cell>
          <cell r="E3533">
            <v>1</v>
          </cell>
          <cell r="F3533">
            <v>84.2671578947368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</v>
          </cell>
          <cell r="E3534">
            <v>1</v>
          </cell>
          <cell r="F3534">
            <v>97.0349090909091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55.6896</v>
          </cell>
          <cell r="E3535">
            <v>1</v>
          </cell>
          <cell r="F3535">
            <v>64.04304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</v>
          </cell>
          <cell r="E3536">
            <v>1</v>
          </cell>
          <cell r="F3536">
            <v>73.4438532110092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60.5321739130435</v>
          </cell>
          <cell r="E3537">
            <v>1</v>
          </cell>
          <cell r="F3537">
            <v>69.612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69.612</v>
          </cell>
          <cell r="E3538">
            <v>1</v>
          </cell>
          <cell r="F3538">
            <v>80.0538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81.8964705882353</v>
          </cell>
          <cell r="E3539">
            <v>1</v>
          </cell>
          <cell r="F3539">
            <v>94.1809411764706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94.1809411764706</v>
          </cell>
          <cell r="E3540">
            <v>1</v>
          </cell>
          <cell r="F3540">
            <v>108.308082352941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133.423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99.4457142857143</v>
          </cell>
          <cell r="E3542">
            <v>1</v>
          </cell>
          <cell r="F3542">
            <v>114.362571428571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126.567272727273</v>
          </cell>
          <cell r="E3543">
            <v>1</v>
          </cell>
          <cell r="F3543">
            <v>145.552363636364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</v>
          </cell>
          <cell r="E3544">
            <v>1</v>
          </cell>
          <cell r="F3544">
            <v>109.662739726027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</v>
          </cell>
          <cell r="E3545">
            <v>1</v>
          </cell>
          <cell r="F3545">
            <v>104.645490196078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</v>
          </cell>
          <cell r="E3546">
            <v>1</v>
          </cell>
          <cell r="F3546">
            <v>120.34231372549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</v>
          </cell>
          <cell r="E3547">
            <v>1</v>
          </cell>
          <cell r="F3547">
            <v>138.393660784314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125.0840625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125.0840625</v>
          </cell>
          <cell r="E3549">
            <v>1</v>
          </cell>
          <cell r="F3549">
            <v>143.846671875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</v>
          </cell>
          <cell r="E3550">
            <v>1</v>
          </cell>
          <cell r="F3550">
            <v>208.836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75.6652173913044</v>
          </cell>
          <cell r="E3551">
            <v>1</v>
          </cell>
          <cell r="F3551">
            <v>87.015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</v>
          </cell>
          <cell r="E3552">
            <v>1</v>
          </cell>
          <cell r="F3552">
            <v>100.06725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100.06725</v>
          </cell>
          <cell r="E3553">
            <v>1</v>
          </cell>
          <cell r="F3553">
            <v>115.0773375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149.60053875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172.0406195625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105.313161875946</v>
          </cell>
          <cell r="E3557">
            <v>1</v>
          </cell>
          <cell r="F3557">
            <v>121.110136157337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133.423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</v>
          </cell>
          <cell r="E3559">
            <v>1</v>
          </cell>
          <cell r="F3559">
            <v>170.327234042553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296.221276595745</v>
          </cell>
          <cell r="E3560">
            <v>1</v>
          </cell>
          <cell r="F3560">
            <v>340.654468085106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63.2836363636364</v>
          </cell>
          <cell r="E3561">
            <v>1</v>
          </cell>
          <cell r="F3561">
            <v>72.7761818181818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77.3466666666667</v>
          </cell>
          <cell r="E3562">
            <v>1</v>
          </cell>
          <cell r="F3562">
            <v>88.9486666666667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139.224</v>
          </cell>
          <cell r="E3563">
            <v>1</v>
          </cell>
          <cell r="F3563">
            <v>160.1076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81.8964705882353</v>
          </cell>
          <cell r="E3564">
            <v>1</v>
          </cell>
          <cell r="F3564">
            <v>94.1809411764706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63.2836363636364</v>
          </cell>
          <cell r="E3565">
            <v>1</v>
          </cell>
          <cell r="F3565">
            <v>72.7761818181818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69.612</v>
          </cell>
          <cell r="E3566">
            <v>1</v>
          </cell>
          <cell r="F3566">
            <v>80.0538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</v>
          </cell>
          <cell r="E3567">
            <v>1</v>
          </cell>
          <cell r="F3567">
            <v>100.06725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</v>
          </cell>
          <cell r="E3568">
            <v>1</v>
          </cell>
          <cell r="F3568">
            <v>84.2671578947368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66.7115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66.7115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77.3466666666667</v>
          </cell>
          <cell r="E3571">
            <v>1</v>
          </cell>
          <cell r="F3571">
            <v>88.9486666666667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77.3466666666667</v>
          </cell>
          <cell r="E3572">
            <v>1</v>
          </cell>
          <cell r="F3572">
            <v>88.9486666666667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66.2971428571429</v>
          </cell>
          <cell r="E3573">
            <v>1</v>
          </cell>
          <cell r="F3573">
            <v>76.2417142857143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66.2971428571429</v>
          </cell>
          <cell r="E3574">
            <v>1</v>
          </cell>
          <cell r="F3574">
            <v>76.2417142857143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81.8964705882353</v>
          </cell>
          <cell r="E3575">
            <v>1</v>
          </cell>
          <cell r="F3575">
            <v>94.1809411764706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99.4457142857143</v>
          </cell>
          <cell r="E3576">
            <v>1</v>
          </cell>
          <cell r="F3576">
            <v>114.362571428571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126.567272727273</v>
          </cell>
          <cell r="E3577">
            <v>1</v>
          </cell>
          <cell r="F3577">
            <v>145.552363636364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85.9407407407408</v>
          </cell>
          <cell r="E3578">
            <v>1</v>
          </cell>
          <cell r="F3578">
            <v>98.8318518518519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98.8318518518519</v>
          </cell>
          <cell r="E3579">
            <v>1</v>
          </cell>
          <cell r="F3579">
            <v>113.65662962963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</v>
          </cell>
          <cell r="E3580">
            <v>1</v>
          </cell>
          <cell r="F3580">
            <v>121.293636363636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139.224</v>
          </cell>
          <cell r="E3581">
            <v>1</v>
          </cell>
          <cell r="F3581">
            <v>160.1076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105.313161875946</v>
          </cell>
          <cell r="E3582">
            <v>1</v>
          </cell>
          <cell r="F3582">
            <v>121.110136157337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</v>
          </cell>
          <cell r="E3583">
            <v>1</v>
          </cell>
          <cell r="F3583">
            <v>139.276656580938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</row>
        <row r="3585">
          <cell r="F3585">
            <v>266.846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6.9612</v>
          </cell>
        </row>
        <row r="3586">
          <cell r="F3586">
            <v>8.00538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6.9612</v>
          </cell>
        </row>
        <row r="3587">
          <cell r="F3587">
            <v>8.00538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6.9612</v>
          </cell>
        </row>
        <row r="3588">
          <cell r="F3588">
            <v>8.00538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6.9612</v>
          </cell>
        </row>
        <row r="3589">
          <cell r="F3589">
            <v>8.00538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34.806</v>
          </cell>
        </row>
        <row r="3590">
          <cell r="F3590">
            <v>40.0269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69.612</v>
          </cell>
        </row>
        <row r="3591">
          <cell r="F3591">
            <v>80.0538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34.806</v>
          </cell>
        </row>
        <row r="3592">
          <cell r="F3592">
            <v>40.0269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</v>
          </cell>
        </row>
        <row r="3593">
          <cell r="F3593">
            <v>53.3692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</v>
          </cell>
          <cell r="E3594">
            <v>1</v>
          </cell>
          <cell r="F3594">
            <v>100.06725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69.612</v>
          </cell>
          <cell r="E3595">
            <v>1</v>
          </cell>
          <cell r="F3595">
            <v>80.0538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</row>
        <row r="3596">
          <cell r="F3596">
            <v>533.692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278.448</v>
          </cell>
        </row>
        <row r="3597">
          <cell r="F3597">
            <v>320.2152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</row>
        <row r="3598"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</v>
          </cell>
        </row>
        <row r="3599">
          <cell r="F3599">
            <v>53.3692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400.269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</row>
        <row r="3601">
          <cell r="F3601">
            <v>200.1345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34.806</v>
          </cell>
        </row>
        <row r="3602">
          <cell r="F3602">
            <v>40.0269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34.806</v>
          </cell>
          <cell r="E3603">
            <v>1</v>
          </cell>
          <cell r="F3603">
            <v>40.0269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</v>
          </cell>
        </row>
        <row r="3604">
          <cell r="F3604">
            <v>19.6623368421053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10.9625196850394</v>
          </cell>
        </row>
        <row r="3605">
          <cell r="F3605">
            <v>12.6068976377953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</v>
          </cell>
        </row>
        <row r="3606">
          <cell r="F3606">
            <v>6.15798461538461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2.78448</v>
          </cell>
        </row>
        <row r="3607">
          <cell r="F3607">
            <v>3.202152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</v>
          </cell>
        </row>
        <row r="3608"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139.224</v>
          </cell>
        </row>
        <row r="3609">
          <cell r="F3609">
            <v>160.1076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</v>
          </cell>
        </row>
        <row r="3610"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</v>
          </cell>
        </row>
        <row r="3611">
          <cell r="F3611">
            <v>702.226315789474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34.806</v>
          </cell>
          <cell r="E3612">
            <v>1</v>
          </cell>
          <cell r="F3612">
            <v>40.0269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</v>
          </cell>
        </row>
        <row r="3613"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400.269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</row>
        <row r="3615">
          <cell r="F3615">
            <v>266.846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</row>
        <row r="3616">
          <cell r="F3616">
            <v>50.033625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</v>
          </cell>
        </row>
        <row r="3617">
          <cell r="F3617">
            <v>64.6048210526316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139.224</v>
          </cell>
        </row>
        <row r="3618">
          <cell r="F3618">
            <v>160.1076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69.612</v>
          </cell>
        </row>
        <row r="3619">
          <cell r="F3619">
            <v>80.0538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208.836</v>
          </cell>
        </row>
        <row r="3620">
          <cell r="F3620">
            <v>240.1614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104.418</v>
          </cell>
        </row>
        <row r="3621">
          <cell r="F3621">
            <v>120.0807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278.448</v>
          </cell>
        </row>
        <row r="3622">
          <cell r="F3622">
            <v>320.2152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139.224</v>
          </cell>
        </row>
        <row r="3623">
          <cell r="F3623">
            <v>160.1076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99.4457142857143</v>
          </cell>
        </row>
        <row r="3624">
          <cell r="F3624">
            <v>114.362571428571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</v>
          </cell>
        </row>
        <row r="3625">
          <cell r="F3625">
            <v>17.7897333333333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17.403</v>
          </cell>
        </row>
        <row r="3626">
          <cell r="F3626">
            <v>20.01345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19.3366666666667</v>
          </cell>
        </row>
        <row r="3627">
          <cell r="F3627">
            <v>22.2371666666667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</v>
          </cell>
        </row>
        <row r="3628">
          <cell r="F3628">
            <v>44.4743333333333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</v>
          </cell>
        </row>
        <row r="3629">
          <cell r="F3629">
            <v>17.7897333333333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</row>
        <row r="3630"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</v>
          </cell>
        </row>
        <row r="3631">
          <cell r="F3631">
            <v>100.06725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</v>
          </cell>
        </row>
        <row r="3632">
          <cell r="F3632">
            <v>53.3692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77.3466666666667</v>
          </cell>
        </row>
        <row r="3633">
          <cell r="F3633">
            <v>88.9486666666667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</v>
          </cell>
        </row>
        <row r="3634">
          <cell r="F3634">
            <v>100.06725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</v>
          </cell>
        </row>
        <row r="3635">
          <cell r="F3635">
            <v>100.06725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200.636090225564</v>
          </cell>
        </row>
        <row r="3636">
          <cell r="F3636">
            <v>230.731503759398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</v>
          </cell>
        </row>
        <row r="3637">
          <cell r="F3637">
            <v>100.06725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</v>
          </cell>
        </row>
        <row r="3638">
          <cell r="F3638">
            <v>53.3692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77.3466666666667</v>
          </cell>
        </row>
        <row r="3639">
          <cell r="F3639">
            <v>88.9486666666667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</v>
          </cell>
        </row>
        <row r="3640">
          <cell r="F3640">
            <v>100.06725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27.8448</v>
          </cell>
        </row>
        <row r="3641">
          <cell r="F3641">
            <v>32.02152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24.8614285714286</v>
          </cell>
        </row>
        <row r="3642">
          <cell r="F3642">
            <v>28.5906428571429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27.8448</v>
          </cell>
        </row>
        <row r="3643">
          <cell r="F3643">
            <v>32.02152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69.612</v>
          </cell>
        </row>
        <row r="3644">
          <cell r="F3644">
            <v>80.0538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104.418</v>
          </cell>
        </row>
        <row r="3645">
          <cell r="F3645">
            <v>120.0807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34.806</v>
          </cell>
        </row>
        <row r="3646">
          <cell r="F3646">
            <v>40.0269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52.209</v>
          </cell>
        </row>
        <row r="3647">
          <cell r="F3647">
            <v>60.04035</v>
          </cell>
        </row>
        <row r="3648">
          <cell r="A3648" t="str">
            <v>DEM26</v>
          </cell>
          <cell r="B3648" t="str">
            <v>Demolicion de losa de concreto esp. 5 cms</v>
          </cell>
          <cell r="C3648" t="str">
            <v>M2</v>
          </cell>
          <cell r="D3648">
            <v>29.005</v>
          </cell>
        </row>
        <row r="3648">
          <cell r="F3648">
            <v>33.35575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29.005</v>
          </cell>
        </row>
        <row r="3649">
          <cell r="F3649">
            <v>33.35575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</row>
        <row r="3650">
          <cell r="F3650">
            <v>50.033625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69.612</v>
          </cell>
        </row>
        <row r="3651">
          <cell r="F3651">
            <v>80.0538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</v>
          </cell>
        </row>
        <row r="3652"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18.8140540540541</v>
          </cell>
        </row>
        <row r="3653">
          <cell r="F3653">
            <v>21.6361621621622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9.36301754385966</v>
          </cell>
        </row>
        <row r="3654">
          <cell r="F3654">
            <v>10.7674701754386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14.2065306122449</v>
          </cell>
        </row>
        <row r="3655">
          <cell r="F3655">
            <v>16.3375102040816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</row>
        <row r="3656">
          <cell r="F3656">
            <v>25.0168125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</v>
          </cell>
        </row>
        <row r="3657">
          <cell r="F3657">
            <v>57.1812857142857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24.8614285714286</v>
          </cell>
        </row>
        <row r="3658">
          <cell r="F3658">
            <v>28.5906428571429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</v>
          </cell>
        </row>
        <row r="3659">
          <cell r="F3659">
            <v>40.0269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139.224</v>
          </cell>
        </row>
        <row r="3660">
          <cell r="F3660">
            <v>160.1076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</v>
          </cell>
        </row>
        <row r="3661"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139.224</v>
          </cell>
        </row>
        <row r="3662">
          <cell r="F3662">
            <v>160.1076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9.2816</v>
          </cell>
        </row>
        <row r="3663">
          <cell r="F3663">
            <v>10.67384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19.8891428571429</v>
          </cell>
        </row>
        <row r="3664">
          <cell r="F3664">
            <v>22.8725142857143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</row>
        <row r="3665">
          <cell r="F3665">
            <v>800.538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14.0445263157895</v>
          </cell>
        </row>
        <row r="3666">
          <cell r="F3666">
            <v>16.1512052631579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15.6050292397661</v>
          </cell>
        </row>
        <row r="3667">
          <cell r="F3667">
            <v>17.945783625731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27.8448</v>
          </cell>
        </row>
        <row r="3668">
          <cell r="F3668">
            <v>32.02152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</v>
          </cell>
        </row>
        <row r="3669"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</v>
          </cell>
        </row>
        <row r="3670"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</row>
        <row r="3671">
          <cell r="F3671">
            <v>16.01076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19.3366666666667</v>
          </cell>
        </row>
        <row r="3672">
          <cell r="F3672">
            <v>22.2371666666667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</v>
          </cell>
        </row>
        <row r="3673"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34.806</v>
          </cell>
        </row>
        <row r="3674">
          <cell r="F3674">
            <v>40.0269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69.612</v>
          </cell>
        </row>
        <row r="3675">
          <cell r="F3675">
            <v>80.0538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14.0445263157895</v>
          </cell>
        </row>
        <row r="3676">
          <cell r="F3676">
            <v>16.1512052631579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</row>
        <row r="3677">
          <cell r="F3677">
            <v>16.01076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</row>
        <row r="3678">
          <cell r="F3678">
            <v>16.01076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</row>
        <row r="3679">
          <cell r="F3679">
            <v>16.01076</v>
          </cell>
        </row>
        <row r="3680">
          <cell r="A3680" t="str">
            <v>DES12</v>
          </cell>
          <cell r="B3680" t="str">
            <v>Desmontar empedrado</v>
          </cell>
          <cell r="C3680" t="str">
            <v>M2</v>
          </cell>
          <cell r="D3680">
            <v>11.2356210526316</v>
          </cell>
        </row>
        <row r="3680">
          <cell r="F3680">
            <v>12.9209642105263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</row>
        <row r="3681">
          <cell r="F3681">
            <v>133.423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4.88505263157895</v>
          </cell>
        </row>
        <row r="3682">
          <cell r="F3682">
            <v>5.61781052631579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44.9109677419355</v>
          </cell>
        </row>
        <row r="3683">
          <cell r="F3683">
            <v>51.6476129032258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</row>
        <row r="3684">
          <cell r="F3684">
            <v>66.7115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</row>
        <row r="3685">
          <cell r="F3685">
            <v>66.7115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34.806</v>
          </cell>
        </row>
        <row r="3686">
          <cell r="F3686">
            <v>40.0269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</row>
        <row r="3687"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</row>
        <row r="3689"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</row>
        <row r="3690">
          <cell r="F3690">
            <v>266.846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44.9399612653325</v>
          </cell>
        </row>
        <row r="3691">
          <cell r="F3691">
            <v>51.6809554551323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193.366666666667</v>
          </cell>
        </row>
        <row r="3692">
          <cell r="F3692">
            <v>193.366666666667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</row>
        <row r="3693">
          <cell r="F3693">
            <v>66.7115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107.095384615385</v>
          </cell>
        </row>
        <row r="3694">
          <cell r="F3694">
            <v>123.159692307692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107.095384615385</v>
          </cell>
        </row>
        <row r="3695">
          <cell r="F3695">
            <v>123.159692307692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</v>
          </cell>
          <cell r="E3696">
            <v>1</v>
          </cell>
          <cell r="F3696">
            <v>61.5798461538462</v>
          </cell>
        </row>
        <row r="3697">
          <cell r="A3697" t="str">
            <v>ENC02</v>
          </cell>
          <cell r="B3697" t="str">
            <v>Enchape de muro</v>
          </cell>
          <cell r="C3697" t="str">
            <v>M2</v>
          </cell>
          <cell r="D3697">
            <v>46.408</v>
          </cell>
          <cell r="E3697">
            <v>1</v>
          </cell>
          <cell r="F3697">
            <v>53.3692</v>
          </cell>
        </row>
        <row r="3698">
          <cell r="A3698" t="str">
            <v>ENC03</v>
          </cell>
          <cell r="B3698" t="str">
            <v>Enchape de viga</v>
          </cell>
          <cell r="C3698" t="str">
            <v>ML</v>
          </cell>
          <cell r="D3698">
            <v>23.204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</v>
          </cell>
          <cell r="E3699">
            <v>1</v>
          </cell>
          <cell r="F3699">
            <v>100.06725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2.78448</v>
          </cell>
        </row>
        <row r="3700">
          <cell r="F3700">
            <v>3.202152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71.3969230769231</v>
          </cell>
          <cell r="E3701">
            <v>1</v>
          </cell>
          <cell r="F3701">
            <v>82.1064615384615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</v>
          </cell>
          <cell r="E3702">
            <v>1</v>
          </cell>
          <cell r="F3702">
            <v>94.4224307692308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</v>
          </cell>
          <cell r="E3703">
            <v>1</v>
          </cell>
          <cell r="F3703">
            <v>100.06725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100.06725</v>
          </cell>
          <cell r="E3704">
            <v>1</v>
          </cell>
          <cell r="F3704">
            <v>115.0773375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</v>
          </cell>
          <cell r="E3705">
            <v>1</v>
          </cell>
          <cell r="F3705">
            <v>112.356210526316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112.277419354839</v>
          </cell>
          <cell r="E3706">
            <v>1</v>
          </cell>
          <cell r="F3706">
            <v>129.119032258065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129.119032258065</v>
          </cell>
          <cell r="E3707">
            <v>1</v>
          </cell>
          <cell r="F3707">
            <v>148.486887096774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27.8448</v>
          </cell>
          <cell r="E3708">
            <v>1</v>
          </cell>
          <cell r="F3708">
            <v>32.02152</v>
          </cell>
        </row>
        <row r="3709">
          <cell r="A3709" t="str">
            <v>ENJ08</v>
          </cell>
          <cell r="B3709" t="str">
            <v>Enjarre apalillado en losa inclinada</v>
          </cell>
          <cell r="C3709" t="str">
            <v>M2</v>
          </cell>
          <cell r="D3709">
            <v>97.7010526315789</v>
          </cell>
          <cell r="E3709">
            <v>1</v>
          </cell>
          <cell r="F3709">
            <v>112.356210526316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112.277419354839</v>
          </cell>
          <cell r="E3710">
            <v>1</v>
          </cell>
          <cell r="F3710">
            <v>129.119032258065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102.586105263158</v>
          </cell>
          <cell r="E3711">
            <v>1</v>
          </cell>
          <cell r="F3711">
            <v>117.974021052632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117.899558173785</v>
          </cell>
          <cell r="E3712">
            <v>1</v>
          </cell>
          <cell r="F3712">
            <v>135.584491899853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99.4457142857143</v>
          </cell>
          <cell r="E3713">
            <v>1</v>
          </cell>
          <cell r="F3713">
            <v>114.362571428571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</v>
          </cell>
          <cell r="E3714">
            <v>1</v>
          </cell>
          <cell r="F3714">
            <v>63.8387559808613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</v>
          </cell>
          <cell r="E3715">
            <v>1</v>
          </cell>
          <cell r="F3715">
            <v>126.400736842105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</v>
          </cell>
          <cell r="E3716">
            <v>1</v>
          </cell>
          <cell r="F3716">
            <v>145.437393364929</v>
          </cell>
        </row>
        <row r="3717">
          <cell r="A3717" t="str">
            <v>ENJ16</v>
          </cell>
          <cell r="B3717" t="str">
            <v>Enjarre pulido</v>
          </cell>
          <cell r="C3717" t="str">
            <v>M2</v>
          </cell>
          <cell r="D3717">
            <v>85.4884210526316</v>
          </cell>
          <cell r="E3717">
            <v>1</v>
          </cell>
          <cell r="F3717">
            <v>98.3116842105263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</v>
          </cell>
          <cell r="E3718">
            <v>1</v>
          </cell>
          <cell r="F3718">
            <v>112.356210526316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</v>
          </cell>
          <cell r="E3719">
            <v>1</v>
          </cell>
          <cell r="F3719">
            <v>100.06725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100.06725</v>
          </cell>
          <cell r="E3720">
            <v>1</v>
          </cell>
          <cell r="F3720">
            <v>115.0773375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99.9215311004785</v>
          </cell>
          <cell r="E3721">
            <v>1</v>
          </cell>
          <cell r="F3721">
            <v>114.90976076555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</v>
          </cell>
          <cell r="E3722">
            <v>1</v>
          </cell>
          <cell r="F3722">
            <v>132.083027259684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99.9215311004785</v>
          </cell>
          <cell r="E3723">
            <v>1</v>
          </cell>
          <cell r="F3723">
            <v>114.90976076555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</v>
          </cell>
          <cell r="E3724">
            <v>1</v>
          </cell>
          <cell r="F3724">
            <v>132.083027259684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</v>
          </cell>
          <cell r="E3725">
            <v>1</v>
          </cell>
          <cell r="F3725">
            <v>177.897333333333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71.0326530612245</v>
          </cell>
          <cell r="E3726">
            <v>1</v>
          </cell>
          <cell r="F3726">
            <v>81.6875510204082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81.6875510204082</v>
          </cell>
          <cell r="E3727">
            <v>1</v>
          </cell>
          <cell r="F3727">
            <v>93.9406836734694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</v>
          </cell>
          <cell r="E3728">
            <v>1</v>
          </cell>
          <cell r="F3728">
            <v>106.193816326531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102.997346938776</v>
          </cell>
          <cell r="E3729">
            <v>1</v>
          </cell>
          <cell r="F3729">
            <v>118.446948979592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</v>
          </cell>
          <cell r="E3730">
            <v>1</v>
          </cell>
          <cell r="F3730">
            <v>98.2255214723926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</v>
          </cell>
          <cell r="E3731">
            <v>1</v>
          </cell>
          <cell r="F3731">
            <v>112.959349693252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</v>
          </cell>
          <cell r="E3732">
            <v>1</v>
          </cell>
          <cell r="F3732">
            <v>118.159766183036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118.159766183036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156.266290777065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</v>
          </cell>
          <cell r="E3735">
            <v>1</v>
          </cell>
          <cell r="F3735">
            <v>109.802660287081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109.81316872428</v>
          </cell>
          <cell r="E3736">
            <v>1</v>
          </cell>
          <cell r="F3736">
            <v>126.285144032922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126.267823343849</v>
          </cell>
          <cell r="E3737">
            <v>1</v>
          </cell>
          <cell r="F3737">
            <v>145.207996845426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85.4884210526316</v>
          </cell>
          <cell r="E3738">
            <v>1</v>
          </cell>
          <cell r="F3738">
            <v>98.3116842105263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</v>
          </cell>
          <cell r="E3739">
            <v>1</v>
          </cell>
          <cell r="F3739">
            <v>112.356210526316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</v>
          </cell>
          <cell r="E3740">
            <v>1</v>
          </cell>
          <cell r="F3740">
            <v>126.400736842105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126.401402112643</v>
          </cell>
          <cell r="E3741">
            <v>1</v>
          </cell>
          <cell r="F3741">
            <v>145.361612429539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</v>
          </cell>
          <cell r="E3742">
            <v>1</v>
          </cell>
          <cell r="F3742">
            <v>167.16585429397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</v>
          </cell>
          <cell r="E3743">
            <v>1</v>
          </cell>
          <cell r="F3743">
            <v>111.185833333333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</v>
          </cell>
          <cell r="E3744">
            <v>1</v>
          </cell>
          <cell r="F3744">
            <v>127.863708333333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94.7102040816327</v>
          </cell>
          <cell r="E3745">
            <v>1</v>
          </cell>
          <cell r="F3745">
            <v>108.916734693878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108.916734693878</v>
          </cell>
          <cell r="E3746">
            <v>1</v>
          </cell>
          <cell r="F3746">
            <v>125.254244897959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</v>
          </cell>
          <cell r="E3747">
            <v>1</v>
          </cell>
          <cell r="F3747">
            <v>144.042381632653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</v>
          </cell>
          <cell r="E3748">
            <v>1</v>
          </cell>
          <cell r="F3748">
            <v>165.648738877551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</v>
          </cell>
          <cell r="E3749">
            <v>1</v>
          </cell>
          <cell r="F3749">
            <v>94.6262411347518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94.6262411347518</v>
          </cell>
          <cell r="E3750">
            <v>1</v>
          </cell>
          <cell r="F3750">
            <v>108.820177304965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108.820177304965</v>
          </cell>
          <cell r="E3751">
            <v>1</v>
          </cell>
          <cell r="F3751">
            <v>125.143203900709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</v>
          </cell>
          <cell r="E3752">
            <v>1</v>
          </cell>
          <cell r="F3752">
            <v>111.185833333333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</v>
          </cell>
          <cell r="E3753">
            <v>1</v>
          </cell>
          <cell r="F3753">
            <v>127.863708333333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</v>
          </cell>
          <cell r="E3754">
            <v>1</v>
          </cell>
          <cell r="F3754">
            <v>78.4841176470588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75.0129310344828</v>
          </cell>
          <cell r="E3755">
            <v>1</v>
          </cell>
          <cell r="F3755">
            <v>86.2648706896552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</v>
          </cell>
          <cell r="E3756">
            <v>1</v>
          </cell>
          <cell r="F3756">
            <v>100.06725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</v>
          </cell>
          <cell r="E3757">
            <v>1</v>
          </cell>
          <cell r="F3757">
            <v>100.06725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77.3466666666667</v>
          </cell>
          <cell r="E3758">
            <v>1</v>
          </cell>
          <cell r="F3758">
            <v>88.9486666666667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9.2816</v>
          </cell>
        </row>
        <row r="3759">
          <cell r="F3759">
            <v>10.67384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266.846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</row>
        <row r="3761">
          <cell r="F3761">
            <v>266.846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</v>
          </cell>
        </row>
        <row r="3763">
          <cell r="F3763">
            <v>44.4743333333333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9.73594405594406</v>
          </cell>
        </row>
        <row r="3764">
          <cell r="F3764">
            <v>11.1963356643357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177.638277511962</v>
          </cell>
        </row>
        <row r="3765">
          <cell r="F3765">
            <v>204.284019138756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</v>
          </cell>
        </row>
        <row r="3766">
          <cell r="F3766">
            <v>191.516267942584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</v>
          </cell>
        </row>
        <row r="3767">
          <cell r="F3767">
            <v>191.516267942584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</v>
          </cell>
        </row>
        <row r="3768">
          <cell r="F3768">
            <v>191.516267942584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191.516267942584</v>
          </cell>
        </row>
        <row r="3769">
          <cell r="F3769">
            <v>220.243708133971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278.448</v>
          </cell>
        </row>
        <row r="3770">
          <cell r="F3770">
            <v>320.2152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320.2152</v>
          </cell>
        </row>
        <row r="3771">
          <cell r="F3771">
            <v>368.24748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</v>
          </cell>
        </row>
        <row r="3772">
          <cell r="F3772">
            <v>383.032535885167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</v>
          </cell>
        </row>
        <row r="3773">
          <cell r="F3773">
            <v>440.487416267943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</v>
          </cell>
        </row>
        <row r="3774">
          <cell r="F3774">
            <v>148.247777777778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</v>
          </cell>
        </row>
        <row r="3775">
          <cell r="F3775">
            <v>383.032535885167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</v>
          </cell>
          <cell r="E3776">
            <v>1</v>
          </cell>
          <cell r="F3776">
            <v>46.0079310344828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34.806</v>
          </cell>
          <cell r="E3777">
            <v>1</v>
          </cell>
          <cell r="F3777">
            <v>40.0269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</v>
          </cell>
          <cell r="E3778">
            <v>1</v>
          </cell>
          <cell r="F3778">
            <v>51.3165384615385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</row>
        <row r="3779">
          <cell r="F3779">
            <v>133.423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</row>
        <row r="3780"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</row>
        <row r="3781"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</v>
          </cell>
        </row>
        <row r="3782">
          <cell r="F3782">
            <v>19.1516267942584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</row>
        <row r="3783">
          <cell r="F3783">
            <v>100</v>
          </cell>
        </row>
        <row r="3784">
          <cell r="A3784" t="str">
            <v>GALL1</v>
          </cell>
          <cell r="B3784" t="str">
            <v>Gallada de material o escombro</v>
          </cell>
          <cell r="C3784" t="str">
            <v>VIAJE</v>
          </cell>
          <cell r="D3784">
            <v>386.733333333333</v>
          </cell>
        </row>
        <row r="3784">
          <cell r="F3784">
            <v>444.743333333333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</row>
        <row r="3785">
          <cell r="F3785">
            <v>400.269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</row>
        <row r="3786">
          <cell r="F3786">
            <v>133.423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</v>
          </cell>
          <cell r="E3787">
            <v>1</v>
          </cell>
          <cell r="F3787">
            <v>100.06725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69.612</v>
          </cell>
        </row>
        <row r="3788">
          <cell r="F3788">
            <v>80.0538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</v>
          </cell>
        </row>
        <row r="3789">
          <cell r="F3789">
            <v>53.3692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139.224</v>
          </cell>
        </row>
        <row r="3790">
          <cell r="F3790">
            <v>160.1076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9.2816</v>
          </cell>
        </row>
        <row r="3791">
          <cell r="F3791">
            <v>10.67384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</v>
          </cell>
        </row>
        <row r="3792">
          <cell r="F3792">
            <v>196.623368421053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27.8448</v>
          </cell>
        </row>
        <row r="3793">
          <cell r="F3793">
            <v>32.02152</v>
          </cell>
        </row>
        <row r="3794">
          <cell r="A3794" t="str">
            <v>HAB02</v>
          </cell>
          <cell r="B3794" t="str">
            <v>Habilitar cimbra para columna o dado</v>
          </cell>
          <cell r="C3794" t="str">
            <v>ML</v>
          </cell>
          <cell r="D3794">
            <v>46.408</v>
          </cell>
        </row>
        <row r="3794">
          <cell r="F3794">
            <v>53.3692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34.806</v>
          </cell>
        </row>
        <row r="3795">
          <cell r="F3795">
            <v>40.0269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</row>
        <row r="3796"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</v>
          </cell>
        </row>
        <row r="3797"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</row>
        <row r="3798"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</row>
        <row r="3799"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</row>
        <row r="3800">
          <cell r="F3800">
            <v>200.1345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</row>
        <row r="3801"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</row>
        <row r="3802">
          <cell r="F3802">
            <v>93.3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</v>
          </cell>
        </row>
        <row r="3803"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34.806</v>
          </cell>
          <cell r="E3804">
            <v>1</v>
          </cell>
          <cell r="F3804">
            <v>40.0269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19.8891428571429</v>
          </cell>
          <cell r="E3805">
            <v>1</v>
          </cell>
          <cell r="F3805">
            <v>22.8725142857143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</v>
          </cell>
          <cell r="E3806">
            <v>1</v>
          </cell>
          <cell r="F3806">
            <v>17.7897333333333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19.8891428571429</v>
          </cell>
          <cell r="E3807">
            <v>1</v>
          </cell>
          <cell r="F3807">
            <v>22.8725142857143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</v>
          </cell>
          <cell r="E3809">
            <v>1</v>
          </cell>
          <cell r="F3809">
            <v>17.7897333333333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69.612</v>
          </cell>
          <cell r="E3810">
            <v>1</v>
          </cell>
          <cell r="F3810">
            <v>80.0538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27.8448</v>
          </cell>
        </row>
        <row r="3811">
          <cell r="F3811">
            <v>32.02152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76.6651982378855</v>
          </cell>
        </row>
        <row r="3812">
          <cell r="F3812">
            <v>88.1649779735683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</v>
          </cell>
        </row>
        <row r="3813">
          <cell r="F3813">
            <v>25.8238064516129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</v>
          </cell>
        </row>
        <row r="3814">
          <cell r="F3814">
            <v>42.1335789473684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</row>
        <row r="3815">
          <cell r="F3815">
            <v>16.01076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17.403</v>
          </cell>
        </row>
        <row r="3816">
          <cell r="F3816">
            <v>20.01345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34.806</v>
          </cell>
        </row>
        <row r="3817">
          <cell r="F3817">
            <v>40.0269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81.8964705882353</v>
          </cell>
        </row>
        <row r="3818">
          <cell r="F3818">
            <v>94.1809411764706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</v>
          </cell>
        </row>
        <row r="3819">
          <cell r="F3819">
            <v>122.781901840491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</v>
          </cell>
        </row>
        <row r="3820">
          <cell r="F3820">
            <v>100.06725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409.482352941177</v>
          </cell>
        </row>
        <row r="3821">
          <cell r="F3821">
            <v>470.904705882353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63.2836363636364</v>
          </cell>
        </row>
        <row r="3822">
          <cell r="F3822">
            <v>72.7761818181818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78.6576271186441</v>
          </cell>
        </row>
        <row r="3823">
          <cell r="F3823">
            <v>90.4562711864407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</row>
        <row r="3824"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34.806</v>
          </cell>
        </row>
        <row r="3825">
          <cell r="F3825">
            <v>40.0269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</v>
          </cell>
        </row>
        <row r="3826">
          <cell r="F3826">
            <v>100.06725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</row>
        <row r="3827">
          <cell r="F3827">
            <v>51.75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</row>
        <row r="3828">
          <cell r="F3828">
            <v>128.08608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99.4457142857143</v>
          </cell>
        </row>
        <row r="3829">
          <cell r="F3829">
            <v>114.362571428571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69.612</v>
          </cell>
        </row>
        <row r="3830">
          <cell r="F3830">
            <v>80.0538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</row>
        <row r="3831">
          <cell r="F3831">
            <v>200.1345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</row>
        <row r="3832">
          <cell r="F3832">
            <v>200.1345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</row>
        <row r="3833">
          <cell r="F3833">
            <v>133.423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</v>
          </cell>
        </row>
        <row r="3834">
          <cell r="F3834">
            <v>61.5798461538462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</v>
          </cell>
        </row>
        <row r="3835">
          <cell r="F3835">
            <v>53.3692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</row>
        <row r="3836">
          <cell r="F3836">
            <v>200.1345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</row>
        <row r="3837">
          <cell r="F3837">
            <v>133.423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</v>
          </cell>
        </row>
        <row r="3838">
          <cell r="F3838">
            <v>100.06725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</row>
        <row r="3839">
          <cell r="F3839">
            <v>400.269</v>
          </cell>
        </row>
        <row r="3840">
          <cell r="A3840" t="str">
            <v>INS19</v>
          </cell>
          <cell r="B3840" t="str">
            <v>Instalacion de loseta de vinil en pisos</v>
          </cell>
          <cell r="C3840" t="str">
            <v>M2</v>
          </cell>
          <cell r="D3840">
            <v>49.7228571428571</v>
          </cell>
        </row>
        <row r="3840">
          <cell r="F3840">
            <v>57.1812857142857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278.448</v>
          </cell>
        </row>
        <row r="3844">
          <cell r="F3844">
            <v>320.2152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</v>
          </cell>
        </row>
        <row r="3845">
          <cell r="F3845">
            <v>33.6360504201681</v>
          </cell>
        </row>
        <row r="3846">
          <cell r="A3846" t="str">
            <v>JUNT2</v>
          </cell>
          <cell r="B3846" t="str">
            <v>Junteo de ladrillo cuarteron con color</v>
          </cell>
          <cell r="C3846" t="str">
            <v>M2</v>
          </cell>
          <cell r="D3846">
            <v>61.0631578947368</v>
          </cell>
        </row>
        <row r="3846">
          <cell r="F3846">
            <v>70.2226315789474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</v>
          </cell>
        </row>
        <row r="3847">
          <cell r="F3847">
            <v>42.1335789473684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</v>
          </cell>
        </row>
        <row r="3848"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6.62971428571429</v>
          </cell>
          <cell r="E3849">
            <v>1</v>
          </cell>
          <cell r="F3849">
            <v>7.62417142857143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6.62971428571429</v>
          </cell>
          <cell r="E3850">
            <v>1</v>
          </cell>
          <cell r="F3850">
            <v>7.62417142857143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6.62971428571429</v>
          </cell>
          <cell r="E3851">
            <v>1</v>
          </cell>
          <cell r="F3851">
            <v>7.62417142857143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7.73466666666667</v>
          </cell>
          <cell r="E3852">
            <v>1</v>
          </cell>
          <cell r="F3852">
            <v>8.89486666666667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5.56896</v>
          </cell>
          <cell r="E3853">
            <v>1</v>
          </cell>
          <cell r="F3853">
            <v>6.404304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</row>
        <row r="3855">
          <cell r="F3855">
            <v>3.45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81.8964705882353</v>
          </cell>
          <cell r="E3856">
            <v>1</v>
          </cell>
          <cell r="F3856">
            <v>94.1809411764706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34.806</v>
          </cell>
        </row>
        <row r="3857">
          <cell r="F3857">
            <v>40.0269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</v>
          </cell>
          <cell r="E3858">
            <v>1</v>
          </cell>
          <cell r="F3858">
            <v>112.751830985915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38.0393442622951</v>
          </cell>
        </row>
        <row r="3859">
          <cell r="F3859">
            <v>43.7452459016394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122.126315789474</v>
          </cell>
          <cell r="E3860">
            <v>1</v>
          </cell>
          <cell r="F3860">
            <v>140.445263157895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</row>
        <row r="3861">
          <cell r="F3861">
            <v>50.033625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163.792941176471</v>
          </cell>
          <cell r="E3862">
            <v>1</v>
          </cell>
          <cell r="F3862">
            <v>188.361882352941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51.1852941176471</v>
          </cell>
        </row>
        <row r="3863">
          <cell r="F3863">
            <v>58.8630882352941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</row>
        <row r="3864"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</row>
        <row r="3865"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</row>
        <row r="3866"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</row>
        <row r="3867"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</row>
        <row r="3868"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</row>
        <row r="3869"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</row>
        <row r="3870"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</row>
        <row r="3871"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</row>
        <row r="3872"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</row>
        <row r="3873"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</row>
        <row r="3874"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</row>
        <row r="3875"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</row>
        <row r="3876"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</row>
        <row r="3877"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</row>
        <row r="3878"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</row>
        <row r="3879"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</row>
        <row r="3880"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</row>
        <row r="3881"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</row>
        <row r="3882"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</row>
        <row r="3883"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</row>
        <row r="3884"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</row>
        <row r="3885"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</row>
        <row r="3886"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</row>
        <row r="3887"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</row>
        <row r="3888"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</row>
        <row r="3889"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</row>
        <row r="3890"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</row>
        <row r="3891"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</row>
        <row r="3892"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</row>
        <row r="3893"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</row>
        <row r="3894">
          <cell r="F3894">
            <v>900</v>
          </cell>
        </row>
        <row r="3895">
          <cell r="A3895" t="str">
            <v>MSCUR1</v>
          </cell>
          <cell r="B3895" t="str">
            <v>Muro de soga curvo</v>
          </cell>
          <cell r="C3895" t="str">
            <v>M2</v>
          </cell>
          <cell r="D3895">
            <v>114.118032786885</v>
          </cell>
          <cell r="E3895">
            <v>1</v>
          </cell>
          <cell r="F3895">
            <v>131.235737704918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</v>
          </cell>
          <cell r="E3896">
            <v>1</v>
          </cell>
          <cell r="F3896">
            <v>150.921098360656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</v>
          </cell>
          <cell r="E3897">
            <v>1</v>
          </cell>
          <cell r="F3897">
            <v>131.235737704918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</v>
          </cell>
          <cell r="E3898">
            <v>1</v>
          </cell>
          <cell r="F3898">
            <v>150.921098360656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150.921098360656</v>
          </cell>
          <cell r="E3899">
            <v>1</v>
          </cell>
          <cell r="F3899">
            <v>173.559263114754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168.534315789474</v>
          </cell>
          <cell r="E3900">
            <v>1</v>
          </cell>
          <cell r="F3900">
            <v>193.814463157895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</v>
          </cell>
          <cell r="E3901">
            <v>1</v>
          </cell>
          <cell r="F3901">
            <v>150.921098360656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183.189473684211</v>
          </cell>
          <cell r="E3902">
            <v>1</v>
          </cell>
          <cell r="F3902">
            <v>210.667894736842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135.168932038835</v>
          </cell>
          <cell r="E3903">
            <v>1</v>
          </cell>
          <cell r="F3903">
            <v>155.44427184466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</v>
          </cell>
          <cell r="E3904">
            <v>1</v>
          </cell>
          <cell r="F3904">
            <v>178.760912621359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</v>
          </cell>
          <cell r="E3905">
            <v>1</v>
          </cell>
          <cell r="F3905">
            <v>205.575049514563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</v>
          </cell>
          <cell r="E3906">
            <v>1</v>
          </cell>
          <cell r="F3906">
            <v>236.411306941747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</v>
          </cell>
          <cell r="E3907">
            <v>1</v>
          </cell>
          <cell r="F3907">
            <v>271.87300298301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216.186335403727</v>
          </cell>
          <cell r="E3908">
            <v>1</v>
          </cell>
          <cell r="F3908">
            <v>248.614285714286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248.614285714286</v>
          </cell>
          <cell r="E3909">
            <v>1</v>
          </cell>
          <cell r="F3909">
            <v>285.906428571428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</v>
          </cell>
          <cell r="E3910">
            <v>1</v>
          </cell>
          <cell r="F3910">
            <v>328.792392857143</v>
          </cell>
        </row>
        <row r="3911">
          <cell r="A3911" t="str">
            <v>M35</v>
          </cell>
          <cell r="B3911" t="str">
            <v>Muro de 35 cms de espesor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200.1345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66.7115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</v>
          </cell>
        </row>
        <row r="3913">
          <cell r="F3913">
            <v>245.563803680982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</row>
        <row r="3914">
          <cell r="F3914">
            <v>133.423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</row>
        <row r="3915">
          <cell r="F3915">
            <v>16.01076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484.640506329114</v>
          </cell>
          <cell r="E3916">
            <v>1</v>
          </cell>
          <cell r="F3916">
            <v>557.336582278481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</v>
          </cell>
          <cell r="E3917">
            <v>1</v>
          </cell>
          <cell r="F3917">
            <v>704.47344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773.466666666667</v>
          </cell>
          <cell r="E3918">
            <v>1</v>
          </cell>
          <cell r="F3918">
            <v>889.486666666667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</v>
          </cell>
          <cell r="E3919">
            <v>1</v>
          </cell>
          <cell r="F3919">
            <v>1035.99035294118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</v>
          </cell>
          <cell r="E3920">
            <v>1</v>
          </cell>
          <cell r="F3920">
            <v>838.658857142857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</v>
          </cell>
          <cell r="E3921">
            <v>1</v>
          </cell>
          <cell r="F3921">
            <v>967.683296703297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</v>
          </cell>
          <cell r="E3922">
            <v>1</v>
          </cell>
          <cell r="F3922">
            <v>1314.31611940298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</v>
          </cell>
          <cell r="E3923">
            <v>1</v>
          </cell>
          <cell r="F3923">
            <v>440.2959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</v>
          </cell>
          <cell r="E3924">
            <v>1</v>
          </cell>
          <cell r="F3924">
            <v>517.995176470588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1629.2170212766</v>
          </cell>
          <cell r="E3925">
            <v>1</v>
          </cell>
          <cell r="F3925">
            <v>1873.59957446809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</v>
          </cell>
          <cell r="E3926">
            <v>1</v>
          </cell>
          <cell r="F3926">
            <v>2840.61870967742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</v>
          </cell>
          <cell r="E3927">
            <v>1</v>
          </cell>
          <cell r="F3927">
            <v>1227.81901840491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</v>
          </cell>
          <cell r="E3928">
            <v>1</v>
          </cell>
          <cell r="F3928">
            <v>1534.77377300613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</row>
        <row r="3935">
          <cell r="F3935">
            <v>800.538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278.448</v>
          </cell>
        </row>
        <row r="3936">
          <cell r="F3936">
            <v>320.2152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198.891428571429</v>
          </cell>
        </row>
        <row r="3937">
          <cell r="F3937">
            <v>228.725142857143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</v>
          </cell>
          <cell r="E3938">
            <v>1</v>
          </cell>
          <cell r="F3938">
            <v>148.247777777778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99.4457142857143</v>
          </cell>
          <cell r="E3939">
            <v>1</v>
          </cell>
          <cell r="F3939">
            <v>114.362571428571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</v>
          </cell>
          <cell r="E3940">
            <v>1</v>
          </cell>
          <cell r="F3940">
            <v>131.235737704918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69.612</v>
          </cell>
          <cell r="E3941">
            <v>1</v>
          </cell>
          <cell r="F3941">
            <v>80.0538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80.0538</v>
          </cell>
          <cell r="E3942">
            <v>1</v>
          </cell>
          <cell r="F3942">
            <v>92.06187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122.74916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</v>
          </cell>
          <cell r="E3945">
            <v>1</v>
          </cell>
          <cell r="F3945">
            <v>148.247777777778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148.247777777778</v>
          </cell>
          <cell r="E3946">
            <v>1</v>
          </cell>
          <cell r="F3946">
            <v>170.484944444444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</v>
          </cell>
          <cell r="E3947">
            <v>1</v>
          </cell>
          <cell r="F3947">
            <v>138.75992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148.5056</v>
          </cell>
          <cell r="E3949">
            <v>1</v>
          </cell>
          <cell r="F3949">
            <v>170.78144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151.330434782609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200.1345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200.1345</v>
          </cell>
          <cell r="E3952">
            <v>1</v>
          </cell>
          <cell r="F3952">
            <v>230.154675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</v>
          </cell>
          <cell r="E3953">
            <v>1</v>
          </cell>
          <cell r="F3953">
            <v>148.247777777778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148.247777777778</v>
          </cell>
          <cell r="E3954">
            <v>1</v>
          </cell>
          <cell r="F3954">
            <v>170.484944444444</v>
          </cell>
        </row>
        <row r="3955">
          <cell r="A3955" t="str">
            <v>MPIÑASO</v>
          </cell>
          <cell r="B3955" t="str">
            <v>Muro de piña de soga</v>
          </cell>
          <cell r="C3955" t="str">
            <v>M2</v>
          </cell>
          <cell r="D3955">
            <v>73.2757894736842</v>
          </cell>
          <cell r="E3955">
            <v>1</v>
          </cell>
          <cell r="F3955">
            <v>84.2671578947368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69.612</v>
          </cell>
          <cell r="E3956">
            <v>1</v>
          </cell>
          <cell r="F3956">
            <v>80.0538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80.0538</v>
          </cell>
          <cell r="E3957">
            <v>1</v>
          </cell>
          <cell r="F3957">
            <v>92.06187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69.612</v>
          </cell>
          <cell r="E3958">
            <v>1</v>
          </cell>
          <cell r="F3958">
            <v>80.0538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17.403</v>
          </cell>
          <cell r="E3959">
            <v>1</v>
          </cell>
          <cell r="F3959">
            <v>20.01345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16.677875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</v>
          </cell>
        </row>
        <row r="3961"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69.612</v>
          </cell>
          <cell r="E3962">
            <v>1</v>
          </cell>
          <cell r="F3962">
            <v>80.0538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</v>
          </cell>
          <cell r="E3963">
            <v>1</v>
          </cell>
          <cell r="F3963">
            <v>246.319384615385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</v>
          </cell>
          <cell r="E3964">
            <v>1</v>
          </cell>
          <cell r="F3964">
            <v>168.534315789474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</v>
          </cell>
          <cell r="E3965">
            <v>1</v>
          </cell>
          <cell r="F3965">
            <v>168.534315789474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266.846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</v>
          </cell>
        </row>
        <row r="3967">
          <cell r="F3967">
            <v>100.06725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</row>
        <row r="3968">
          <cell r="F3968">
            <v>533.692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</row>
        <row r="3969">
          <cell r="F3969">
            <v>533.692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139.224</v>
          </cell>
        </row>
        <row r="3970">
          <cell r="F3970">
            <v>160.1076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122.74916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</v>
          </cell>
          <cell r="E3973">
            <v>1</v>
          </cell>
          <cell r="F3973">
            <v>126.400736842105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</v>
          </cell>
          <cell r="E3974">
            <v>1</v>
          </cell>
          <cell r="F3974">
            <v>145.360847368421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</v>
          </cell>
          <cell r="E3975">
            <v>1</v>
          </cell>
          <cell r="F3975">
            <v>167.164974473684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</v>
          </cell>
          <cell r="E3976">
            <v>1</v>
          </cell>
          <cell r="F3976">
            <v>192.239720644737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139.224</v>
          </cell>
          <cell r="E3977">
            <v>1</v>
          </cell>
          <cell r="F3977">
            <v>160.1076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158.764210526316</v>
          </cell>
          <cell r="E3978">
            <v>1</v>
          </cell>
          <cell r="F3978">
            <v>182.578842105263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183.189473684211</v>
          </cell>
          <cell r="E3979">
            <v>1</v>
          </cell>
          <cell r="F3979">
            <v>210.667894736842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219.827368421053</v>
          </cell>
          <cell r="E3980">
            <v>1</v>
          </cell>
          <cell r="F3980">
            <v>252.801473684211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</v>
          </cell>
          <cell r="E3981">
            <v>1</v>
          </cell>
          <cell r="F3981">
            <v>292.126147368421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</v>
          </cell>
          <cell r="E3982">
            <v>1</v>
          </cell>
          <cell r="F3982">
            <v>148.247777777778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148.247777777778</v>
          </cell>
          <cell r="E3983">
            <v>1</v>
          </cell>
          <cell r="F3983">
            <v>170.484944444444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</v>
          </cell>
          <cell r="E3984">
            <v>1</v>
          </cell>
          <cell r="F3984">
            <v>57.1812857142857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99.4457142857143</v>
          </cell>
          <cell r="E3985">
            <v>1</v>
          </cell>
          <cell r="F3985">
            <v>114.362571428571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</v>
          </cell>
        </row>
        <row r="3986">
          <cell r="F3986">
            <v>100.06725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63.2836363636364</v>
          </cell>
          <cell r="E3987">
            <v>1</v>
          </cell>
          <cell r="F3987">
            <v>72.7761818181818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34.806</v>
          </cell>
        </row>
        <row r="3988">
          <cell r="F3988">
            <v>40.0269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</row>
        <row r="3989">
          <cell r="F3989">
            <v>266.846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19.8891428571429</v>
          </cell>
        </row>
        <row r="3990">
          <cell r="F3990">
            <v>22.8725142857143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19.5402105263158</v>
          </cell>
        </row>
        <row r="3991">
          <cell r="F3991">
            <v>22.4712421052632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</v>
          </cell>
          <cell r="E3992">
            <v>1</v>
          </cell>
          <cell r="F3992">
            <v>100.06725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</v>
          </cell>
          <cell r="E3993">
            <v>1</v>
          </cell>
          <cell r="F3993">
            <v>57.1812857142857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</row>
        <row r="3994"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</v>
          </cell>
        </row>
        <row r="3995">
          <cell r="F3995">
            <v>61.5798461538462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</v>
          </cell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12.6567272727273</v>
          </cell>
        </row>
        <row r="3997">
          <cell r="F3997">
            <v>14.5552363636364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69.612</v>
          </cell>
        </row>
        <row r="3998">
          <cell r="F3998">
            <v>80.0538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</row>
        <row r="3999">
          <cell r="F3999">
            <v>800.538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</v>
          </cell>
        </row>
        <row r="4000">
          <cell r="F4000">
            <v>100.06725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</row>
        <row r="4001">
          <cell r="F4001">
            <v>266.846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</v>
          </cell>
        </row>
        <row r="4002">
          <cell r="F4002">
            <v>44.4743333333333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88.8191387559809</v>
          </cell>
        </row>
        <row r="4003">
          <cell r="F4003">
            <v>102.142009569378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</v>
          </cell>
        </row>
        <row r="4004">
          <cell r="F4004">
            <v>44.4743333333333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</row>
        <row r="4005"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</row>
        <row r="4006"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34.806</v>
          </cell>
        </row>
        <row r="4007">
          <cell r="F4007">
            <v>40.0269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</v>
          </cell>
        </row>
        <row r="4008">
          <cell r="F4008">
            <v>53.3692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</v>
          </cell>
        </row>
        <row r="4009">
          <cell r="F4009">
            <v>84.2671578947368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34.806</v>
          </cell>
        </row>
        <row r="4010">
          <cell r="F4010">
            <v>40.0269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</v>
          </cell>
        </row>
        <row r="4011">
          <cell r="F4011">
            <v>17.7897333333333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</row>
        <row r="4012">
          <cell r="F4012">
            <v>16.01076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</v>
          </cell>
        </row>
        <row r="4013"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</v>
          </cell>
        </row>
        <row r="4014">
          <cell r="F4014">
            <v>53.3692</v>
          </cell>
        </row>
        <row r="4015">
          <cell r="A4015" t="str">
            <v>PIN.30</v>
          </cell>
          <cell r="B4015" t="str">
            <v>Preparacion y pintura de postes de malla y</v>
          </cell>
          <cell r="C4015" t="str">
            <v>PZA</v>
          </cell>
          <cell r="D4015">
            <v>31.5</v>
          </cell>
        </row>
        <row r="4015">
          <cell r="F4015">
            <v>36.225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</row>
        <row r="4016"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</row>
        <row r="4017"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</row>
        <row r="4018">
          <cell r="F4018">
            <v>6.0375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</row>
        <row r="4020">
          <cell r="F4020">
            <v>6.0375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</row>
        <row r="4021">
          <cell r="F4021">
            <v>6.0375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</v>
          </cell>
        </row>
        <row r="4022">
          <cell r="F4022">
            <v>6.64125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</row>
        <row r="4023">
          <cell r="F4023">
            <v>6.0375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</row>
        <row r="4024"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</row>
        <row r="4025">
          <cell r="F4025">
            <v>42.2625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</row>
        <row r="4026">
          <cell r="F4026">
            <v>13.8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</v>
          </cell>
        </row>
        <row r="4027">
          <cell r="F4027">
            <v>6.64125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</row>
        <row r="4028"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</row>
        <row r="4029"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</v>
          </cell>
          <cell r="E4030">
            <v>1</v>
          </cell>
          <cell r="F4030">
            <v>44.4743333333333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</v>
          </cell>
          <cell r="E4031">
            <v>1</v>
          </cell>
          <cell r="F4031">
            <v>57.1812857142857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59.4974358974359</v>
          </cell>
          <cell r="E4032">
            <v>1</v>
          </cell>
          <cell r="F4032">
            <v>68.4220512820513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69.612</v>
          </cell>
          <cell r="E4033">
            <v>1</v>
          </cell>
          <cell r="F4033">
            <v>80.0538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80.0538</v>
          </cell>
          <cell r="E4034">
            <v>1</v>
          </cell>
          <cell r="F4034">
            <v>92.06187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139.224</v>
          </cell>
          <cell r="E4035">
            <v>1</v>
          </cell>
          <cell r="F4035">
            <v>160.1076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66.7115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</v>
          </cell>
          <cell r="E4037">
            <v>1</v>
          </cell>
          <cell r="F4037">
            <v>53.3692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27.8448</v>
          </cell>
          <cell r="E4039">
            <v>1</v>
          </cell>
          <cell r="F4039">
            <v>32.02152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</v>
          </cell>
        </row>
        <row r="4040">
          <cell r="F4040">
            <v>4.44743333333333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187.260350877193</v>
          </cell>
        </row>
        <row r="4041">
          <cell r="F4041">
            <v>215.349403508772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</row>
        <row r="4042">
          <cell r="F4042">
            <v>115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278.448</v>
          </cell>
        </row>
        <row r="4043">
          <cell r="F4043">
            <v>320.2152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777.167464114833</v>
          </cell>
        </row>
        <row r="4044">
          <cell r="F4044">
            <v>893.742583732057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</v>
          </cell>
          <cell r="E4045">
            <v>1</v>
          </cell>
          <cell r="F4045">
            <v>100.06725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107.095384615385</v>
          </cell>
          <cell r="E4046">
            <v>1</v>
          </cell>
          <cell r="F4046">
            <v>123.159692307692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63.2836363636364</v>
          </cell>
          <cell r="E4047">
            <v>1</v>
          </cell>
          <cell r="F4047">
            <v>72.7761818181818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</v>
          </cell>
          <cell r="E4048">
            <v>1</v>
          </cell>
          <cell r="F4048">
            <v>57.1812857142857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99.4457142857143</v>
          </cell>
          <cell r="E4049">
            <v>1</v>
          </cell>
          <cell r="F4049">
            <v>114.362571428571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</v>
          </cell>
        </row>
        <row r="4050"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</v>
          </cell>
        </row>
        <row r="4051">
          <cell r="F4051">
            <v>193.834866828087</v>
          </cell>
        </row>
        <row r="4052">
          <cell r="A4052" t="str">
            <v>RAJUELA</v>
          </cell>
          <cell r="B4052" t="str">
            <v>Muro de piedra de rajuela</v>
          </cell>
          <cell r="C4052" t="str">
            <v>M2</v>
          </cell>
          <cell r="D4052">
            <v>899.37984496124</v>
          </cell>
        </row>
        <row r="4052">
          <cell r="F4052">
            <v>1034.28682170543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7.82157303370787</v>
          </cell>
        </row>
        <row r="4053">
          <cell r="F4053">
            <v>8.99480898876404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</v>
          </cell>
        </row>
        <row r="4054">
          <cell r="F4054">
            <v>61.5798461538462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</row>
        <row r="4055">
          <cell r="F4055">
            <v>133.423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34.806</v>
          </cell>
          <cell r="E4056">
            <v>1</v>
          </cell>
          <cell r="F4056">
            <v>40.0269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77.3466666666667</v>
          </cell>
          <cell r="E4057">
            <v>1</v>
          </cell>
          <cell r="F4057">
            <v>88.9486666666667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</v>
          </cell>
        </row>
        <row r="4058">
          <cell r="F4058">
            <v>100.06725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</row>
        <row r="4059">
          <cell r="F4059">
            <v>200.1345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</row>
        <row r="4060">
          <cell r="F4060">
            <v>16.01076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</v>
          </cell>
        </row>
        <row r="4061">
          <cell r="F4061">
            <v>53.3692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</v>
          </cell>
        </row>
        <row r="4062"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27.8448</v>
          </cell>
        </row>
        <row r="4063">
          <cell r="F4063">
            <v>32.02152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34.806</v>
          </cell>
        </row>
        <row r="4064">
          <cell r="F4064">
            <v>40.0269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77.3466666666667</v>
          </cell>
        </row>
        <row r="4065">
          <cell r="F4065">
            <v>88.9486666666667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</v>
          </cell>
        </row>
        <row r="4066">
          <cell r="F4066">
            <v>11.2356210526316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66.7115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23.3989915966387</v>
          </cell>
          <cell r="E4068">
            <v>1</v>
          </cell>
          <cell r="F4068">
            <v>26.9088403361345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556.896</v>
          </cell>
        </row>
        <row r="4069">
          <cell r="F4069">
            <v>640.4304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</v>
          </cell>
        </row>
        <row r="4070">
          <cell r="F4070">
            <v>457.450285714286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</v>
          </cell>
        </row>
        <row r="4071">
          <cell r="F4071">
            <v>842.671578947368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</v>
          </cell>
        </row>
        <row r="4072">
          <cell r="F4072">
            <v>53.3692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266.846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</v>
          </cell>
        </row>
        <row r="4074">
          <cell r="F4074">
            <v>47.0904705882353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151.002169197397</v>
          </cell>
        </row>
        <row r="4075">
          <cell r="F4075">
            <v>173.652494577007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</v>
          </cell>
        </row>
        <row r="4076">
          <cell r="F4076">
            <v>191.516267942584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</row>
        <row r="4077">
          <cell r="F4077">
            <v>133.423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151.002169197397</v>
          </cell>
        </row>
        <row r="4078">
          <cell r="F4078">
            <v>173.652494577007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266.846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</v>
          </cell>
          <cell r="E4080">
            <v>1</v>
          </cell>
          <cell r="F4080">
            <v>374.083177570093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400.269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400.269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17.403</v>
          </cell>
          <cell r="E4086">
            <v>1</v>
          </cell>
          <cell r="F4086">
            <v>20.01345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</row>
        <row r="4087"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200.1345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27.8448</v>
          </cell>
          <cell r="E4089">
            <v>1</v>
          </cell>
          <cell r="F4089">
            <v>32.02152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7.73466666666667</v>
          </cell>
          <cell r="E4090">
            <v>1</v>
          </cell>
          <cell r="F4090">
            <v>8.89486666666667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18.5632</v>
          </cell>
          <cell r="E4091">
            <v>1</v>
          </cell>
          <cell r="F4091">
            <v>21.34768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26.7738461538462</v>
          </cell>
          <cell r="E4092">
            <v>1</v>
          </cell>
          <cell r="F4092">
            <v>30.7899230769231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7.73466666666667</v>
          </cell>
          <cell r="E4095">
            <v>1</v>
          </cell>
          <cell r="F4095">
            <v>8.89486666666667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</v>
          </cell>
        </row>
        <row r="4096">
          <cell r="F4096">
            <v>6.15798461538461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9.2816</v>
          </cell>
        </row>
        <row r="4097">
          <cell r="F4097">
            <v>10.67384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</v>
          </cell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</v>
          </cell>
          <cell r="E4101">
            <v>1</v>
          </cell>
          <cell r="F4101">
            <v>100.06725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66.7115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27.8448</v>
          </cell>
        </row>
        <row r="4103">
          <cell r="F4103">
            <v>32.02152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</row>
        <row r="4104">
          <cell r="F4104">
            <v>16.01076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19.8891428571429</v>
          </cell>
        </row>
        <row r="4105">
          <cell r="F4105">
            <v>22.8725142857143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</row>
        <row r="4106">
          <cell r="F4106">
            <v>16.01076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6.9612</v>
          </cell>
        </row>
        <row r="4107">
          <cell r="F4107">
            <v>8.00538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17.403</v>
          </cell>
        </row>
        <row r="4108">
          <cell r="F4108">
            <v>20.01345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</v>
          </cell>
        </row>
        <row r="4109">
          <cell r="F4109">
            <v>100.06725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</row>
        <row r="4110">
          <cell r="F4110">
            <v>50.033625</v>
          </cell>
        </row>
        <row r="4111">
          <cell r="A4111" t="str">
            <v>TOPO1</v>
          </cell>
          <cell r="B4111" t="str">
            <v>Topografia</v>
          </cell>
          <cell r="C4111" t="str">
            <v>HORA</v>
          </cell>
          <cell r="D4111">
            <v>250</v>
          </cell>
        </row>
        <row r="4112">
          <cell r="A4112" t="str">
            <v>TOPO2</v>
          </cell>
          <cell r="B4112" t="str">
            <v>Topografia</v>
          </cell>
          <cell r="C4112" t="str">
            <v>HORA</v>
          </cell>
          <cell r="D4112">
            <v>275</v>
          </cell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17.403</v>
          </cell>
        </row>
        <row r="4113">
          <cell r="F4113">
            <v>20.01345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8.7015</v>
          </cell>
        </row>
        <row r="4114">
          <cell r="F4114">
            <v>10.006725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63.2836363636364</v>
          </cell>
        </row>
        <row r="4115">
          <cell r="F4115">
            <v>72.7761818181818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126.567272727273</v>
          </cell>
        </row>
        <row r="4116">
          <cell r="F4116">
            <v>145.552363636364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</row>
        <row r="4117">
          <cell r="F4117">
            <v>200.1345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139.224</v>
          </cell>
        </row>
        <row r="4118">
          <cell r="F4118">
            <v>160.1076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2.3204</v>
          </cell>
        </row>
        <row r="4119">
          <cell r="F4119">
            <v>2.66846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</v>
          </cell>
        </row>
        <row r="4120">
          <cell r="F4120">
            <v>53.3692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69.612</v>
          </cell>
        </row>
        <row r="4121">
          <cell r="F4121">
            <v>80.0538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</row>
        <row r="4122"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</row>
        <row r="4123">
          <cell r="F4123">
            <v>400.269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</v>
          </cell>
        </row>
        <row r="4124">
          <cell r="F4124">
            <v>12.5279812206573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56.1840193704601</v>
          </cell>
        </row>
        <row r="4125">
          <cell r="F4125">
            <v>64.6116222760291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</v>
          </cell>
        </row>
        <row r="4126">
          <cell r="F4126">
            <v>25.8238064516129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400.269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</row>
        <row r="4128">
          <cell r="F4128">
            <v>200.1345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51.071004784689</v>
          </cell>
          <cell r="E4129">
            <v>1</v>
          </cell>
          <cell r="F4129">
            <v>58.7316555023923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</v>
          </cell>
          <cell r="E4130">
            <v>1</v>
          </cell>
          <cell r="F4130">
            <v>38.3032535885167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</v>
          </cell>
          <cell r="E4131">
            <v>1</v>
          </cell>
          <cell r="F4131">
            <v>38.3032535885167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</v>
          </cell>
        </row>
        <row r="4132">
          <cell r="F4132">
            <v>57.1812857142857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</row>
        <row r="4133"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</v>
          </cell>
        </row>
        <row r="4134">
          <cell r="F4134">
            <v>106.7384</v>
          </cell>
        </row>
        <row r="4140">
          <cell r="A4140" t="str">
            <v>PONTO QUITO PRECIOS</v>
          </cell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</row>
        <row r="4165">
          <cell r="A4165" t="str">
            <v>TAPALPA, PRECIOS DEL PAY</v>
          </cell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</row>
        <row r="4169"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</row>
        <row r="4177">
          <cell r="A4177" t="str">
            <v>TCDASO</v>
          </cell>
          <cell r="B4177" t="str">
            <v>Armar, cimbrar y colar dala de 15 x 20</v>
          </cell>
          <cell r="C4177" t="str">
            <v>ML</v>
          </cell>
          <cell r="D4177">
            <v>100</v>
          </cell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</row>
        <row r="4179"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</row>
        <row r="4186">
          <cell r="A4186" t="str">
            <v>TEXCAV</v>
          </cell>
          <cell r="B4186" t="str">
            <v>Excavación terreno</v>
          </cell>
          <cell r="C4186" t="str">
            <v>M3</v>
          </cell>
          <cell r="D4186">
            <v>380</v>
          </cell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</row>
        <row r="4187"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</row>
        <row r="4188"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</row>
        <row r="4190"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</row>
        <row r="4191"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</row>
        <row r="4211"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</row>
        <row r="4213"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</row>
        <row r="4215"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</row>
        <row r="4216"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</row>
        <row r="4221">
          <cell r="F4221">
            <v>140</v>
          </cell>
        </row>
      </sheetData>
      <sheetData sheetId="1"/>
      <sheetData sheetId="2"/>
    </sheetDataSet>
  </externalBook>
</externalLink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HR140"/>
  <sheetViews>
    <sheetView showFormulas="false" showGridLines="true" showRowColHeaders="true" showZeros="true" rightToLeft="false" tabSelected="true" showOutlineSymbols="true" defaultGridColor="true" view="normal" topLeftCell="A4" colorId="64" zoomScale="100" zoomScaleNormal="100" zoomScalePageLayoutView="100" workbookViewId="0">
      <selection pane="topLeft" activeCell="S18" activeCellId="0" sqref="S18"/>
    </sheetView>
  </sheetViews>
  <sheetFormatPr defaultColWidth="9.2265625" defaultRowHeight="12" zeroHeight="false" outlineLevelRow="0" outlineLevelCol="0"/>
  <cols>
    <col collapsed="false" customWidth="true" hidden="false" outlineLevel="0" max="1" min="1" style="1" width="7.45"/>
    <col collapsed="false" customWidth="true" hidden="false" outlineLevel="0" max="2" min="2" style="1" width="2.54"/>
    <col collapsed="false" customWidth="true" hidden="false" outlineLevel="0" max="3" min="3" style="1" width="0.45"/>
    <col collapsed="false" customWidth="true" hidden="false" outlineLevel="0" max="4" min="4" style="1" width="2.46"/>
    <col collapsed="false" customWidth="true" hidden="false" outlineLevel="0" max="5" min="5" style="1" width="15.45"/>
    <col collapsed="false" customWidth="true" hidden="false" outlineLevel="0" max="6" min="6" style="1" width="16.45"/>
    <col collapsed="false" customWidth="true" hidden="false" outlineLevel="0" max="7" min="7" style="1" width="9.54"/>
    <col collapsed="false" customWidth="true" hidden="false" outlineLevel="0" max="8" min="8" style="1" width="4.17"/>
    <col collapsed="false" customWidth="true" hidden="false" outlineLevel="0" max="9" min="9" style="1" width="5.43"/>
    <col collapsed="false" customWidth="true" hidden="false" outlineLevel="0" max="12" min="10" style="1" width="5.55"/>
    <col collapsed="false" customWidth="true" hidden="false" outlineLevel="0" max="13" min="13" style="1" width="7.18"/>
    <col collapsed="false" customWidth="true" hidden="false" outlineLevel="0" max="14" min="14" style="1" width="11.45"/>
    <col collapsed="false" customWidth="true" hidden="false" outlineLevel="0" max="15" min="15" style="1" width="14.54"/>
    <col collapsed="false" customWidth="true" hidden="false" outlineLevel="0" max="16" min="16" style="1" width="2.54"/>
    <col collapsed="false" customWidth="true" hidden="false" outlineLevel="0" max="17" min="17" style="1" width="13.55"/>
    <col collapsed="false" customWidth="true" hidden="false" outlineLevel="0" max="18" min="18" style="1" width="10.99"/>
    <col collapsed="false" customWidth="true" hidden="false" outlineLevel="0" max="19" min="19" style="1" width="7.82"/>
    <col collapsed="false" customWidth="true" hidden="false" outlineLevel="0" max="24" min="23" style="1" width="2.54"/>
    <col collapsed="false" customWidth="true" hidden="false" outlineLevel="0" max="33" min="25" style="1" width="1.63"/>
    <col collapsed="false" customWidth="true" hidden="false" outlineLevel="0" max="123" min="34" style="1" width="2.46"/>
    <col collapsed="false" customWidth="true" hidden="false" outlineLevel="0" max="124" min="124" style="1" width="3.27"/>
    <col collapsed="false" customWidth="true" hidden="false" outlineLevel="0" max="126" min="125" style="1" width="2.54"/>
    <col collapsed="false" customWidth="true" hidden="false" outlineLevel="0" max="132" min="127" style="1" width="6.45"/>
    <col collapsed="false" customWidth="true" hidden="false" outlineLevel="0" max="135" min="133" style="1" width="1.63"/>
    <col collapsed="false" customWidth="true" hidden="false" outlineLevel="0" max="225" min="136" style="1" width="2.46"/>
    <col collapsed="false" customWidth="true" hidden="false" outlineLevel="0" max="226" min="226" style="1" width="3.27"/>
  </cols>
  <sheetData>
    <row r="1" customFormat="false" ht="18" hidden="false" customHeight="true" outlineLevel="0" collapsed="false">
      <c r="A1" s="2"/>
      <c r="B1" s="3"/>
      <c r="C1" s="4"/>
      <c r="D1" s="5"/>
      <c r="E1" s="6" t="s">
        <v>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7" t="s">
        <v>1</v>
      </c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</row>
    <row r="2" customFormat="false" ht="18" hidden="false" customHeight="true" outlineLevel="0" collapsed="false">
      <c r="A2" s="8"/>
      <c r="B2" s="8"/>
      <c r="C2" s="8"/>
      <c r="D2" s="5"/>
      <c r="E2" s="9" t="s">
        <v>2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10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</row>
    <row r="3" customFormat="false" ht="15" hidden="false" customHeight="true" outlineLevel="0" collapsed="false">
      <c r="A3" s="11"/>
      <c r="B3" s="5"/>
      <c r="C3" s="12"/>
      <c r="D3" s="5"/>
      <c r="E3" s="9" t="s">
        <v>3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13" t="str">
        <f aca="false">LEFT(D6,1)</f>
        <v>A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</row>
    <row r="4" customFormat="false" ht="15.75" hidden="false" customHeight="true" outlineLevel="0" collapsed="false">
      <c r="A4" s="14"/>
      <c r="B4" s="15"/>
      <c r="C4" s="16"/>
      <c r="D4" s="5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20" t="str">
        <f aca="false">RIGHT(D6,3)</f>
        <v>002</v>
      </c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</row>
    <row r="5" customFormat="false" ht="9.75" hidden="false" customHeight="true" outlineLevel="0" collapsed="false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</row>
    <row r="6" customFormat="false" ht="19.5" hidden="false" customHeight="true" outlineLevel="0" collapsed="false">
      <c r="A6" s="21" t="s">
        <v>4</v>
      </c>
      <c r="B6" s="21"/>
      <c r="C6" s="21"/>
      <c r="D6" s="21" t="s">
        <v>5</v>
      </c>
      <c r="E6" s="21"/>
      <c r="F6" s="22"/>
      <c r="G6" s="22"/>
      <c r="H6" s="22"/>
      <c r="I6" s="22"/>
      <c r="J6" s="22"/>
      <c r="K6" s="22"/>
      <c r="L6" s="22"/>
      <c r="M6" s="22"/>
      <c r="N6" s="22"/>
      <c r="O6" s="22"/>
      <c r="P6" s="23" t="s">
        <v>6</v>
      </c>
      <c r="Q6" s="23"/>
      <c r="R6" s="24"/>
      <c r="S6" s="25" t="str">
        <f aca="false">RIGHT(P6,3)</f>
        <v>008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</row>
    <row r="7" customFormat="false" ht="33" hidden="false" customHeight="true" outlineLevel="0" collapsed="false">
      <c r="A7" s="21"/>
      <c r="B7" s="21"/>
      <c r="C7" s="21"/>
      <c r="D7" s="26" t="str">
        <f aca="false">VLOOKUP($D$6,[1]OB!$A$2:$I$1401,4,FALSE())</f>
        <v>MANTENIMIENTO AV ESPAÑA #1840</v>
      </c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7" t="s">
        <v>7</v>
      </c>
      <c r="Q7" s="27"/>
      <c r="R7" s="28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</row>
    <row r="8" customFormat="false" ht="15.75" hidden="false" customHeight="true" outlineLevel="0" collapsed="false">
      <c r="A8" s="21"/>
      <c r="B8" s="21"/>
      <c r="C8" s="21"/>
      <c r="D8" s="29" t="s"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30"/>
      <c r="Q8" s="30"/>
      <c r="R8" s="28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</row>
    <row r="9" customFormat="false" ht="9.75" hidden="false" customHeight="true" outlineLevel="0" collapsed="false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</row>
    <row r="10" customFormat="false" ht="20.25" hidden="false" customHeight="true" outlineLevel="0" collapsed="false">
      <c r="A10" s="31" t="s">
        <v>9</v>
      </c>
      <c r="B10" s="32" t="n">
        <f aca="false">VLOOKUP(E10,[2]FECHAS!$AB$2:$AE$53,4,0)</f>
        <v>8</v>
      </c>
      <c r="C10" s="32"/>
      <c r="D10" s="32"/>
      <c r="E10" s="33" t="n">
        <v>44977</v>
      </c>
      <c r="F10" s="34" t="n">
        <f aca="false">+E10+6</f>
        <v>44983</v>
      </c>
      <c r="G10" s="35"/>
      <c r="H10" s="36"/>
      <c r="I10" s="36"/>
      <c r="J10" s="37"/>
      <c r="K10" s="36"/>
      <c r="L10" s="36"/>
      <c r="M10" s="36"/>
      <c r="N10" s="36"/>
      <c r="O10" s="36"/>
      <c r="P10" s="36"/>
      <c r="Q10" s="38"/>
      <c r="R10" s="39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</row>
    <row r="11" customFormat="false" ht="9.75" hidden="false" customHeight="true" outlineLevel="0" collapsed="false">
      <c r="A11" s="5"/>
      <c r="B11" s="5"/>
      <c r="C11" s="5"/>
      <c r="D11" s="40" t="s">
        <v>10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</row>
    <row r="12" customFormat="false" ht="19.5" hidden="false" customHeight="true" outlineLevel="0" collapsed="false">
      <c r="A12" s="41" t="s">
        <v>1</v>
      </c>
      <c r="B12" s="42"/>
      <c r="C12" s="43" t="s">
        <v>11</v>
      </c>
      <c r="D12" s="43"/>
      <c r="E12" s="44"/>
      <c r="F12" s="44"/>
      <c r="G12" s="42" t="s">
        <v>12</v>
      </c>
      <c r="H12" s="42" t="s">
        <v>13</v>
      </c>
      <c r="I12" s="43" t="s">
        <v>14</v>
      </c>
      <c r="J12" s="42" t="s">
        <v>15</v>
      </c>
      <c r="K12" s="42" t="s">
        <v>16</v>
      </c>
      <c r="L12" s="42" t="s">
        <v>17</v>
      </c>
      <c r="M12" s="42" t="s">
        <v>18</v>
      </c>
      <c r="N12" s="42" t="s">
        <v>19</v>
      </c>
      <c r="O12" s="42" t="s">
        <v>20</v>
      </c>
      <c r="P12" s="42"/>
      <c r="Q12" s="42" t="s">
        <v>21</v>
      </c>
      <c r="R12" s="45" t="s">
        <v>22</v>
      </c>
      <c r="S12" s="46" t="s">
        <v>13</v>
      </c>
      <c r="T12" s="47"/>
      <c r="U12" s="47"/>
      <c r="V12" s="47"/>
      <c r="W12" s="47"/>
      <c r="X12" s="47"/>
      <c r="Y12" s="48" t="n">
        <v>1</v>
      </c>
      <c r="Z12" s="49" t="n">
        <v>2</v>
      </c>
      <c r="AA12" s="49" t="n">
        <v>3</v>
      </c>
      <c r="AB12" s="49" t="n">
        <v>4</v>
      </c>
      <c r="AC12" s="49" t="n">
        <v>5</v>
      </c>
      <c r="AD12" s="49" t="n">
        <v>6</v>
      </c>
      <c r="AE12" s="49" t="n">
        <v>7</v>
      </c>
      <c r="AF12" s="49" t="n">
        <v>8</v>
      </c>
      <c r="AG12" s="49" t="n">
        <v>9</v>
      </c>
      <c r="AH12" s="49" t="n">
        <v>10</v>
      </c>
      <c r="AI12" s="49" t="n">
        <v>11</v>
      </c>
      <c r="AJ12" s="49" t="n">
        <v>12</v>
      </c>
      <c r="AK12" s="49" t="n">
        <v>13</v>
      </c>
      <c r="AL12" s="49" t="n">
        <v>14</v>
      </c>
      <c r="AM12" s="49" t="n">
        <v>15</v>
      </c>
      <c r="AN12" s="49" t="n">
        <v>16</v>
      </c>
      <c r="AO12" s="49" t="n">
        <v>17</v>
      </c>
      <c r="AP12" s="49" t="n">
        <v>18</v>
      </c>
      <c r="AQ12" s="49" t="n">
        <v>19</v>
      </c>
      <c r="AR12" s="49" t="n">
        <v>20</v>
      </c>
      <c r="AS12" s="49" t="n">
        <v>21</v>
      </c>
      <c r="AT12" s="49" t="n">
        <v>22</v>
      </c>
      <c r="AU12" s="49" t="n">
        <v>23</v>
      </c>
      <c r="AV12" s="49" t="n">
        <v>24</v>
      </c>
      <c r="AW12" s="49" t="n">
        <v>25</v>
      </c>
      <c r="AX12" s="49" t="n">
        <v>26</v>
      </c>
      <c r="AY12" s="49" t="n">
        <v>27</v>
      </c>
      <c r="AZ12" s="49" t="n">
        <v>28</v>
      </c>
      <c r="BA12" s="49" t="n">
        <v>29</v>
      </c>
      <c r="BB12" s="49" t="n">
        <v>30</v>
      </c>
      <c r="BC12" s="49" t="n">
        <v>31</v>
      </c>
      <c r="BD12" s="49" t="n">
        <v>32</v>
      </c>
      <c r="BE12" s="49" t="n">
        <v>33</v>
      </c>
      <c r="BF12" s="49" t="n">
        <v>34</v>
      </c>
      <c r="BG12" s="49" t="n">
        <v>35</v>
      </c>
      <c r="BH12" s="49" t="n">
        <v>36</v>
      </c>
      <c r="BI12" s="49" t="n">
        <v>37</v>
      </c>
      <c r="BJ12" s="49" t="n">
        <v>38</v>
      </c>
      <c r="BK12" s="49" t="n">
        <v>39</v>
      </c>
      <c r="BL12" s="49" t="n">
        <v>40</v>
      </c>
      <c r="BM12" s="49" t="n">
        <v>41</v>
      </c>
      <c r="BN12" s="49" t="n">
        <v>42</v>
      </c>
      <c r="BO12" s="49" t="n">
        <v>43</v>
      </c>
      <c r="BP12" s="49" t="n">
        <v>44</v>
      </c>
      <c r="BQ12" s="49" t="n">
        <v>45</v>
      </c>
      <c r="BR12" s="49" t="n">
        <v>46</v>
      </c>
      <c r="BS12" s="49" t="n">
        <v>47</v>
      </c>
      <c r="BT12" s="49" t="n">
        <v>48</v>
      </c>
      <c r="BU12" s="49" t="n">
        <v>49</v>
      </c>
      <c r="BV12" s="49" t="n">
        <v>50</v>
      </c>
      <c r="BW12" s="49" t="n">
        <v>51</v>
      </c>
      <c r="BX12" s="49" t="n">
        <v>52</v>
      </c>
      <c r="BY12" s="49" t="n">
        <v>53</v>
      </c>
      <c r="BZ12" s="49" t="n">
        <v>54</v>
      </c>
      <c r="CA12" s="49" t="n">
        <v>55</v>
      </c>
      <c r="CB12" s="49" t="n">
        <v>56</v>
      </c>
      <c r="CC12" s="49" t="n">
        <v>57</v>
      </c>
      <c r="CD12" s="49" t="n">
        <v>58</v>
      </c>
      <c r="CE12" s="49" t="n">
        <v>59</v>
      </c>
      <c r="CF12" s="49" t="n">
        <v>60</v>
      </c>
      <c r="CG12" s="49" t="n">
        <v>61</v>
      </c>
      <c r="CH12" s="49" t="n">
        <v>62</v>
      </c>
      <c r="CI12" s="49" t="n">
        <v>63</v>
      </c>
      <c r="CJ12" s="49" t="n">
        <v>64</v>
      </c>
      <c r="CK12" s="49" t="n">
        <v>65</v>
      </c>
      <c r="CL12" s="49" t="n">
        <v>66</v>
      </c>
      <c r="CM12" s="49" t="n">
        <v>67</v>
      </c>
      <c r="CN12" s="49" t="n">
        <v>68</v>
      </c>
      <c r="CO12" s="49" t="n">
        <v>69</v>
      </c>
      <c r="CP12" s="49" t="n">
        <v>70</v>
      </c>
      <c r="CQ12" s="49" t="n">
        <v>71</v>
      </c>
      <c r="CR12" s="49" t="n">
        <v>72</v>
      </c>
      <c r="CS12" s="49" t="n">
        <v>73</v>
      </c>
      <c r="CT12" s="49" t="n">
        <v>74</v>
      </c>
      <c r="CU12" s="49" t="n">
        <v>75</v>
      </c>
      <c r="CV12" s="49" t="n">
        <v>76</v>
      </c>
      <c r="CW12" s="49" t="n">
        <v>77</v>
      </c>
      <c r="CX12" s="49" t="n">
        <v>78</v>
      </c>
      <c r="CY12" s="49" t="n">
        <v>79</v>
      </c>
      <c r="CZ12" s="49" t="n">
        <v>80</v>
      </c>
      <c r="DA12" s="49" t="n">
        <v>81</v>
      </c>
      <c r="DB12" s="49" t="n">
        <v>82</v>
      </c>
      <c r="DC12" s="49" t="n">
        <v>83</v>
      </c>
      <c r="DD12" s="49" t="n">
        <v>84</v>
      </c>
      <c r="DE12" s="49" t="n">
        <v>85</v>
      </c>
      <c r="DF12" s="49" t="n">
        <v>86</v>
      </c>
      <c r="DG12" s="49" t="n">
        <v>87</v>
      </c>
      <c r="DH12" s="49" t="n">
        <v>88</v>
      </c>
      <c r="DI12" s="49" t="n">
        <v>89</v>
      </c>
      <c r="DJ12" s="49" t="n">
        <v>90</v>
      </c>
      <c r="DK12" s="49" t="n">
        <v>91</v>
      </c>
      <c r="DL12" s="49" t="n">
        <v>92</v>
      </c>
      <c r="DM12" s="49" t="n">
        <v>93</v>
      </c>
      <c r="DN12" s="49" t="n">
        <v>94</v>
      </c>
      <c r="DO12" s="49" t="n">
        <v>95</v>
      </c>
      <c r="DP12" s="49" t="n">
        <v>96</v>
      </c>
      <c r="DQ12" s="49" t="n">
        <v>97</v>
      </c>
      <c r="DR12" s="49" t="n">
        <v>98</v>
      </c>
      <c r="DS12" s="49" t="n">
        <v>99</v>
      </c>
      <c r="DT12" s="50" t="n">
        <v>100</v>
      </c>
      <c r="DU12" s="47"/>
      <c r="DV12" s="47"/>
      <c r="DW12" s="48" t="n">
        <v>1</v>
      </c>
      <c r="DX12" s="49" t="n">
        <v>2</v>
      </c>
      <c r="DY12" s="49" t="n">
        <v>3</v>
      </c>
      <c r="DZ12" s="49" t="n">
        <v>4</v>
      </c>
      <c r="EA12" s="49" t="n">
        <v>5</v>
      </c>
      <c r="EB12" s="49" t="n">
        <v>6</v>
      </c>
      <c r="EC12" s="49" t="n">
        <v>7</v>
      </c>
      <c r="ED12" s="49" t="n">
        <v>8</v>
      </c>
      <c r="EE12" s="49" t="n">
        <v>9</v>
      </c>
      <c r="EF12" s="49" t="n">
        <v>10</v>
      </c>
      <c r="EG12" s="49" t="n">
        <v>11</v>
      </c>
      <c r="EH12" s="49" t="n">
        <v>12</v>
      </c>
      <c r="EI12" s="49" t="n">
        <v>13</v>
      </c>
      <c r="EJ12" s="49" t="n">
        <v>14</v>
      </c>
      <c r="EK12" s="49" t="n">
        <v>15</v>
      </c>
      <c r="EL12" s="49" t="n">
        <v>16</v>
      </c>
      <c r="EM12" s="49" t="n">
        <v>17</v>
      </c>
      <c r="EN12" s="49" t="n">
        <v>18</v>
      </c>
      <c r="EO12" s="49" t="n">
        <v>19</v>
      </c>
      <c r="EP12" s="49" t="n">
        <v>20</v>
      </c>
      <c r="EQ12" s="49" t="n">
        <v>21</v>
      </c>
      <c r="ER12" s="49" t="n">
        <v>22</v>
      </c>
      <c r="ES12" s="49" t="n">
        <v>23</v>
      </c>
      <c r="ET12" s="49" t="n">
        <v>24</v>
      </c>
      <c r="EU12" s="49" t="n">
        <v>25</v>
      </c>
      <c r="EV12" s="49" t="n">
        <v>26</v>
      </c>
      <c r="EW12" s="49" t="n">
        <v>27</v>
      </c>
      <c r="EX12" s="49" t="n">
        <v>28</v>
      </c>
      <c r="EY12" s="49" t="n">
        <v>29</v>
      </c>
      <c r="EZ12" s="49" t="n">
        <v>30</v>
      </c>
      <c r="FA12" s="49" t="n">
        <v>31</v>
      </c>
      <c r="FB12" s="49" t="n">
        <v>32</v>
      </c>
      <c r="FC12" s="49" t="n">
        <v>33</v>
      </c>
      <c r="FD12" s="49" t="n">
        <v>34</v>
      </c>
      <c r="FE12" s="49" t="n">
        <v>35</v>
      </c>
      <c r="FF12" s="49" t="n">
        <v>36</v>
      </c>
      <c r="FG12" s="49" t="n">
        <v>37</v>
      </c>
      <c r="FH12" s="49" t="n">
        <v>38</v>
      </c>
      <c r="FI12" s="49" t="n">
        <v>39</v>
      </c>
      <c r="FJ12" s="49" t="n">
        <v>40</v>
      </c>
      <c r="FK12" s="49" t="n">
        <v>41</v>
      </c>
      <c r="FL12" s="49" t="n">
        <v>42</v>
      </c>
      <c r="FM12" s="49" t="n">
        <v>43</v>
      </c>
      <c r="FN12" s="49" t="n">
        <v>44</v>
      </c>
      <c r="FO12" s="49" t="n">
        <v>45</v>
      </c>
      <c r="FP12" s="49" t="n">
        <v>46</v>
      </c>
      <c r="FQ12" s="49" t="n">
        <v>47</v>
      </c>
      <c r="FR12" s="49" t="n">
        <v>48</v>
      </c>
      <c r="FS12" s="49" t="n">
        <v>49</v>
      </c>
      <c r="FT12" s="49" t="n">
        <v>50</v>
      </c>
      <c r="FU12" s="49" t="n">
        <v>51</v>
      </c>
      <c r="FV12" s="49" t="n">
        <v>52</v>
      </c>
      <c r="FW12" s="49" t="n">
        <v>53</v>
      </c>
      <c r="FX12" s="49" t="n">
        <v>54</v>
      </c>
      <c r="FY12" s="49" t="n">
        <v>55</v>
      </c>
      <c r="FZ12" s="49" t="n">
        <v>56</v>
      </c>
      <c r="GA12" s="49" t="n">
        <v>57</v>
      </c>
      <c r="GB12" s="49" t="n">
        <v>58</v>
      </c>
      <c r="GC12" s="49" t="n">
        <v>59</v>
      </c>
      <c r="GD12" s="49" t="n">
        <v>60</v>
      </c>
      <c r="GE12" s="49" t="n">
        <v>61</v>
      </c>
      <c r="GF12" s="49" t="n">
        <v>62</v>
      </c>
      <c r="GG12" s="49" t="n">
        <v>63</v>
      </c>
      <c r="GH12" s="49" t="n">
        <v>64</v>
      </c>
      <c r="GI12" s="49" t="n">
        <v>65</v>
      </c>
      <c r="GJ12" s="49" t="n">
        <v>66</v>
      </c>
      <c r="GK12" s="49" t="n">
        <v>67</v>
      </c>
      <c r="GL12" s="49" t="n">
        <v>68</v>
      </c>
      <c r="GM12" s="49" t="n">
        <v>69</v>
      </c>
      <c r="GN12" s="49" t="n">
        <v>70</v>
      </c>
      <c r="GO12" s="49" t="n">
        <v>71</v>
      </c>
      <c r="GP12" s="49" t="n">
        <v>72</v>
      </c>
      <c r="GQ12" s="49" t="n">
        <v>73</v>
      </c>
      <c r="GR12" s="49" t="n">
        <v>74</v>
      </c>
      <c r="GS12" s="49" t="n">
        <v>75</v>
      </c>
      <c r="GT12" s="49" t="n">
        <v>76</v>
      </c>
      <c r="GU12" s="49" t="n">
        <v>77</v>
      </c>
      <c r="GV12" s="49" t="n">
        <v>78</v>
      </c>
      <c r="GW12" s="49" t="n">
        <v>79</v>
      </c>
      <c r="GX12" s="49" t="n">
        <v>80</v>
      </c>
      <c r="GY12" s="49" t="n">
        <v>81</v>
      </c>
      <c r="GZ12" s="49" t="n">
        <v>82</v>
      </c>
      <c r="HA12" s="49" t="n">
        <v>83</v>
      </c>
      <c r="HB12" s="49" t="n">
        <v>84</v>
      </c>
      <c r="HC12" s="49" t="n">
        <v>85</v>
      </c>
      <c r="HD12" s="49" t="n">
        <v>86</v>
      </c>
      <c r="HE12" s="49" t="n">
        <v>87</v>
      </c>
      <c r="HF12" s="49" t="n">
        <v>88</v>
      </c>
      <c r="HG12" s="49" t="n">
        <v>89</v>
      </c>
      <c r="HH12" s="49" t="n">
        <v>90</v>
      </c>
      <c r="HI12" s="49" t="n">
        <v>91</v>
      </c>
      <c r="HJ12" s="49" t="n">
        <v>92</v>
      </c>
      <c r="HK12" s="49" t="n">
        <v>93</v>
      </c>
      <c r="HL12" s="49" t="n">
        <v>94</v>
      </c>
      <c r="HM12" s="49" t="n">
        <v>95</v>
      </c>
      <c r="HN12" s="49" t="n">
        <v>96</v>
      </c>
      <c r="HO12" s="49" t="n">
        <v>97</v>
      </c>
      <c r="HP12" s="49" t="n">
        <v>98</v>
      </c>
      <c r="HQ12" s="49" t="n">
        <v>99</v>
      </c>
      <c r="HR12" s="50" t="n">
        <v>100</v>
      </c>
    </row>
    <row r="13" customFormat="false" ht="12.75" hidden="false" customHeight="true" outlineLevel="0" collapsed="false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47"/>
      <c r="U13" s="47"/>
      <c r="V13" s="47"/>
      <c r="W13" s="47"/>
      <c r="X13" s="51" t="s">
        <v>23</v>
      </c>
      <c r="Y13" s="52" t="n">
        <f aca="false">SUM(Y14:Y131)</f>
        <v>0</v>
      </c>
      <c r="Z13" s="53" t="n">
        <f aca="false">SUM(Z14:Z131)</f>
        <v>0</v>
      </c>
      <c r="AA13" s="53" t="n">
        <f aca="false">SUM(AA14:AA131)</f>
        <v>0</v>
      </c>
      <c r="AB13" s="53" t="n">
        <f aca="false">SUM(AB14:AB131)</f>
        <v>0</v>
      </c>
      <c r="AC13" s="53" t="n">
        <f aca="false">SUM(AC14:AC131)</f>
        <v>0</v>
      </c>
      <c r="AD13" s="53" t="n">
        <f aca="false">SUM(AD14:AD131)</f>
        <v>0</v>
      </c>
      <c r="AE13" s="53" t="n">
        <f aca="false">SUM(AE14:AE131)</f>
        <v>0</v>
      </c>
      <c r="AF13" s="53" t="n">
        <f aca="false">SUM(AF14:AF131)</f>
        <v>0</v>
      </c>
      <c r="AG13" s="53" t="n">
        <f aca="false">SUM(AG14:AG131)</f>
        <v>0</v>
      </c>
      <c r="AH13" s="53" t="n">
        <f aca="false">SUM(AH14:AH131)</f>
        <v>0</v>
      </c>
      <c r="AI13" s="53" t="n">
        <f aca="false">SUM(AI14:AI131)</f>
        <v>0</v>
      </c>
      <c r="AJ13" s="53" t="n">
        <f aca="false">SUM(AJ14:AJ131)</f>
        <v>0</v>
      </c>
      <c r="AK13" s="53" t="n">
        <f aca="false">SUM(AK14:AK131)</f>
        <v>0</v>
      </c>
      <c r="AL13" s="53" t="n">
        <f aca="false">SUM(AL14:AL131)</f>
        <v>0</v>
      </c>
      <c r="AM13" s="53" t="n">
        <f aca="false">SUM(AM14:AM131)</f>
        <v>0</v>
      </c>
      <c r="AN13" s="53" t="n">
        <f aca="false">SUM(AN14:AN131)</f>
        <v>0</v>
      </c>
      <c r="AO13" s="53" t="n">
        <f aca="false">SUM(AO14:AO131)</f>
        <v>0</v>
      </c>
      <c r="AP13" s="53" t="n">
        <f aca="false">SUM(AP14:AP131)</f>
        <v>0</v>
      </c>
      <c r="AQ13" s="53" t="n">
        <f aca="false">SUM(AQ14:AQ131)</f>
        <v>0</v>
      </c>
      <c r="AR13" s="53" t="n">
        <f aca="false">SUM(AR14:AR131)</f>
        <v>0</v>
      </c>
      <c r="AS13" s="53" t="n">
        <f aca="false">SUM(AS14:AS131)</f>
        <v>0</v>
      </c>
      <c r="AT13" s="53" t="n">
        <f aca="false">SUM(AT14:AT131)</f>
        <v>0</v>
      </c>
      <c r="AU13" s="53" t="n">
        <f aca="false">SUM(AU14:AU131)</f>
        <v>0</v>
      </c>
      <c r="AV13" s="53" t="n">
        <f aca="false">SUM(AV14:AV131)</f>
        <v>0</v>
      </c>
      <c r="AW13" s="53" t="n">
        <f aca="false">SUM(AW14:AW131)</f>
        <v>0</v>
      </c>
      <c r="AX13" s="53" t="n">
        <f aca="false">SUM(AX14:AX131)</f>
        <v>0</v>
      </c>
      <c r="AY13" s="53" t="n">
        <f aca="false">SUM(AY14:AY131)</f>
        <v>0</v>
      </c>
      <c r="AZ13" s="53" t="n">
        <f aca="false">SUM(AZ14:AZ131)</f>
        <v>0</v>
      </c>
      <c r="BA13" s="53" t="n">
        <f aca="false">SUM(BA14:BA131)</f>
        <v>0</v>
      </c>
      <c r="BB13" s="53" t="n">
        <f aca="false">SUM(BB14:BB131)</f>
        <v>0</v>
      </c>
      <c r="BC13" s="53" t="n">
        <f aca="false">SUM(BC14:BC131)</f>
        <v>0</v>
      </c>
      <c r="BD13" s="53" t="n">
        <f aca="false">SUM(BD14:BD131)</f>
        <v>0</v>
      </c>
      <c r="BE13" s="53" t="n">
        <f aca="false">SUM(BE14:BE131)</f>
        <v>0</v>
      </c>
      <c r="BF13" s="53" t="n">
        <f aca="false">SUM(BF14:BF131)</f>
        <v>0</v>
      </c>
      <c r="BG13" s="53" t="n">
        <f aca="false">SUM(BG14:BG131)</f>
        <v>0</v>
      </c>
      <c r="BH13" s="53" t="n">
        <f aca="false">SUM(BH14:BH131)</f>
        <v>0</v>
      </c>
      <c r="BI13" s="53" t="n">
        <f aca="false">SUM(BI14:BI131)</f>
        <v>0</v>
      </c>
      <c r="BJ13" s="53" t="n">
        <f aca="false">SUM(BJ14:BJ131)</f>
        <v>0</v>
      </c>
      <c r="BK13" s="53" t="n">
        <f aca="false">SUM(BK14:BK131)</f>
        <v>0</v>
      </c>
      <c r="BL13" s="53" t="n">
        <f aca="false">SUM(BL14:BL131)</f>
        <v>0</v>
      </c>
      <c r="BM13" s="53" t="n">
        <f aca="false">SUM(BM14:BM131)</f>
        <v>0</v>
      </c>
      <c r="BN13" s="53" t="n">
        <f aca="false">SUM(BN14:BN131)</f>
        <v>0</v>
      </c>
      <c r="BO13" s="53" t="n">
        <f aca="false">SUM(BO14:BO131)</f>
        <v>0</v>
      </c>
      <c r="BP13" s="53" t="n">
        <f aca="false">SUM(BP14:BP131)</f>
        <v>0</v>
      </c>
      <c r="BQ13" s="53" t="n">
        <f aca="false">SUM(BQ14:BQ131)</f>
        <v>0</v>
      </c>
      <c r="BR13" s="53" t="n">
        <f aca="false">SUM(BR14:BR131)</f>
        <v>0</v>
      </c>
      <c r="BS13" s="53" t="n">
        <f aca="false">SUM(BS14:BS131)</f>
        <v>0</v>
      </c>
      <c r="BT13" s="53" t="n">
        <f aca="false">SUM(BT14:BT131)</f>
        <v>0</v>
      </c>
      <c r="BU13" s="53" t="n">
        <f aca="false">SUM(BU14:BU131)</f>
        <v>0</v>
      </c>
      <c r="BV13" s="53" t="n">
        <f aca="false">SUM(BV14:BV131)</f>
        <v>0</v>
      </c>
      <c r="BW13" s="53" t="n">
        <f aca="false">SUM(BW14:BW131)</f>
        <v>0</v>
      </c>
      <c r="BX13" s="53" t="n">
        <f aca="false">SUM(BX14:BX131)</f>
        <v>0</v>
      </c>
      <c r="BY13" s="53" t="n">
        <f aca="false">SUM(BY14:BY131)</f>
        <v>0</v>
      </c>
      <c r="BZ13" s="53" t="n">
        <f aca="false">SUM(BZ14:BZ131)</f>
        <v>0</v>
      </c>
      <c r="CA13" s="53" t="n">
        <f aca="false">SUM(CA14:CA131)</f>
        <v>0</v>
      </c>
      <c r="CB13" s="53" t="n">
        <f aca="false">SUM(CB14:CB131)</f>
        <v>0</v>
      </c>
      <c r="CC13" s="53" t="n">
        <f aca="false">SUM(CC14:CC131)</f>
        <v>0</v>
      </c>
      <c r="CD13" s="53" t="n">
        <f aca="false">SUM(CD14:CD131)</f>
        <v>0</v>
      </c>
      <c r="CE13" s="53" t="n">
        <f aca="false">SUM(CE14:CE131)</f>
        <v>0</v>
      </c>
      <c r="CF13" s="53" t="n">
        <f aca="false">SUM(CF14:CF131)</f>
        <v>0</v>
      </c>
      <c r="CG13" s="53" t="n">
        <f aca="false">SUM(CG14:CG131)</f>
        <v>0</v>
      </c>
      <c r="CH13" s="53" t="n">
        <f aca="false">SUM(CH14:CH131)</f>
        <v>0</v>
      </c>
      <c r="CI13" s="53" t="n">
        <f aca="false">SUM(CI14:CI131)</f>
        <v>0</v>
      </c>
      <c r="CJ13" s="53" t="n">
        <f aca="false">SUM(CJ14:CJ131)</f>
        <v>0</v>
      </c>
      <c r="CK13" s="53" t="n">
        <f aca="false">SUM(CK14:CK131)</f>
        <v>0</v>
      </c>
      <c r="CL13" s="53" t="n">
        <f aca="false">SUM(CL14:CL131)</f>
        <v>0</v>
      </c>
      <c r="CM13" s="53" t="n">
        <f aca="false">SUM(CM14:CM131)</f>
        <v>0</v>
      </c>
      <c r="CN13" s="53" t="n">
        <f aca="false">SUM(CN14:CN131)</f>
        <v>0</v>
      </c>
      <c r="CO13" s="53" t="n">
        <f aca="false">SUM(CO14:CO131)</f>
        <v>0</v>
      </c>
      <c r="CP13" s="53" t="n">
        <f aca="false">SUM(CP14:CP131)</f>
        <v>0</v>
      </c>
      <c r="CQ13" s="53" t="n">
        <f aca="false">SUM(CQ14:CQ131)</f>
        <v>0</v>
      </c>
      <c r="CR13" s="53" t="n">
        <f aca="false">SUM(CR14:CR131)</f>
        <v>0</v>
      </c>
      <c r="CS13" s="53" t="n">
        <f aca="false">SUM(CS14:CS131)</f>
        <v>0</v>
      </c>
      <c r="CT13" s="53" t="n">
        <f aca="false">SUM(CT14:CT131)</f>
        <v>0</v>
      </c>
      <c r="CU13" s="53" t="n">
        <f aca="false">SUM(CU14:CU131)</f>
        <v>0</v>
      </c>
      <c r="CV13" s="53" t="n">
        <f aca="false">SUM(CV14:CV131)</f>
        <v>0</v>
      </c>
      <c r="CW13" s="53" t="n">
        <f aca="false">SUM(CW14:CW131)</f>
        <v>0</v>
      </c>
      <c r="CX13" s="53" t="n">
        <f aca="false">SUM(CX14:CX131)</f>
        <v>0</v>
      </c>
      <c r="CY13" s="53" t="n">
        <f aca="false">SUM(CY14:CY131)</f>
        <v>0</v>
      </c>
      <c r="CZ13" s="53" t="n">
        <f aca="false">SUM(CZ14:CZ131)</f>
        <v>0</v>
      </c>
      <c r="DA13" s="53" t="n">
        <f aca="false">SUM(DA14:DA131)</f>
        <v>0</v>
      </c>
      <c r="DB13" s="53" t="n">
        <f aca="false">SUM(DB14:DB131)</f>
        <v>0</v>
      </c>
      <c r="DC13" s="53" t="n">
        <f aca="false">SUM(DC14:DC131)</f>
        <v>0</v>
      </c>
      <c r="DD13" s="53" t="n">
        <f aca="false">SUM(DD14:DD131)</f>
        <v>0</v>
      </c>
      <c r="DE13" s="53" t="n">
        <f aca="false">SUM(DE14:DE131)</f>
        <v>0</v>
      </c>
      <c r="DF13" s="53" t="n">
        <f aca="false">SUM(DF14:DF131)</f>
        <v>0</v>
      </c>
      <c r="DG13" s="53" t="n">
        <f aca="false">SUM(DG14:DG131)</f>
        <v>0</v>
      </c>
      <c r="DH13" s="53" t="n">
        <f aca="false">SUM(DH14:DH131)</f>
        <v>0</v>
      </c>
      <c r="DI13" s="53" t="n">
        <f aca="false">SUM(DI14:DI131)</f>
        <v>0</v>
      </c>
      <c r="DJ13" s="53" t="n">
        <f aca="false">SUM(DJ14:DJ131)</f>
        <v>0</v>
      </c>
      <c r="DK13" s="53" t="n">
        <f aca="false">SUM(DK14:DK131)</f>
        <v>0</v>
      </c>
      <c r="DL13" s="53" t="n">
        <f aca="false">SUM(DL14:DL131)</f>
        <v>0</v>
      </c>
      <c r="DM13" s="53" t="n">
        <f aca="false">SUM(DM14:DM131)</f>
        <v>0</v>
      </c>
      <c r="DN13" s="53" t="n">
        <f aca="false">SUM(DN14:DN131)</f>
        <v>0</v>
      </c>
      <c r="DO13" s="53" t="n">
        <f aca="false">SUM(DO14:DO131)</f>
        <v>0</v>
      </c>
      <c r="DP13" s="53" t="n">
        <f aca="false">SUM(DP14:DP131)</f>
        <v>0</v>
      </c>
      <c r="DQ13" s="53" t="n">
        <f aca="false">SUM(DQ14:DQ131)</f>
        <v>0</v>
      </c>
      <c r="DR13" s="53" t="n">
        <f aca="false">SUM(DR14:DR131)</f>
        <v>0</v>
      </c>
      <c r="DS13" s="53" t="n">
        <f aca="false">SUM(DS14:DS131)</f>
        <v>0</v>
      </c>
      <c r="DT13" s="54" t="n">
        <f aca="false">SUM(DT14:DT131)</f>
        <v>0</v>
      </c>
      <c r="DU13" s="55"/>
      <c r="DV13" s="51" t="s">
        <v>23</v>
      </c>
      <c r="DW13" s="52" t="n">
        <f aca="false">SUM(DW14:DW131)</f>
        <v>2365.86</v>
      </c>
      <c r="DX13" s="53" t="n">
        <f aca="false">SUM(DX14:DX131)</f>
        <v>0</v>
      </c>
      <c r="DY13" s="53" t="n">
        <f aca="false">SUM(DY14:DY131)</f>
        <v>0</v>
      </c>
      <c r="DZ13" s="53" t="n">
        <f aca="false">SUM(DZ14:DZ131)</f>
        <v>0</v>
      </c>
      <c r="EA13" s="53" t="n">
        <f aca="false">SUM(EA14:EA131)</f>
        <v>0</v>
      </c>
      <c r="EB13" s="53" t="n">
        <f aca="false">SUM(EB14:EB131)</f>
        <v>0</v>
      </c>
      <c r="EC13" s="53" t="n">
        <f aca="false">SUM(EC14:EC131)</f>
        <v>0</v>
      </c>
      <c r="ED13" s="53" t="n">
        <f aca="false">SUM(ED14:ED131)</f>
        <v>0</v>
      </c>
      <c r="EE13" s="53" t="n">
        <f aca="false">SUM(EE14:EE131)</f>
        <v>0</v>
      </c>
      <c r="EF13" s="53" t="n">
        <f aca="false">SUM(EF14:EF131)</f>
        <v>0</v>
      </c>
      <c r="EG13" s="53" t="n">
        <f aca="false">SUM(EG14:EG131)</f>
        <v>0</v>
      </c>
      <c r="EH13" s="53" t="n">
        <f aca="false">SUM(EH14:EH131)</f>
        <v>0</v>
      </c>
      <c r="EI13" s="53" t="n">
        <f aca="false">SUM(EI14:EI131)</f>
        <v>0</v>
      </c>
      <c r="EJ13" s="53" t="n">
        <f aca="false">SUM(EJ14:EJ131)</f>
        <v>0</v>
      </c>
      <c r="EK13" s="53" t="n">
        <f aca="false">SUM(EK14:EK131)</f>
        <v>0</v>
      </c>
      <c r="EL13" s="53" t="n">
        <f aca="false">SUM(EL14:EL131)</f>
        <v>0</v>
      </c>
      <c r="EM13" s="53" t="n">
        <f aca="false">SUM(EM14:EM131)</f>
        <v>0</v>
      </c>
      <c r="EN13" s="53" t="n">
        <f aca="false">SUM(EN14:EN131)</f>
        <v>0</v>
      </c>
      <c r="EO13" s="53" t="n">
        <f aca="false">SUM(EO14:EO131)</f>
        <v>0</v>
      </c>
      <c r="EP13" s="53" t="n">
        <f aca="false">SUM(EP14:EP131)</f>
        <v>0</v>
      </c>
      <c r="EQ13" s="53" t="n">
        <f aca="false">SUM(EQ14:EQ131)</f>
        <v>0</v>
      </c>
      <c r="ER13" s="53" t="n">
        <f aca="false">SUM(ER14:ER131)</f>
        <v>0</v>
      </c>
      <c r="ES13" s="53" t="n">
        <f aca="false">SUM(ES14:ES131)</f>
        <v>0</v>
      </c>
      <c r="ET13" s="53" t="n">
        <f aca="false">SUM(ET14:ET131)</f>
        <v>0</v>
      </c>
      <c r="EU13" s="53" t="n">
        <f aca="false">SUM(EU14:EU131)</f>
        <v>0</v>
      </c>
      <c r="EV13" s="53" t="n">
        <f aca="false">SUM(EV14:EV131)</f>
        <v>0</v>
      </c>
      <c r="EW13" s="53" t="n">
        <f aca="false">SUM(EW14:EW131)</f>
        <v>0</v>
      </c>
      <c r="EX13" s="53" t="n">
        <f aca="false">SUM(EX14:EX131)</f>
        <v>0</v>
      </c>
      <c r="EY13" s="53" t="n">
        <f aca="false">SUM(EY14:EY131)</f>
        <v>0</v>
      </c>
      <c r="EZ13" s="53" t="n">
        <f aca="false">SUM(EZ14:EZ131)</f>
        <v>0</v>
      </c>
      <c r="FA13" s="53" t="n">
        <f aca="false">SUM(FA14:FA131)</f>
        <v>0</v>
      </c>
      <c r="FB13" s="53" t="n">
        <f aca="false">SUM(FB14:FB131)</f>
        <v>0</v>
      </c>
      <c r="FC13" s="53" t="n">
        <f aca="false">SUM(FC14:FC131)</f>
        <v>0</v>
      </c>
      <c r="FD13" s="53" t="n">
        <f aca="false">SUM(FD14:FD131)</f>
        <v>0</v>
      </c>
      <c r="FE13" s="53" t="n">
        <f aca="false">SUM(FE14:FE131)</f>
        <v>0</v>
      </c>
      <c r="FF13" s="53" t="n">
        <f aca="false">SUM(FF14:FF131)</f>
        <v>0</v>
      </c>
      <c r="FG13" s="53" t="n">
        <f aca="false">SUM(FG14:FG131)</f>
        <v>0</v>
      </c>
      <c r="FH13" s="53" t="n">
        <f aca="false">SUM(FH14:FH131)</f>
        <v>0</v>
      </c>
      <c r="FI13" s="53" t="n">
        <f aca="false">SUM(FI14:FI131)</f>
        <v>0</v>
      </c>
      <c r="FJ13" s="53" t="n">
        <f aca="false">SUM(FJ14:FJ131)</f>
        <v>0</v>
      </c>
      <c r="FK13" s="53" t="n">
        <f aca="false">SUM(FK14:FK131)</f>
        <v>0</v>
      </c>
      <c r="FL13" s="53" t="n">
        <f aca="false">SUM(FL14:FL131)</f>
        <v>0</v>
      </c>
      <c r="FM13" s="53" t="n">
        <f aca="false">SUM(FM14:FM131)</f>
        <v>0</v>
      </c>
      <c r="FN13" s="53" t="n">
        <f aca="false">SUM(FN14:FN131)</f>
        <v>0</v>
      </c>
      <c r="FO13" s="53" t="n">
        <f aca="false">SUM(FO14:FO131)</f>
        <v>0</v>
      </c>
      <c r="FP13" s="53" t="n">
        <f aca="false">SUM(FP14:FP131)</f>
        <v>0</v>
      </c>
      <c r="FQ13" s="53" t="n">
        <f aca="false">SUM(FQ14:FQ131)</f>
        <v>0</v>
      </c>
      <c r="FR13" s="53" t="n">
        <f aca="false">SUM(FR14:FR131)</f>
        <v>0</v>
      </c>
      <c r="FS13" s="53" t="n">
        <f aca="false">SUM(FS14:FS131)</f>
        <v>0</v>
      </c>
      <c r="FT13" s="53" t="n">
        <f aca="false">SUM(FT14:FT131)</f>
        <v>0</v>
      </c>
      <c r="FU13" s="53" t="n">
        <f aca="false">SUM(FU14:FU131)</f>
        <v>0</v>
      </c>
      <c r="FV13" s="53" t="n">
        <f aca="false">SUM(FV14:FV131)</f>
        <v>0</v>
      </c>
      <c r="FW13" s="53" t="n">
        <f aca="false">SUM(FW14:FW131)</f>
        <v>0</v>
      </c>
      <c r="FX13" s="53" t="n">
        <f aca="false">SUM(FX14:FX131)</f>
        <v>0</v>
      </c>
      <c r="FY13" s="53" t="n">
        <f aca="false">SUM(FY14:FY131)</f>
        <v>0</v>
      </c>
      <c r="FZ13" s="53" t="n">
        <f aca="false">SUM(FZ14:FZ131)</f>
        <v>0</v>
      </c>
      <c r="GA13" s="53" t="n">
        <f aca="false">SUM(GA14:GA131)</f>
        <v>0</v>
      </c>
      <c r="GB13" s="53" t="n">
        <f aca="false">SUM(GB14:GB131)</f>
        <v>0</v>
      </c>
      <c r="GC13" s="53" t="n">
        <f aca="false">SUM(GC14:GC131)</f>
        <v>0</v>
      </c>
      <c r="GD13" s="53" t="n">
        <f aca="false">SUM(GD14:GD131)</f>
        <v>0</v>
      </c>
      <c r="GE13" s="53" t="n">
        <f aca="false">SUM(GE14:GE131)</f>
        <v>0</v>
      </c>
      <c r="GF13" s="53" t="n">
        <f aca="false">SUM(GF14:GF131)</f>
        <v>0</v>
      </c>
      <c r="GG13" s="53" t="n">
        <f aca="false">SUM(GG14:GG131)</f>
        <v>0</v>
      </c>
      <c r="GH13" s="53" t="n">
        <f aca="false">SUM(GH14:GH131)</f>
        <v>0</v>
      </c>
      <c r="GI13" s="53" t="n">
        <f aca="false">SUM(GI14:GI131)</f>
        <v>0</v>
      </c>
      <c r="GJ13" s="53" t="n">
        <f aca="false">SUM(GJ14:GJ131)</f>
        <v>0</v>
      </c>
      <c r="GK13" s="53" t="n">
        <f aca="false">SUM(GK14:GK131)</f>
        <v>0</v>
      </c>
      <c r="GL13" s="53" t="n">
        <f aca="false">SUM(GL14:GL131)</f>
        <v>0</v>
      </c>
      <c r="GM13" s="53" t="n">
        <f aca="false">SUM(GM14:GM131)</f>
        <v>0</v>
      </c>
      <c r="GN13" s="53" t="n">
        <f aca="false">SUM(GN14:GN131)</f>
        <v>0</v>
      </c>
      <c r="GO13" s="53" t="n">
        <f aca="false">SUM(GO14:GO131)</f>
        <v>0</v>
      </c>
      <c r="GP13" s="53" t="n">
        <f aca="false">SUM(GP14:GP131)</f>
        <v>0</v>
      </c>
      <c r="GQ13" s="53" t="n">
        <f aca="false">SUM(GQ14:GQ131)</f>
        <v>0</v>
      </c>
      <c r="GR13" s="53" t="n">
        <f aca="false">SUM(GR14:GR131)</f>
        <v>0</v>
      </c>
      <c r="GS13" s="53" t="n">
        <f aca="false">SUM(GS14:GS131)</f>
        <v>0</v>
      </c>
      <c r="GT13" s="53" t="n">
        <f aca="false">SUM(GT14:GT131)</f>
        <v>0</v>
      </c>
      <c r="GU13" s="53" t="n">
        <f aca="false">SUM(GU14:GU131)</f>
        <v>0</v>
      </c>
      <c r="GV13" s="53" t="n">
        <f aca="false">SUM(GV14:GV131)</f>
        <v>0</v>
      </c>
      <c r="GW13" s="53" t="n">
        <f aca="false">SUM(GW14:GW131)</f>
        <v>0</v>
      </c>
      <c r="GX13" s="53" t="n">
        <f aca="false">SUM(GX14:GX131)</f>
        <v>0</v>
      </c>
      <c r="GY13" s="53" t="n">
        <f aca="false">SUM(GY14:GY131)</f>
        <v>0</v>
      </c>
      <c r="GZ13" s="53" t="n">
        <f aca="false">SUM(GZ14:GZ131)</f>
        <v>0</v>
      </c>
      <c r="HA13" s="53" t="n">
        <f aca="false">SUM(HA14:HA131)</f>
        <v>0</v>
      </c>
      <c r="HB13" s="53" t="n">
        <f aca="false">SUM(HB14:HB131)</f>
        <v>0</v>
      </c>
      <c r="HC13" s="53" t="n">
        <f aca="false">SUM(HC14:HC131)</f>
        <v>0</v>
      </c>
      <c r="HD13" s="53" t="n">
        <f aca="false">SUM(HD14:HD131)</f>
        <v>0</v>
      </c>
      <c r="HE13" s="53" t="n">
        <f aca="false">SUM(HE14:HE131)</f>
        <v>0</v>
      </c>
      <c r="HF13" s="53" t="n">
        <f aca="false">SUM(HF14:HF131)</f>
        <v>0</v>
      </c>
      <c r="HG13" s="53" t="n">
        <f aca="false">SUM(HG14:HG131)</f>
        <v>0</v>
      </c>
      <c r="HH13" s="53" t="n">
        <f aca="false">SUM(HH14:HH131)</f>
        <v>0</v>
      </c>
      <c r="HI13" s="53" t="n">
        <f aca="false">SUM(HI14:HI131)</f>
        <v>0</v>
      </c>
      <c r="HJ13" s="53" t="n">
        <f aca="false">SUM(HJ14:HJ131)</f>
        <v>0</v>
      </c>
      <c r="HK13" s="53" t="n">
        <f aca="false">SUM(HK14:HK131)</f>
        <v>0</v>
      </c>
      <c r="HL13" s="53" t="n">
        <f aca="false">SUM(HL14:HL131)</f>
        <v>0</v>
      </c>
      <c r="HM13" s="53" t="n">
        <f aca="false">SUM(HM14:HM131)</f>
        <v>0</v>
      </c>
      <c r="HN13" s="53" t="n">
        <f aca="false">SUM(HN14:HN131)</f>
        <v>0</v>
      </c>
      <c r="HO13" s="53" t="n">
        <f aca="false">SUM(HO14:HO131)</f>
        <v>0</v>
      </c>
      <c r="HP13" s="53" t="n">
        <f aca="false">SUM(HP14:HP131)</f>
        <v>0</v>
      </c>
      <c r="HQ13" s="53" t="n">
        <f aca="false">SUM(HQ14:HQ131)</f>
        <v>0</v>
      </c>
      <c r="HR13" s="54" t="n">
        <f aca="false">SUM(HR14:HR131)</f>
        <v>0</v>
      </c>
    </row>
    <row r="14" customFormat="false" ht="10.5" hidden="false" customHeight="true" outlineLevel="0" collapsed="false">
      <c r="A14" s="56"/>
      <c r="B14" s="57"/>
      <c r="C14" s="58" t="str">
        <f aca="false">IF(A14=0,"",VLOOKUP(A14,[3]CO!$A$3:$F$5311,2,0))</f>
        <v/>
      </c>
      <c r="D14" s="59"/>
      <c r="E14" s="59"/>
      <c r="F14" s="59"/>
      <c r="G14" s="60" t="str">
        <f aca="false">IF(A14=0,"",VLOOKUP(A14,[3]CO!$A$3:$F$5311,3,0))</f>
        <v/>
      </c>
      <c r="H14" s="59"/>
      <c r="I14" s="61"/>
      <c r="J14" s="61"/>
      <c r="K14" s="61"/>
      <c r="L14" s="61"/>
      <c r="M14" s="62" t="str">
        <f aca="false">IF(L14=0,"",PRODUCT(I14:L14))</f>
        <v/>
      </c>
      <c r="N14" s="62" t="str">
        <f aca="false">IF(B14=0,"",IF(H14="M",HLOOKUP(B14,$Y$12:$DT$13,2),IF(A14=0,"",VLOOKUP(A14,[3]CO!$A$3:$F$5311,4,0))))</f>
        <v/>
      </c>
      <c r="O14" s="62" t="str">
        <f aca="false">IF(L14=0,"",PRODUCT(M14:N14))</f>
        <v/>
      </c>
      <c r="P14" s="57"/>
      <c r="Q14" s="63" t="str">
        <f aca="false">IF(P14=0,"",(HLOOKUP(P14,$DW$12:$HR$13,2)))</f>
        <v/>
      </c>
      <c r="R14" s="64" t="str">
        <f aca="false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RESIDENTE"),VLOOKUP(B14,P$14:Q$131,2),"")*S14)</f>
        <v/>
      </c>
      <c r="S14" s="5"/>
      <c r="T14" s="65" t="str">
        <f aca="false">IF(A14=0,"",VLOOKUP(A14,[3]CO!$A$3:$F$5302,5,0))</f>
        <v/>
      </c>
      <c r="U14" s="55" t="n">
        <f aca="false">IF(T14=1,O14*0.1,)</f>
        <v>0</v>
      </c>
      <c r="V14" s="66"/>
      <c r="Y14" s="67" t="str">
        <f aca="false">IF($B14=Y$12,$U14,"")</f>
        <v/>
      </c>
      <c r="Z14" s="68" t="str">
        <f aca="false">IF($B14=Z$12,$U14,"")</f>
        <v/>
      </c>
      <c r="AA14" s="68" t="str">
        <f aca="false">IF($B14=AA$12,$U14,"")</f>
        <v/>
      </c>
      <c r="AB14" s="68" t="str">
        <f aca="false">IF($B14=AB$12,$U14,"")</f>
        <v/>
      </c>
      <c r="AC14" s="68" t="str">
        <f aca="false">IF($B14=AC$12,$U14,"")</f>
        <v/>
      </c>
      <c r="AD14" s="68" t="str">
        <f aca="false">IF($B14=AD$12,$U14,"")</f>
        <v/>
      </c>
      <c r="AE14" s="68" t="str">
        <f aca="false">IF($B14=AE$12,$U14,"")</f>
        <v/>
      </c>
      <c r="AF14" s="68" t="str">
        <f aca="false">IF($B14=AF$12,$U14,"")</f>
        <v/>
      </c>
      <c r="AG14" s="68" t="str">
        <f aca="false">IF($B14=AG$12,$U14,"")</f>
        <v/>
      </c>
      <c r="AH14" s="68" t="str">
        <f aca="false">IF($B14=AH$12,$U14,"")</f>
        <v/>
      </c>
      <c r="AI14" s="68" t="str">
        <f aca="false">IF($B14=AI$12,$U14,"")</f>
        <v/>
      </c>
      <c r="AJ14" s="68" t="str">
        <f aca="false">IF($B14=AJ$12,$U14,"")</f>
        <v/>
      </c>
      <c r="AK14" s="68" t="str">
        <f aca="false">IF($B14=AK$12,$U14,"")</f>
        <v/>
      </c>
      <c r="AL14" s="68" t="str">
        <f aca="false">IF($B14=AL$12,$U14,"")</f>
        <v/>
      </c>
      <c r="AM14" s="68" t="str">
        <f aca="false">IF($B14=AM$12,$U14,"")</f>
        <v/>
      </c>
      <c r="AN14" s="68" t="str">
        <f aca="false">IF($B14=AN$12,$U14,"")</f>
        <v/>
      </c>
      <c r="AO14" s="68" t="str">
        <f aca="false">IF($B14=AO$12,$U14,"")</f>
        <v/>
      </c>
      <c r="AP14" s="68" t="str">
        <f aca="false">IF($B14=AP$12,$U14,"")</f>
        <v/>
      </c>
      <c r="AQ14" s="68" t="str">
        <f aca="false">IF($B14=AQ$12,$U14,"")</f>
        <v/>
      </c>
      <c r="AR14" s="68" t="str">
        <f aca="false">IF($B14=AR$12,$U14,"")</f>
        <v/>
      </c>
      <c r="AS14" s="68" t="str">
        <f aca="false">IF($B14=AS$12,$U14,"")</f>
        <v/>
      </c>
      <c r="AT14" s="68" t="str">
        <f aca="false">IF($B14=AT$12,$U14,"")</f>
        <v/>
      </c>
      <c r="AU14" s="68" t="str">
        <f aca="false">IF($B14=AU$12,$U14,"")</f>
        <v/>
      </c>
      <c r="AV14" s="68" t="str">
        <f aca="false">IF($B14=AV$12,$U14,"")</f>
        <v/>
      </c>
      <c r="AW14" s="68" t="str">
        <f aca="false">IF($B14=AW$12,$U14,"")</f>
        <v/>
      </c>
      <c r="AX14" s="68" t="str">
        <f aca="false">IF($B14=AX$12,$U14,"")</f>
        <v/>
      </c>
      <c r="AY14" s="68" t="str">
        <f aca="false">IF($B14=AY$12,$U14,"")</f>
        <v/>
      </c>
      <c r="AZ14" s="68" t="str">
        <f aca="false">IF($B14=AZ$12,$U14,"")</f>
        <v/>
      </c>
      <c r="BA14" s="68" t="str">
        <f aca="false">IF($B14=BA$12,$U14,"")</f>
        <v/>
      </c>
      <c r="BB14" s="68" t="str">
        <f aca="false">IF($B14=BB$12,$U14,"")</f>
        <v/>
      </c>
      <c r="BC14" s="68" t="str">
        <f aca="false">IF($B14=BC$12,$U14,"")</f>
        <v/>
      </c>
      <c r="BD14" s="68" t="str">
        <f aca="false">IF($B14=BD$12,$U14,"")</f>
        <v/>
      </c>
      <c r="BE14" s="68" t="str">
        <f aca="false">IF($B14=BE$12,$U14,"")</f>
        <v/>
      </c>
      <c r="BF14" s="68" t="str">
        <f aca="false">IF($B14=BF$12,$U14,"")</f>
        <v/>
      </c>
      <c r="BG14" s="68" t="str">
        <f aca="false">IF($B14=BG$12,$U14,"")</f>
        <v/>
      </c>
      <c r="BH14" s="68" t="str">
        <f aca="false">IF($B14=BH$12,$U14,"")</f>
        <v/>
      </c>
      <c r="BI14" s="68" t="str">
        <f aca="false">IF($B14=BI$12,$U14,"")</f>
        <v/>
      </c>
      <c r="BJ14" s="68" t="str">
        <f aca="false">IF($B14=BJ$12,$U14,"")</f>
        <v/>
      </c>
      <c r="BK14" s="68" t="str">
        <f aca="false">IF($B14=BK$12,$U14,"")</f>
        <v/>
      </c>
      <c r="BL14" s="68" t="str">
        <f aca="false">IF($B14=BL$12,$U14,"")</f>
        <v/>
      </c>
      <c r="BM14" s="68" t="str">
        <f aca="false">IF($B14=BM$12,$U14,"")</f>
        <v/>
      </c>
      <c r="BN14" s="68" t="str">
        <f aca="false">IF($B14=BN$12,$U14,"")</f>
        <v/>
      </c>
      <c r="BO14" s="68" t="str">
        <f aca="false">IF($B14=BO$12,$U14,"")</f>
        <v/>
      </c>
      <c r="BP14" s="68" t="str">
        <f aca="false">IF($B14=BP$12,$U14,"")</f>
        <v/>
      </c>
      <c r="BQ14" s="68" t="str">
        <f aca="false">IF($B14=BQ$12,$U14,"")</f>
        <v/>
      </c>
      <c r="BR14" s="68" t="str">
        <f aca="false">IF($B14=BR$12,$U14,"")</f>
        <v/>
      </c>
      <c r="BS14" s="68" t="str">
        <f aca="false">IF($B14=BS$12,$U14,"")</f>
        <v/>
      </c>
      <c r="BT14" s="68" t="str">
        <f aca="false">IF($B14=BT$12,$U14,"")</f>
        <v/>
      </c>
      <c r="BU14" s="68" t="str">
        <f aca="false">IF($B14=BU$12,$U14,"")</f>
        <v/>
      </c>
      <c r="BV14" s="68" t="str">
        <f aca="false">IF($B14=BV$12,$U14,"")</f>
        <v/>
      </c>
      <c r="BW14" s="68" t="str">
        <f aca="false">IF($B14=BW$12,$U14,"")</f>
        <v/>
      </c>
      <c r="BX14" s="68" t="str">
        <f aca="false">IF($B14=BX$12,$U14,"")</f>
        <v/>
      </c>
      <c r="BY14" s="68" t="str">
        <f aca="false">IF($B14=BY$12,$U14,"")</f>
        <v/>
      </c>
      <c r="BZ14" s="68" t="str">
        <f aca="false">IF($B14=BZ$12,$U14,"")</f>
        <v/>
      </c>
      <c r="CA14" s="68" t="str">
        <f aca="false">IF($B14=CA$12,$U14,"")</f>
        <v/>
      </c>
      <c r="CB14" s="68" t="str">
        <f aca="false">IF($B14=CB$12,$U14,"")</f>
        <v/>
      </c>
      <c r="CC14" s="68" t="str">
        <f aca="false">IF($B14=CC$12,$U14,"")</f>
        <v/>
      </c>
      <c r="CD14" s="68" t="str">
        <f aca="false">IF($B14=CD$12,$U14,"")</f>
        <v/>
      </c>
      <c r="CE14" s="68" t="str">
        <f aca="false">IF($B14=CE$12,$U14,"")</f>
        <v/>
      </c>
      <c r="CF14" s="68" t="str">
        <f aca="false">IF($B14=CF$12,$U14,"")</f>
        <v/>
      </c>
      <c r="CG14" s="68" t="str">
        <f aca="false">IF($B14=CG$12,$U14,"")</f>
        <v/>
      </c>
      <c r="CH14" s="68" t="str">
        <f aca="false">IF($B14=CH$12,$U14,"")</f>
        <v/>
      </c>
      <c r="CI14" s="68" t="str">
        <f aca="false">IF($B14=CI$12,$U14,"")</f>
        <v/>
      </c>
      <c r="CJ14" s="68" t="str">
        <f aca="false">IF($B14=CJ$12,$U14,"")</f>
        <v/>
      </c>
      <c r="CK14" s="68" t="str">
        <f aca="false">IF($B14=CK$12,$U14,"")</f>
        <v/>
      </c>
      <c r="CL14" s="68" t="str">
        <f aca="false">IF($B14=CL$12,$U14,"")</f>
        <v/>
      </c>
      <c r="CM14" s="68" t="str">
        <f aca="false">IF($B14=CM$12,$U14,"")</f>
        <v/>
      </c>
      <c r="CN14" s="68" t="str">
        <f aca="false">IF($B14=CN$12,$U14,"")</f>
        <v/>
      </c>
      <c r="CO14" s="68" t="str">
        <f aca="false">IF($B14=CO$12,$U14,"")</f>
        <v/>
      </c>
      <c r="CP14" s="68" t="str">
        <f aca="false">IF($B14=CP$12,$U14,"")</f>
        <v/>
      </c>
      <c r="CQ14" s="68" t="str">
        <f aca="false">IF($B14=CQ$12,$U14,"")</f>
        <v/>
      </c>
      <c r="CR14" s="68" t="str">
        <f aca="false">IF($B14=CR$12,$U14,"")</f>
        <v/>
      </c>
      <c r="CS14" s="68" t="str">
        <f aca="false">IF($B14=CS$12,$U14,"")</f>
        <v/>
      </c>
      <c r="CT14" s="68" t="str">
        <f aca="false">IF($B14=CT$12,$U14,"")</f>
        <v/>
      </c>
      <c r="CU14" s="68" t="str">
        <f aca="false">IF($B14=CU$12,$U14,"")</f>
        <v/>
      </c>
      <c r="CV14" s="68" t="str">
        <f aca="false">IF($B14=CV$12,$U14,"")</f>
        <v/>
      </c>
      <c r="CW14" s="68" t="str">
        <f aca="false">IF($B14=CW$12,$U14,"")</f>
        <v/>
      </c>
      <c r="CX14" s="68" t="str">
        <f aca="false">IF($B14=CX$12,$U14,"")</f>
        <v/>
      </c>
      <c r="CY14" s="68" t="str">
        <f aca="false">IF($B14=CY$12,$U14,"")</f>
        <v/>
      </c>
      <c r="CZ14" s="68" t="str">
        <f aca="false">IF($B14=CZ$12,$U14,"")</f>
        <v/>
      </c>
      <c r="DA14" s="68" t="str">
        <f aca="false">IF($B14=DA$12,$U14,"")</f>
        <v/>
      </c>
      <c r="DB14" s="68" t="str">
        <f aca="false">IF($B14=DB$12,$U14,"")</f>
        <v/>
      </c>
      <c r="DC14" s="68" t="str">
        <f aca="false">IF($B14=DC$12,$U14,"")</f>
        <v/>
      </c>
      <c r="DD14" s="68" t="str">
        <f aca="false">IF($B14=DD$12,$U14,"")</f>
        <v/>
      </c>
      <c r="DE14" s="68" t="str">
        <f aca="false">IF($B14=DE$12,$U14,"")</f>
        <v/>
      </c>
      <c r="DF14" s="68" t="str">
        <f aca="false">IF($B14=DF$12,$U14,"")</f>
        <v/>
      </c>
      <c r="DG14" s="68" t="str">
        <f aca="false">IF($B14=DG$12,$U14,"")</f>
        <v/>
      </c>
      <c r="DH14" s="68" t="str">
        <f aca="false">IF($B14=DH$12,$U14,"")</f>
        <v/>
      </c>
      <c r="DI14" s="68" t="str">
        <f aca="false">IF($B14=DI$12,$U14,"")</f>
        <v/>
      </c>
      <c r="DJ14" s="68" t="str">
        <f aca="false">IF($B14=DJ$12,$U14,"")</f>
        <v/>
      </c>
      <c r="DK14" s="68" t="str">
        <f aca="false">IF($B14=DK$12,$U14,"")</f>
        <v/>
      </c>
      <c r="DL14" s="68" t="str">
        <f aca="false">IF($B14=DL$12,$U14,"")</f>
        <v/>
      </c>
      <c r="DM14" s="68" t="str">
        <f aca="false">IF($B14=DM$12,$U14,"")</f>
        <v/>
      </c>
      <c r="DN14" s="68" t="str">
        <f aca="false">IF($B14=DN$12,$U14,"")</f>
        <v/>
      </c>
      <c r="DO14" s="68" t="str">
        <f aca="false">IF($B14=DO$12,$U14,"")</f>
        <v/>
      </c>
      <c r="DP14" s="68" t="str">
        <f aca="false">IF($B14=DP$12,$U14,"")</f>
        <v/>
      </c>
      <c r="DQ14" s="68" t="str">
        <f aca="false">IF($B14=DQ$12,$U14,"")</f>
        <v/>
      </c>
      <c r="DR14" s="68" t="str">
        <f aca="false">IF($B14=DR$12,$U14,"")</f>
        <v/>
      </c>
      <c r="DS14" s="68" t="str">
        <f aca="false">IF($B14=DS$12,$U14,"")</f>
        <v/>
      </c>
      <c r="DT14" s="69" t="str">
        <f aca="false">IF($B14=DT$12,$U14,"")</f>
        <v/>
      </c>
      <c r="DU14" s="55"/>
      <c r="DW14" s="70" t="str">
        <f aca="false">IF($B14=DW$12,$O14,"")</f>
        <v/>
      </c>
      <c r="DX14" s="71" t="str">
        <f aca="false">IF($B14=DX$12,$O14,"")</f>
        <v/>
      </c>
      <c r="DY14" s="71" t="str">
        <f aca="false">IF($B14=DY$12,$O14,"")</f>
        <v/>
      </c>
      <c r="DZ14" s="71" t="str">
        <f aca="false">IF($B14=DZ$12,$O14,"")</f>
        <v/>
      </c>
      <c r="EA14" s="71" t="str">
        <f aca="false">IF($B14=EA$12,$O14,"")</f>
        <v/>
      </c>
      <c r="EB14" s="71" t="str">
        <f aca="false">IF($B14=EB$12,$O14,"")</f>
        <v/>
      </c>
      <c r="EC14" s="71" t="str">
        <f aca="false">IF($B14=EC$12,$O14,"")</f>
        <v/>
      </c>
      <c r="ED14" s="71" t="str">
        <f aca="false">IF($B14=ED$12,$O14,"")</f>
        <v/>
      </c>
      <c r="EE14" s="71" t="str">
        <f aca="false">IF($B14=EE$12,$O14,"")</f>
        <v/>
      </c>
      <c r="EF14" s="71" t="str">
        <f aca="false">IF($B14=EF$12,$O14,"")</f>
        <v/>
      </c>
      <c r="EG14" s="71" t="str">
        <f aca="false">IF($B14=EG$12,$O14,"")</f>
        <v/>
      </c>
      <c r="EH14" s="71" t="str">
        <f aca="false">IF($B14=EH$12,$O14,"")</f>
        <v/>
      </c>
      <c r="EI14" s="71" t="str">
        <f aca="false">IF($B14=EI$12,$O14,"")</f>
        <v/>
      </c>
      <c r="EJ14" s="71" t="str">
        <f aca="false">IF($B14=EJ$12,$O14,"")</f>
        <v/>
      </c>
      <c r="EK14" s="71" t="str">
        <f aca="false">IF($B14=EK$12,$O14,"")</f>
        <v/>
      </c>
      <c r="EL14" s="71" t="str">
        <f aca="false">IF($B14=EL$12,$O14,"")</f>
        <v/>
      </c>
      <c r="EM14" s="71" t="str">
        <f aca="false">IF($B14=EM$12,$O14,"")</f>
        <v/>
      </c>
      <c r="EN14" s="71" t="str">
        <f aca="false">IF($B14=EN$12,$O14,"")</f>
        <v/>
      </c>
      <c r="EO14" s="71" t="str">
        <f aca="false">IF($B14=EO$12,$O14,"")</f>
        <v/>
      </c>
      <c r="EP14" s="71" t="str">
        <f aca="false">IF($B14=EP$12,$O14,"")</f>
        <v/>
      </c>
      <c r="EQ14" s="71" t="str">
        <f aca="false">IF($B14=EQ$12,$O14,"")</f>
        <v/>
      </c>
      <c r="ER14" s="71" t="str">
        <f aca="false">IF($B14=ER$12,$O14,"")</f>
        <v/>
      </c>
      <c r="ES14" s="71" t="str">
        <f aca="false">IF($B14=ES$12,$O14,"")</f>
        <v/>
      </c>
      <c r="ET14" s="71" t="str">
        <f aca="false">IF($B14=ET$12,$O14,"")</f>
        <v/>
      </c>
      <c r="EU14" s="71" t="str">
        <f aca="false">IF($B14=EU$12,$O14,"")</f>
        <v/>
      </c>
      <c r="EV14" s="71" t="str">
        <f aca="false">IF($B14=EV$12,$O14,"")</f>
        <v/>
      </c>
      <c r="EW14" s="71" t="str">
        <f aca="false">IF($B14=EW$12,$O14,"")</f>
        <v/>
      </c>
      <c r="EX14" s="71" t="str">
        <f aca="false">IF($B14=EX$12,$O14,"")</f>
        <v/>
      </c>
      <c r="EY14" s="71" t="str">
        <f aca="false">IF($B14=EY$12,$O14,"")</f>
        <v/>
      </c>
      <c r="EZ14" s="71" t="str">
        <f aca="false">IF($B14=EZ$12,$O14,"")</f>
        <v/>
      </c>
      <c r="FA14" s="71" t="str">
        <f aca="false">IF($B14=FA$12,$O14,"")</f>
        <v/>
      </c>
      <c r="FB14" s="71" t="str">
        <f aca="false">IF($B14=FB$12,$O14,"")</f>
        <v/>
      </c>
      <c r="FC14" s="71" t="str">
        <f aca="false">IF($B14=FC$12,$O14,"")</f>
        <v/>
      </c>
      <c r="FD14" s="71" t="str">
        <f aca="false">IF($B14=FD$12,$O14,"")</f>
        <v/>
      </c>
      <c r="FE14" s="71" t="str">
        <f aca="false">IF($B14=FE$12,$O14,"")</f>
        <v/>
      </c>
      <c r="FF14" s="71" t="str">
        <f aca="false">IF($B14=FF$12,$O14,"")</f>
        <v/>
      </c>
      <c r="FG14" s="71" t="str">
        <f aca="false">IF($B14=FG$12,$O14,"")</f>
        <v/>
      </c>
      <c r="FH14" s="71" t="str">
        <f aca="false">IF($B14=FH$12,$O14,"")</f>
        <v/>
      </c>
      <c r="FI14" s="71" t="str">
        <f aca="false">IF($B14=FI$12,$O14,"")</f>
        <v/>
      </c>
      <c r="FJ14" s="71" t="str">
        <f aca="false">IF($B14=FJ$12,$O14,"")</f>
        <v/>
      </c>
      <c r="FK14" s="71" t="str">
        <f aca="false">IF($B14=FK$12,$O14,"")</f>
        <v/>
      </c>
      <c r="FL14" s="71" t="str">
        <f aca="false">IF($B14=FL$12,$O14,"")</f>
        <v/>
      </c>
      <c r="FM14" s="71" t="str">
        <f aca="false">IF($B14=FM$12,$O14,"")</f>
        <v/>
      </c>
      <c r="FN14" s="71" t="str">
        <f aca="false">IF($B14=FN$12,$O14,"")</f>
        <v/>
      </c>
      <c r="FO14" s="71" t="str">
        <f aca="false">IF($B14=FO$12,$O14,"")</f>
        <v/>
      </c>
      <c r="FP14" s="71" t="str">
        <f aca="false">IF($B14=FP$12,$O14,"")</f>
        <v/>
      </c>
      <c r="FQ14" s="71" t="str">
        <f aca="false">IF($B14=FQ$12,$O14,"")</f>
        <v/>
      </c>
      <c r="FR14" s="71" t="str">
        <f aca="false">IF($B14=FR$12,$O14,"")</f>
        <v/>
      </c>
      <c r="FS14" s="71" t="str">
        <f aca="false">IF($B14=FS$12,$O14,"")</f>
        <v/>
      </c>
      <c r="FT14" s="71" t="str">
        <f aca="false">IF($B14=FT$12,$O14,"")</f>
        <v/>
      </c>
      <c r="FU14" s="71" t="str">
        <f aca="false">IF($B14=FU$12,$O14,"")</f>
        <v/>
      </c>
      <c r="FV14" s="71" t="str">
        <f aca="false">IF($B14=FV$12,$O14,"")</f>
        <v/>
      </c>
      <c r="FW14" s="71" t="str">
        <f aca="false">IF($B14=FW$12,$O14,"")</f>
        <v/>
      </c>
      <c r="FX14" s="71" t="str">
        <f aca="false">IF($B14=FX$12,$O14,"")</f>
        <v/>
      </c>
      <c r="FY14" s="71" t="str">
        <f aca="false">IF($B14=FY$12,$O14,"")</f>
        <v/>
      </c>
      <c r="FZ14" s="71" t="str">
        <f aca="false">IF($B14=FZ$12,$O14,"")</f>
        <v/>
      </c>
      <c r="GA14" s="71" t="str">
        <f aca="false">IF($B14=GA$12,$O14,"")</f>
        <v/>
      </c>
      <c r="GB14" s="71" t="str">
        <f aca="false">IF($B14=GB$12,$O14,"")</f>
        <v/>
      </c>
      <c r="GC14" s="71" t="str">
        <f aca="false">IF($B14=GC$12,$O14,"")</f>
        <v/>
      </c>
      <c r="GD14" s="71" t="str">
        <f aca="false">IF($B14=GD$12,$O14,"")</f>
        <v/>
      </c>
      <c r="GE14" s="71" t="str">
        <f aca="false">IF($B14=GE$12,$O14,"")</f>
        <v/>
      </c>
      <c r="GF14" s="71" t="str">
        <f aca="false">IF($B14=GF$12,$O14,"")</f>
        <v/>
      </c>
      <c r="GG14" s="71" t="str">
        <f aca="false">IF($B14=GG$12,$O14,"")</f>
        <v/>
      </c>
      <c r="GH14" s="71" t="str">
        <f aca="false">IF($B14=GH$12,$O14,"")</f>
        <v/>
      </c>
      <c r="GI14" s="71" t="str">
        <f aca="false">IF($B14=GI$12,$O14,"")</f>
        <v/>
      </c>
      <c r="GJ14" s="71" t="str">
        <f aca="false">IF($B14=GJ$12,$O14,"")</f>
        <v/>
      </c>
      <c r="GK14" s="71" t="str">
        <f aca="false">IF($B14=GK$12,$O14,"")</f>
        <v/>
      </c>
      <c r="GL14" s="71" t="str">
        <f aca="false">IF($B14=GL$12,$O14,"")</f>
        <v/>
      </c>
      <c r="GM14" s="71" t="str">
        <f aca="false">IF($B14=GM$12,$O14,"")</f>
        <v/>
      </c>
      <c r="GN14" s="71" t="str">
        <f aca="false">IF($B14=GN$12,$O14,"")</f>
        <v/>
      </c>
      <c r="GO14" s="71" t="str">
        <f aca="false">IF($B14=GO$12,$O14,"")</f>
        <v/>
      </c>
      <c r="GP14" s="71" t="str">
        <f aca="false">IF($B14=GP$12,$O14,"")</f>
        <v/>
      </c>
      <c r="GQ14" s="71" t="str">
        <f aca="false">IF($B14=GQ$12,$O14,"")</f>
        <v/>
      </c>
      <c r="GR14" s="71" t="str">
        <f aca="false">IF($B14=GR$12,$O14,"")</f>
        <v/>
      </c>
      <c r="GS14" s="71" t="str">
        <f aca="false">IF($B14=GS$12,$O14,"")</f>
        <v/>
      </c>
      <c r="GT14" s="71" t="str">
        <f aca="false">IF($B14=GT$12,$O14,"")</f>
        <v/>
      </c>
      <c r="GU14" s="71" t="str">
        <f aca="false">IF($B14=GU$12,$O14,"")</f>
        <v/>
      </c>
      <c r="GV14" s="71" t="str">
        <f aca="false">IF($B14=GV$12,$O14,"")</f>
        <v/>
      </c>
      <c r="GW14" s="71" t="str">
        <f aca="false">IF($B14=GW$12,$O14,"")</f>
        <v/>
      </c>
      <c r="GX14" s="71" t="str">
        <f aca="false">IF($B14=GX$12,$O14,"")</f>
        <v/>
      </c>
      <c r="GY14" s="71" t="str">
        <f aca="false">IF($B14=GY$12,$O14,"")</f>
        <v/>
      </c>
      <c r="GZ14" s="71" t="str">
        <f aca="false">IF($B14=GZ$12,$O14,"")</f>
        <v/>
      </c>
      <c r="HA14" s="71" t="str">
        <f aca="false">IF($B14=HA$12,$O14,"")</f>
        <v/>
      </c>
      <c r="HB14" s="71" t="str">
        <f aca="false">IF($B14=HB$12,$O14,"")</f>
        <v/>
      </c>
      <c r="HC14" s="71" t="str">
        <f aca="false">IF($B14=HC$12,$O14,"")</f>
        <v/>
      </c>
      <c r="HD14" s="71" t="str">
        <f aca="false">IF($B14=HD$12,$O14,"")</f>
        <v/>
      </c>
      <c r="HE14" s="71" t="str">
        <f aca="false">IF($B14=HE$12,$O14,"")</f>
        <v/>
      </c>
      <c r="HF14" s="71" t="str">
        <f aca="false">IF($B14=HF$12,$O14,"")</f>
        <v/>
      </c>
      <c r="HG14" s="71" t="str">
        <f aca="false">IF($B14=HG$12,$O14,"")</f>
        <v/>
      </c>
      <c r="HH14" s="71" t="str">
        <f aca="false">IF($B14=HH$12,$O14,"")</f>
        <v/>
      </c>
      <c r="HI14" s="71" t="str">
        <f aca="false">IF($B14=HI$12,$O14,"")</f>
        <v/>
      </c>
      <c r="HJ14" s="71" t="str">
        <f aca="false">IF($B14=HJ$12,$O14,"")</f>
        <v/>
      </c>
      <c r="HK14" s="71" t="str">
        <f aca="false">IF($B14=HK$12,$O14,"")</f>
        <v/>
      </c>
      <c r="HL14" s="71" t="str">
        <f aca="false">IF($B14=HL$12,$O14,"")</f>
        <v/>
      </c>
      <c r="HM14" s="71" t="str">
        <f aca="false">IF($B14=HM$12,$O14,"")</f>
        <v/>
      </c>
      <c r="HN14" s="71" t="str">
        <f aca="false">IF($B14=HN$12,$O14,"")</f>
        <v/>
      </c>
      <c r="HO14" s="71" t="str">
        <f aca="false">IF($B14=HO$12,$O14,"")</f>
        <v/>
      </c>
      <c r="HP14" s="71" t="str">
        <f aca="false">IF($B14=HP$12,$O14,"")</f>
        <v/>
      </c>
      <c r="HQ14" s="71" t="str">
        <f aca="false">IF($B14=HQ$12,$O14,"")</f>
        <v/>
      </c>
      <c r="HR14" s="72" t="str">
        <f aca="false">IF($B14=HR$12,$O14,"")</f>
        <v/>
      </c>
    </row>
    <row r="15" customFormat="false" ht="10.5" hidden="false" customHeight="true" outlineLevel="0" collapsed="false">
      <c r="A15" s="73" t="n">
        <v>3725</v>
      </c>
      <c r="B15" s="74" t="n">
        <v>1</v>
      </c>
      <c r="C15" s="75" t="str">
        <f aca="false">IF(A15=0,"",VLOOKUP(A15,[3]CO!$A$3:$F$5311,2,0))</f>
        <v>ARROYO SANCHEZ JOSE CARLOS</v>
      </c>
      <c r="D15" s="76"/>
      <c r="E15" s="76"/>
      <c r="F15" s="76"/>
      <c r="G15" s="77" t="str">
        <f aca="false">IF(A15=0,"",VLOOKUP(A15,[3]CO!$A$3:$F$5311,3,0))</f>
        <v>PEON</v>
      </c>
      <c r="H15" s="76"/>
      <c r="I15" s="78"/>
      <c r="J15" s="78"/>
      <c r="K15" s="78"/>
      <c r="L15" s="78" t="n">
        <v>7</v>
      </c>
      <c r="M15" s="79" t="n">
        <f aca="false">IF(L15=0,"",PRODUCT(I15:L15))</f>
        <v>7</v>
      </c>
      <c r="N15" s="79" t="n">
        <f aca="false">IF(B15=0,"",IF(H15="M",HLOOKUP(B15,$Y$12:$DT$13,2),IF(A15=0,"",VLOOKUP(A15,[3]CO!$A$3:$F$5311,4,0))))</f>
        <v>337.98</v>
      </c>
      <c r="O15" s="79" t="n">
        <f aca="false">IF(L15=0,"",PRODUCT(M15:N15))</f>
        <v>2365.86</v>
      </c>
      <c r="P15" s="80" t="n">
        <v>1</v>
      </c>
      <c r="Q15" s="81" t="n">
        <f aca="false">IF(P15=0,"",(HLOOKUP(P15,$DW$12:$HR$13,2)))</f>
        <v>2365.86</v>
      </c>
      <c r="R15" s="82" t="n">
        <f aca="false"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RESIDENTE"),VLOOKUP(B15,P$14:Q$131,2),"")*S15)</f>
        <v>2365.86</v>
      </c>
      <c r="S15" s="5" t="n">
        <v>1</v>
      </c>
      <c r="T15" s="65" t="str">
        <f aca="false">IF(A15=0,"",VLOOKUP(A15,[3]CO!$A$3:$F$5302,5,0))</f>
        <v/>
      </c>
      <c r="U15" s="55" t="n">
        <f aca="false">IF(T15=1,O15*0.1,)</f>
        <v>0</v>
      </c>
      <c r="V15" s="66"/>
      <c r="W15" s="83"/>
      <c r="X15" s="83"/>
      <c r="Y15" s="84" t="n">
        <f aca="false">IF($B15=Y$12,$U15,"")</f>
        <v>0</v>
      </c>
      <c r="Z15" s="85" t="str">
        <f aca="false">IF($B15=Z$12,$U15,"")</f>
        <v/>
      </c>
      <c r="AA15" s="85" t="str">
        <f aca="false">IF($B15=AA$12,$U15,"")</f>
        <v/>
      </c>
      <c r="AB15" s="85" t="str">
        <f aca="false">IF($B15=AB$12,$U15,"")</f>
        <v/>
      </c>
      <c r="AC15" s="85" t="str">
        <f aca="false">IF($B15=AC$12,$U15,"")</f>
        <v/>
      </c>
      <c r="AD15" s="85" t="str">
        <f aca="false">IF($B15=AD$12,$U15,"")</f>
        <v/>
      </c>
      <c r="AE15" s="85" t="str">
        <f aca="false">IF($B15=AE$12,$U15,"")</f>
        <v/>
      </c>
      <c r="AF15" s="85" t="str">
        <f aca="false">IF($B15=AF$12,$U15,"")</f>
        <v/>
      </c>
      <c r="AG15" s="85" t="str">
        <f aca="false">IF($B15=AG$12,$U15,"")</f>
        <v/>
      </c>
      <c r="AH15" s="85" t="str">
        <f aca="false">IF($B15=AH$12,$U15,"")</f>
        <v/>
      </c>
      <c r="AI15" s="85" t="str">
        <f aca="false">IF($B15=AI$12,$U15,"")</f>
        <v/>
      </c>
      <c r="AJ15" s="85" t="str">
        <f aca="false">IF($B15=AJ$12,$U15,"")</f>
        <v/>
      </c>
      <c r="AK15" s="85" t="str">
        <f aca="false">IF($B15=AK$12,$U15,"")</f>
        <v/>
      </c>
      <c r="AL15" s="85" t="str">
        <f aca="false">IF($B15=AL$12,$U15,"")</f>
        <v/>
      </c>
      <c r="AM15" s="85" t="str">
        <f aca="false">IF($B15=AM$12,$U15,"")</f>
        <v/>
      </c>
      <c r="AN15" s="85" t="str">
        <f aca="false">IF($B15=AN$12,$U15,"")</f>
        <v/>
      </c>
      <c r="AO15" s="85" t="str">
        <f aca="false">IF($B15=AO$12,$U15,"")</f>
        <v/>
      </c>
      <c r="AP15" s="85" t="str">
        <f aca="false">IF($B15=AP$12,$U15,"")</f>
        <v/>
      </c>
      <c r="AQ15" s="85" t="str">
        <f aca="false">IF($B15=AQ$12,$U15,"")</f>
        <v/>
      </c>
      <c r="AR15" s="85" t="str">
        <f aca="false">IF($B15=AR$12,$U15,"")</f>
        <v/>
      </c>
      <c r="AS15" s="85" t="str">
        <f aca="false">IF($B15=AS$12,$U15,"")</f>
        <v/>
      </c>
      <c r="AT15" s="85" t="str">
        <f aca="false">IF($B15=AT$12,$U15,"")</f>
        <v/>
      </c>
      <c r="AU15" s="85" t="str">
        <f aca="false">IF($B15=AU$12,$U15,"")</f>
        <v/>
      </c>
      <c r="AV15" s="85" t="str">
        <f aca="false">IF($B15=AV$12,$U15,"")</f>
        <v/>
      </c>
      <c r="AW15" s="85" t="str">
        <f aca="false">IF($B15=AW$12,$U15,"")</f>
        <v/>
      </c>
      <c r="AX15" s="85" t="str">
        <f aca="false">IF($B15=AX$12,$U15,"")</f>
        <v/>
      </c>
      <c r="AY15" s="85" t="str">
        <f aca="false">IF($B15=AY$12,$U15,"")</f>
        <v/>
      </c>
      <c r="AZ15" s="85" t="str">
        <f aca="false">IF($B15=AZ$12,$U15,"")</f>
        <v/>
      </c>
      <c r="BA15" s="85" t="str">
        <f aca="false">IF($B15=BA$12,$U15,"")</f>
        <v/>
      </c>
      <c r="BB15" s="85" t="str">
        <f aca="false">IF($B15=BB$12,$U15,"")</f>
        <v/>
      </c>
      <c r="BC15" s="85" t="str">
        <f aca="false">IF($B15=BC$12,$U15,"")</f>
        <v/>
      </c>
      <c r="BD15" s="85" t="str">
        <f aca="false">IF($B15=BD$12,$U15,"")</f>
        <v/>
      </c>
      <c r="BE15" s="85" t="str">
        <f aca="false">IF($B15=BE$12,$U15,"")</f>
        <v/>
      </c>
      <c r="BF15" s="85" t="str">
        <f aca="false">IF($B15=BF$12,$U15,"")</f>
        <v/>
      </c>
      <c r="BG15" s="85" t="str">
        <f aca="false">IF($B15=BG$12,$U15,"")</f>
        <v/>
      </c>
      <c r="BH15" s="85" t="str">
        <f aca="false">IF($B15=BH$12,$U15,"")</f>
        <v/>
      </c>
      <c r="BI15" s="85" t="str">
        <f aca="false">IF($B15=BI$12,$U15,"")</f>
        <v/>
      </c>
      <c r="BJ15" s="85" t="str">
        <f aca="false">IF($B15=BJ$12,$U15,"")</f>
        <v/>
      </c>
      <c r="BK15" s="85" t="str">
        <f aca="false">IF($B15=BK$12,$U15,"")</f>
        <v/>
      </c>
      <c r="BL15" s="85" t="str">
        <f aca="false">IF($B15=BL$12,$U15,"")</f>
        <v/>
      </c>
      <c r="BM15" s="85" t="str">
        <f aca="false">IF($B15=BM$12,$U15,"")</f>
        <v/>
      </c>
      <c r="BN15" s="85" t="str">
        <f aca="false">IF($B15=BN$12,$U15,"")</f>
        <v/>
      </c>
      <c r="BO15" s="85" t="str">
        <f aca="false">IF($B15=BO$12,$U15,"")</f>
        <v/>
      </c>
      <c r="BP15" s="85" t="str">
        <f aca="false">IF($B15=BP$12,$U15,"")</f>
        <v/>
      </c>
      <c r="BQ15" s="85" t="str">
        <f aca="false">IF($B15=BQ$12,$U15,"")</f>
        <v/>
      </c>
      <c r="BR15" s="85" t="str">
        <f aca="false">IF($B15=BR$12,$U15,"")</f>
        <v/>
      </c>
      <c r="BS15" s="85" t="str">
        <f aca="false">IF($B15=BS$12,$U15,"")</f>
        <v/>
      </c>
      <c r="BT15" s="85" t="str">
        <f aca="false">IF($B15=BT$12,$U15,"")</f>
        <v/>
      </c>
      <c r="BU15" s="85" t="str">
        <f aca="false">IF($B15=BU$12,$U15,"")</f>
        <v/>
      </c>
      <c r="BV15" s="85" t="str">
        <f aca="false">IF($B15=BV$12,$U15,"")</f>
        <v/>
      </c>
      <c r="BW15" s="85" t="str">
        <f aca="false">IF($B15=BW$12,$U15,"")</f>
        <v/>
      </c>
      <c r="BX15" s="85" t="str">
        <f aca="false">IF($B15=BX$12,$U15,"")</f>
        <v/>
      </c>
      <c r="BY15" s="85" t="str">
        <f aca="false">IF($B15=BY$12,$U15,"")</f>
        <v/>
      </c>
      <c r="BZ15" s="85" t="str">
        <f aca="false">IF($B15=BZ$12,$U15,"")</f>
        <v/>
      </c>
      <c r="CA15" s="85" t="str">
        <f aca="false">IF($B15=CA$12,$U15,"")</f>
        <v/>
      </c>
      <c r="CB15" s="85" t="str">
        <f aca="false">IF($B15=CB$12,$U15,"")</f>
        <v/>
      </c>
      <c r="CC15" s="85" t="str">
        <f aca="false">IF($B15=CC$12,$U15,"")</f>
        <v/>
      </c>
      <c r="CD15" s="85" t="str">
        <f aca="false">IF($B15=CD$12,$U15,"")</f>
        <v/>
      </c>
      <c r="CE15" s="85" t="str">
        <f aca="false">IF($B15=CE$12,$U15,"")</f>
        <v/>
      </c>
      <c r="CF15" s="85" t="str">
        <f aca="false">IF($B15=CF$12,$U15,"")</f>
        <v/>
      </c>
      <c r="CG15" s="85" t="str">
        <f aca="false">IF($B15=CG$12,$U15,"")</f>
        <v/>
      </c>
      <c r="CH15" s="85" t="str">
        <f aca="false">IF($B15=CH$12,$U15,"")</f>
        <v/>
      </c>
      <c r="CI15" s="85" t="str">
        <f aca="false">IF($B15=CI$12,$U15,"")</f>
        <v/>
      </c>
      <c r="CJ15" s="85" t="str">
        <f aca="false">IF($B15=CJ$12,$U15,"")</f>
        <v/>
      </c>
      <c r="CK15" s="85" t="str">
        <f aca="false">IF($B15=CK$12,$U15,"")</f>
        <v/>
      </c>
      <c r="CL15" s="85" t="str">
        <f aca="false">IF($B15=CL$12,$U15,"")</f>
        <v/>
      </c>
      <c r="CM15" s="85" t="str">
        <f aca="false">IF($B15=CM$12,$U15,"")</f>
        <v/>
      </c>
      <c r="CN15" s="85" t="str">
        <f aca="false">IF($B15=CN$12,$U15,"")</f>
        <v/>
      </c>
      <c r="CO15" s="85" t="str">
        <f aca="false">IF($B15=CO$12,$U15,"")</f>
        <v/>
      </c>
      <c r="CP15" s="85" t="str">
        <f aca="false">IF($B15=CP$12,$U15,"")</f>
        <v/>
      </c>
      <c r="CQ15" s="85" t="str">
        <f aca="false">IF($B15=CQ$12,$U15,"")</f>
        <v/>
      </c>
      <c r="CR15" s="85" t="str">
        <f aca="false">IF($B15=CR$12,$U15,"")</f>
        <v/>
      </c>
      <c r="CS15" s="85" t="str">
        <f aca="false">IF($B15=CS$12,$U15,"")</f>
        <v/>
      </c>
      <c r="CT15" s="85" t="str">
        <f aca="false">IF($B15=CT$12,$U15,"")</f>
        <v/>
      </c>
      <c r="CU15" s="85" t="str">
        <f aca="false">IF($B15=CU$12,$U15,"")</f>
        <v/>
      </c>
      <c r="CV15" s="85" t="str">
        <f aca="false">IF($B15=CV$12,$U15,"")</f>
        <v/>
      </c>
      <c r="CW15" s="85" t="str">
        <f aca="false">IF($B15=CW$12,$U15,"")</f>
        <v/>
      </c>
      <c r="CX15" s="85" t="str">
        <f aca="false">IF($B15=CX$12,$U15,"")</f>
        <v/>
      </c>
      <c r="CY15" s="85" t="str">
        <f aca="false">IF($B15=CY$12,$U15,"")</f>
        <v/>
      </c>
      <c r="CZ15" s="85" t="str">
        <f aca="false">IF($B15=CZ$12,$U15,"")</f>
        <v/>
      </c>
      <c r="DA15" s="85" t="str">
        <f aca="false">IF($B15=DA$12,$U15,"")</f>
        <v/>
      </c>
      <c r="DB15" s="85" t="str">
        <f aca="false">IF($B15=DB$12,$U15,"")</f>
        <v/>
      </c>
      <c r="DC15" s="85" t="str">
        <f aca="false">IF($B15=DC$12,$U15,"")</f>
        <v/>
      </c>
      <c r="DD15" s="85" t="str">
        <f aca="false">IF($B15=DD$12,$U15,"")</f>
        <v/>
      </c>
      <c r="DE15" s="85" t="str">
        <f aca="false">IF($B15=DE$12,$U15,"")</f>
        <v/>
      </c>
      <c r="DF15" s="85" t="str">
        <f aca="false">IF($B15=DF$12,$U15,"")</f>
        <v/>
      </c>
      <c r="DG15" s="85" t="str">
        <f aca="false">IF($B15=DG$12,$U15,"")</f>
        <v/>
      </c>
      <c r="DH15" s="85" t="str">
        <f aca="false">IF($B15=DH$12,$U15,"")</f>
        <v/>
      </c>
      <c r="DI15" s="85" t="str">
        <f aca="false">IF($B15=DI$12,$U15,"")</f>
        <v/>
      </c>
      <c r="DJ15" s="85" t="str">
        <f aca="false">IF($B15=DJ$12,$U15,"")</f>
        <v/>
      </c>
      <c r="DK15" s="85" t="str">
        <f aca="false">IF($B15=DK$12,$U15,"")</f>
        <v/>
      </c>
      <c r="DL15" s="85" t="str">
        <f aca="false">IF($B15=DL$12,$U15,"")</f>
        <v/>
      </c>
      <c r="DM15" s="85" t="str">
        <f aca="false">IF($B15=DM$12,$U15,"")</f>
        <v/>
      </c>
      <c r="DN15" s="85" t="str">
        <f aca="false">IF($B15=DN$12,$U15,"")</f>
        <v/>
      </c>
      <c r="DO15" s="85" t="str">
        <f aca="false">IF($B15=DO$12,$U15,"")</f>
        <v/>
      </c>
      <c r="DP15" s="85" t="str">
        <f aca="false">IF($B15=DP$12,$U15,"")</f>
        <v/>
      </c>
      <c r="DQ15" s="85" t="str">
        <f aca="false">IF($B15=DQ$12,$U15,"")</f>
        <v/>
      </c>
      <c r="DR15" s="85" t="str">
        <f aca="false">IF($B15=DR$12,$U15,"")</f>
        <v/>
      </c>
      <c r="DS15" s="85" t="str">
        <f aca="false">IF($B15=DS$12,$U15,"")</f>
        <v/>
      </c>
      <c r="DT15" s="86" t="str">
        <f aca="false">IF($B15=DT$12,$U15,"")</f>
        <v/>
      </c>
      <c r="DU15" s="55"/>
      <c r="DV15" s="83"/>
      <c r="DW15" s="87" t="n">
        <f aca="false">IF($B15=DW$12,$O15,"")</f>
        <v>2365.86</v>
      </c>
      <c r="DX15" s="88" t="str">
        <f aca="false">IF($B15=DX$12,$O15,"")</f>
        <v/>
      </c>
      <c r="DY15" s="88" t="str">
        <f aca="false">IF($B15=DY$12,$O15,"")</f>
        <v/>
      </c>
      <c r="DZ15" s="88" t="str">
        <f aca="false">IF($B15=DZ$12,$O15,"")</f>
        <v/>
      </c>
      <c r="EA15" s="88" t="str">
        <f aca="false">IF($B15=EA$12,$O15,"")</f>
        <v/>
      </c>
      <c r="EB15" s="88" t="str">
        <f aca="false">IF($B15=EB$12,$O15,"")</f>
        <v/>
      </c>
      <c r="EC15" s="88" t="str">
        <f aca="false">IF($B15=EC$12,$O15,"")</f>
        <v/>
      </c>
      <c r="ED15" s="88" t="str">
        <f aca="false">IF($B15=ED$12,$O15,"")</f>
        <v/>
      </c>
      <c r="EE15" s="88" t="str">
        <f aca="false">IF($B15=EE$12,$O15,"")</f>
        <v/>
      </c>
      <c r="EF15" s="88" t="str">
        <f aca="false">IF($B15=EF$12,$O15,"")</f>
        <v/>
      </c>
      <c r="EG15" s="88" t="str">
        <f aca="false">IF($B15=EG$12,$O15,"")</f>
        <v/>
      </c>
      <c r="EH15" s="88" t="str">
        <f aca="false">IF($B15=EH$12,$O15,"")</f>
        <v/>
      </c>
      <c r="EI15" s="88" t="str">
        <f aca="false">IF($B15=EI$12,$O15,"")</f>
        <v/>
      </c>
      <c r="EJ15" s="88" t="str">
        <f aca="false">IF($B15=EJ$12,$O15,"")</f>
        <v/>
      </c>
      <c r="EK15" s="88" t="str">
        <f aca="false">IF($B15=EK$12,$O15,"")</f>
        <v/>
      </c>
      <c r="EL15" s="88" t="str">
        <f aca="false">IF($B15=EL$12,$O15,"")</f>
        <v/>
      </c>
      <c r="EM15" s="88" t="str">
        <f aca="false">IF($B15=EM$12,$O15,"")</f>
        <v/>
      </c>
      <c r="EN15" s="88" t="str">
        <f aca="false">IF($B15=EN$12,$O15,"")</f>
        <v/>
      </c>
      <c r="EO15" s="88" t="str">
        <f aca="false">IF($B15=EO$12,$O15,"")</f>
        <v/>
      </c>
      <c r="EP15" s="88" t="str">
        <f aca="false">IF($B15=EP$12,$O15,"")</f>
        <v/>
      </c>
      <c r="EQ15" s="88" t="str">
        <f aca="false">IF($B15=EQ$12,$O15,"")</f>
        <v/>
      </c>
      <c r="ER15" s="88" t="str">
        <f aca="false">IF($B15=ER$12,$O15,"")</f>
        <v/>
      </c>
      <c r="ES15" s="88" t="str">
        <f aca="false">IF($B15=ES$12,$O15,"")</f>
        <v/>
      </c>
      <c r="ET15" s="88" t="str">
        <f aca="false">IF($B15=ET$12,$O15,"")</f>
        <v/>
      </c>
      <c r="EU15" s="88" t="str">
        <f aca="false">IF($B15=EU$12,$O15,"")</f>
        <v/>
      </c>
      <c r="EV15" s="88" t="str">
        <f aca="false">IF($B15=EV$12,$O15,"")</f>
        <v/>
      </c>
      <c r="EW15" s="88" t="str">
        <f aca="false">IF($B15=EW$12,$O15,"")</f>
        <v/>
      </c>
      <c r="EX15" s="88" t="str">
        <f aca="false">IF($B15=EX$12,$O15,"")</f>
        <v/>
      </c>
      <c r="EY15" s="88" t="str">
        <f aca="false">IF($B15=EY$12,$O15,"")</f>
        <v/>
      </c>
      <c r="EZ15" s="88" t="str">
        <f aca="false">IF($B15=EZ$12,$O15,"")</f>
        <v/>
      </c>
      <c r="FA15" s="88" t="str">
        <f aca="false">IF($B15=FA$12,$O15,"")</f>
        <v/>
      </c>
      <c r="FB15" s="88" t="str">
        <f aca="false">IF($B15=FB$12,$O15,"")</f>
        <v/>
      </c>
      <c r="FC15" s="88" t="str">
        <f aca="false">IF($B15=FC$12,$O15,"")</f>
        <v/>
      </c>
      <c r="FD15" s="88" t="str">
        <f aca="false">IF($B15=FD$12,$O15,"")</f>
        <v/>
      </c>
      <c r="FE15" s="88" t="str">
        <f aca="false">IF($B15=FE$12,$O15,"")</f>
        <v/>
      </c>
      <c r="FF15" s="88" t="str">
        <f aca="false">IF($B15=FF$12,$O15,"")</f>
        <v/>
      </c>
      <c r="FG15" s="88" t="str">
        <f aca="false">IF($B15=FG$12,$O15,"")</f>
        <v/>
      </c>
      <c r="FH15" s="88" t="str">
        <f aca="false">IF($B15=FH$12,$O15,"")</f>
        <v/>
      </c>
      <c r="FI15" s="88" t="str">
        <f aca="false">IF($B15=FI$12,$O15,"")</f>
        <v/>
      </c>
      <c r="FJ15" s="88" t="str">
        <f aca="false">IF($B15=FJ$12,$O15,"")</f>
        <v/>
      </c>
      <c r="FK15" s="88" t="str">
        <f aca="false">IF($B15=FK$12,$O15,"")</f>
        <v/>
      </c>
      <c r="FL15" s="88" t="str">
        <f aca="false">IF($B15=FL$12,$O15,"")</f>
        <v/>
      </c>
      <c r="FM15" s="88" t="str">
        <f aca="false">IF($B15=FM$12,$O15,"")</f>
        <v/>
      </c>
      <c r="FN15" s="88" t="str">
        <f aca="false">IF($B15=FN$12,$O15,"")</f>
        <v/>
      </c>
      <c r="FO15" s="88" t="str">
        <f aca="false">IF($B15=FO$12,$O15,"")</f>
        <v/>
      </c>
      <c r="FP15" s="88" t="str">
        <f aca="false">IF($B15=FP$12,$O15,"")</f>
        <v/>
      </c>
      <c r="FQ15" s="88" t="str">
        <f aca="false">IF($B15=FQ$12,$O15,"")</f>
        <v/>
      </c>
      <c r="FR15" s="88" t="str">
        <f aca="false">IF($B15=FR$12,$O15,"")</f>
        <v/>
      </c>
      <c r="FS15" s="88" t="str">
        <f aca="false">IF($B15=FS$12,$O15,"")</f>
        <v/>
      </c>
      <c r="FT15" s="88" t="str">
        <f aca="false">IF($B15=FT$12,$O15,"")</f>
        <v/>
      </c>
      <c r="FU15" s="88" t="str">
        <f aca="false">IF($B15=FU$12,$O15,"")</f>
        <v/>
      </c>
      <c r="FV15" s="88" t="str">
        <f aca="false">IF($B15=FV$12,$O15,"")</f>
        <v/>
      </c>
      <c r="FW15" s="88" t="str">
        <f aca="false">IF($B15=FW$12,$O15,"")</f>
        <v/>
      </c>
      <c r="FX15" s="88" t="str">
        <f aca="false">IF($B15=FX$12,$O15,"")</f>
        <v/>
      </c>
      <c r="FY15" s="88" t="str">
        <f aca="false">IF($B15=FY$12,$O15,"")</f>
        <v/>
      </c>
      <c r="FZ15" s="88" t="str">
        <f aca="false">IF($B15=FZ$12,$O15,"")</f>
        <v/>
      </c>
      <c r="GA15" s="88" t="str">
        <f aca="false">IF($B15=GA$12,$O15,"")</f>
        <v/>
      </c>
      <c r="GB15" s="88" t="str">
        <f aca="false">IF($B15=GB$12,$O15,"")</f>
        <v/>
      </c>
      <c r="GC15" s="88" t="str">
        <f aca="false">IF($B15=GC$12,$O15,"")</f>
        <v/>
      </c>
      <c r="GD15" s="88" t="str">
        <f aca="false">IF($B15=GD$12,$O15,"")</f>
        <v/>
      </c>
      <c r="GE15" s="88" t="str">
        <f aca="false">IF($B15=GE$12,$O15,"")</f>
        <v/>
      </c>
      <c r="GF15" s="88" t="str">
        <f aca="false">IF($B15=GF$12,$O15,"")</f>
        <v/>
      </c>
      <c r="GG15" s="88" t="str">
        <f aca="false">IF($B15=GG$12,$O15,"")</f>
        <v/>
      </c>
      <c r="GH15" s="88" t="str">
        <f aca="false">IF($B15=GH$12,$O15,"")</f>
        <v/>
      </c>
      <c r="GI15" s="88" t="str">
        <f aca="false">IF($B15=GI$12,$O15,"")</f>
        <v/>
      </c>
      <c r="GJ15" s="88" t="str">
        <f aca="false">IF($B15=GJ$12,$O15,"")</f>
        <v/>
      </c>
      <c r="GK15" s="88" t="str">
        <f aca="false">IF($B15=GK$12,$O15,"")</f>
        <v/>
      </c>
      <c r="GL15" s="88" t="str">
        <f aca="false">IF($B15=GL$12,$O15,"")</f>
        <v/>
      </c>
      <c r="GM15" s="88" t="str">
        <f aca="false">IF($B15=GM$12,$O15,"")</f>
        <v/>
      </c>
      <c r="GN15" s="88" t="str">
        <f aca="false">IF($B15=GN$12,$O15,"")</f>
        <v/>
      </c>
      <c r="GO15" s="88" t="str">
        <f aca="false">IF($B15=GO$12,$O15,"")</f>
        <v/>
      </c>
      <c r="GP15" s="88" t="str">
        <f aca="false">IF($B15=GP$12,$O15,"")</f>
        <v/>
      </c>
      <c r="GQ15" s="88" t="str">
        <f aca="false">IF($B15=GQ$12,$O15,"")</f>
        <v/>
      </c>
      <c r="GR15" s="88" t="str">
        <f aca="false">IF($B15=GR$12,$O15,"")</f>
        <v/>
      </c>
      <c r="GS15" s="88" t="str">
        <f aca="false">IF($B15=GS$12,$O15,"")</f>
        <v/>
      </c>
      <c r="GT15" s="88" t="str">
        <f aca="false">IF($B15=GT$12,$O15,"")</f>
        <v/>
      </c>
      <c r="GU15" s="88" t="str">
        <f aca="false">IF($B15=GU$12,$O15,"")</f>
        <v/>
      </c>
      <c r="GV15" s="88" t="str">
        <f aca="false">IF($B15=GV$12,$O15,"")</f>
        <v/>
      </c>
      <c r="GW15" s="88" t="str">
        <f aca="false">IF($B15=GW$12,$O15,"")</f>
        <v/>
      </c>
      <c r="GX15" s="88" t="str">
        <f aca="false">IF($B15=GX$12,$O15,"")</f>
        <v/>
      </c>
      <c r="GY15" s="88" t="str">
        <f aca="false">IF($B15=GY$12,$O15,"")</f>
        <v/>
      </c>
      <c r="GZ15" s="88" t="str">
        <f aca="false">IF($B15=GZ$12,$O15,"")</f>
        <v/>
      </c>
      <c r="HA15" s="88" t="str">
        <f aca="false">IF($B15=HA$12,$O15,"")</f>
        <v/>
      </c>
      <c r="HB15" s="88" t="str">
        <f aca="false">IF($B15=HB$12,$O15,"")</f>
        <v/>
      </c>
      <c r="HC15" s="88" t="str">
        <f aca="false">IF($B15=HC$12,$O15,"")</f>
        <v/>
      </c>
      <c r="HD15" s="88" t="str">
        <f aca="false">IF($B15=HD$12,$O15,"")</f>
        <v/>
      </c>
      <c r="HE15" s="88" t="str">
        <f aca="false">IF($B15=HE$12,$O15,"")</f>
        <v/>
      </c>
      <c r="HF15" s="88" t="str">
        <f aca="false">IF($B15=HF$12,$O15,"")</f>
        <v/>
      </c>
      <c r="HG15" s="88" t="str">
        <f aca="false">IF($B15=HG$12,$O15,"")</f>
        <v/>
      </c>
      <c r="HH15" s="88" t="str">
        <f aca="false">IF($B15=HH$12,$O15,"")</f>
        <v/>
      </c>
      <c r="HI15" s="88" t="str">
        <f aca="false">IF($B15=HI$12,$O15,"")</f>
        <v/>
      </c>
      <c r="HJ15" s="88" t="str">
        <f aca="false">IF($B15=HJ$12,$O15,"")</f>
        <v/>
      </c>
      <c r="HK15" s="88" t="str">
        <f aca="false">IF($B15=HK$12,$O15,"")</f>
        <v/>
      </c>
      <c r="HL15" s="88" t="str">
        <f aca="false">IF($B15=HL$12,$O15,"")</f>
        <v/>
      </c>
      <c r="HM15" s="88" t="str">
        <f aca="false">IF($B15=HM$12,$O15,"")</f>
        <v/>
      </c>
      <c r="HN15" s="88" t="str">
        <f aca="false">IF($B15=HN$12,$O15,"")</f>
        <v/>
      </c>
      <c r="HO15" s="88" t="str">
        <f aca="false">IF($B15=HO$12,$O15,"")</f>
        <v/>
      </c>
      <c r="HP15" s="88" t="str">
        <f aca="false">IF($B15=HP$12,$O15,"")</f>
        <v/>
      </c>
      <c r="HQ15" s="88" t="str">
        <f aca="false">IF($B15=HQ$12,$O15,"")</f>
        <v/>
      </c>
      <c r="HR15" s="89" t="str">
        <f aca="false">IF($B15=HR$12,$O15,"")</f>
        <v/>
      </c>
    </row>
    <row r="16" customFormat="false" ht="10.5" hidden="false" customHeight="true" outlineLevel="0" collapsed="false">
      <c r="A16" s="73"/>
      <c r="B16" s="74"/>
      <c r="C16" s="75" t="str">
        <f aca="false">IF(A16=0,"",VLOOKUP(A16,[3]CO!$A$3:$F$5311,2,0))</f>
        <v/>
      </c>
      <c r="D16" s="76" t="s">
        <v>24</v>
      </c>
      <c r="E16" s="76"/>
      <c r="F16" s="76"/>
      <c r="G16" s="77" t="str">
        <f aca="false">IF(A16=0,"",VLOOKUP(A16,[3]CO!$A$3:$F$5311,3,0))</f>
        <v/>
      </c>
      <c r="H16" s="76"/>
      <c r="I16" s="78"/>
      <c r="J16" s="78"/>
      <c r="K16" s="78"/>
      <c r="L16" s="78"/>
      <c r="M16" s="79" t="str">
        <f aca="false">IF(L16=0,"",PRODUCT(I16:L16))</f>
        <v/>
      </c>
      <c r="N16" s="79" t="str">
        <f aca="false">IF(B16=0,"",IF(H16="M",HLOOKUP(B16,$Y$12:$DT$13,2),IF(A16=0,"",VLOOKUP(A16,[3]CO!$A$3:$F$5311,4,0))))</f>
        <v/>
      </c>
      <c r="O16" s="79" t="str">
        <f aca="false">IF(L16=0,"",PRODUCT(M16:N16))</f>
        <v/>
      </c>
      <c r="P16" s="80"/>
      <c r="Q16" s="81" t="str">
        <f aca="false">IF(P16=0,"",(HLOOKUP(P16,$DW$12:$HR$13,2)))</f>
        <v/>
      </c>
      <c r="R16" s="82" t="str">
        <f aca="false"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RESIDENTE"),VLOOKUP(B16,P$14:Q$131,2),"")*S16)</f>
        <v/>
      </c>
      <c r="S16" s="5"/>
      <c r="T16" s="65" t="str">
        <f aca="false">IF(A16=0,"",VLOOKUP(A16,[3]CO!$A$3:$F$5302,5,0))</f>
        <v/>
      </c>
      <c r="U16" s="55" t="n">
        <f aca="false">IF(T16=1,O16*0.1,)</f>
        <v>0</v>
      </c>
      <c r="V16" s="66"/>
      <c r="W16" s="83"/>
      <c r="X16" s="83"/>
      <c r="Y16" s="84" t="str">
        <f aca="false">IF($B16=Y$12,$U16,"")</f>
        <v/>
      </c>
      <c r="Z16" s="85" t="str">
        <f aca="false">IF($B16=Z$12,$U16,"")</f>
        <v/>
      </c>
      <c r="AA16" s="85" t="str">
        <f aca="false">IF($B16=AA$12,$U16,"")</f>
        <v/>
      </c>
      <c r="AB16" s="85" t="str">
        <f aca="false">IF($B16=AB$12,$U16,"")</f>
        <v/>
      </c>
      <c r="AC16" s="85" t="str">
        <f aca="false">IF($B16=AC$12,$U16,"")</f>
        <v/>
      </c>
      <c r="AD16" s="85" t="str">
        <f aca="false">IF($B16=AD$12,$U16,"")</f>
        <v/>
      </c>
      <c r="AE16" s="85" t="str">
        <f aca="false">IF($B16=AE$12,$U16,"")</f>
        <v/>
      </c>
      <c r="AF16" s="85" t="str">
        <f aca="false">IF($B16=AF$12,$U16,"")</f>
        <v/>
      </c>
      <c r="AG16" s="85" t="str">
        <f aca="false">IF($B16=AG$12,$U16,"")</f>
        <v/>
      </c>
      <c r="AH16" s="85" t="str">
        <f aca="false">IF($B16=AH$12,$U16,"")</f>
        <v/>
      </c>
      <c r="AI16" s="85" t="str">
        <f aca="false">IF($B16=AI$12,$U16,"")</f>
        <v/>
      </c>
      <c r="AJ16" s="85" t="str">
        <f aca="false">IF($B16=AJ$12,$U16,"")</f>
        <v/>
      </c>
      <c r="AK16" s="85" t="str">
        <f aca="false">IF($B16=AK$12,$U16,"")</f>
        <v/>
      </c>
      <c r="AL16" s="85" t="str">
        <f aca="false">IF($B16=AL$12,$U16,"")</f>
        <v/>
      </c>
      <c r="AM16" s="85" t="str">
        <f aca="false">IF($B16=AM$12,$U16,"")</f>
        <v/>
      </c>
      <c r="AN16" s="85" t="str">
        <f aca="false">IF($B16=AN$12,$U16,"")</f>
        <v/>
      </c>
      <c r="AO16" s="85" t="str">
        <f aca="false">IF($B16=AO$12,$U16,"")</f>
        <v/>
      </c>
      <c r="AP16" s="85" t="str">
        <f aca="false">IF($B16=AP$12,$U16,"")</f>
        <v/>
      </c>
      <c r="AQ16" s="85" t="str">
        <f aca="false">IF($B16=AQ$12,$U16,"")</f>
        <v/>
      </c>
      <c r="AR16" s="85" t="str">
        <f aca="false">IF($B16=AR$12,$U16,"")</f>
        <v/>
      </c>
      <c r="AS16" s="85" t="str">
        <f aca="false">IF($B16=AS$12,$U16,"")</f>
        <v/>
      </c>
      <c r="AT16" s="85" t="str">
        <f aca="false">IF($B16=AT$12,$U16,"")</f>
        <v/>
      </c>
      <c r="AU16" s="85" t="str">
        <f aca="false">IF($B16=AU$12,$U16,"")</f>
        <v/>
      </c>
      <c r="AV16" s="85" t="str">
        <f aca="false">IF($B16=AV$12,$U16,"")</f>
        <v/>
      </c>
      <c r="AW16" s="85" t="str">
        <f aca="false">IF($B16=AW$12,$U16,"")</f>
        <v/>
      </c>
      <c r="AX16" s="85" t="str">
        <f aca="false">IF($B16=AX$12,$U16,"")</f>
        <v/>
      </c>
      <c r="AY16" s="85" t="str">
        <f aca="false">IF($B16=AY$12,$U16,"")</f>
        <v/>
      </c>
      <c r="AZ16" s="85" t="str">
        <f aca="false">IF($B16=AZ$12,$U16,"")</f>
        <v/>
      </c>
      <c r="BA16" s="85" t="str">
        <f aca="false">IF($B16=BA$12,$U16,"")</f>
        <v/>
      </c>
      <c r="BB16" s="85" t="str">
        <f aca="false">IF($B16=BB$12,$U16,"")</f>
        <v/>
      </c>
      <c r="BC16" s="85" t="str">
        <f aca="false">IF($B16=BC$12,$U16,"")</f>
        <v/>
      </c>
      <c r="BD16" s="85" t="str">
        <f aca="false">IF($B16=BD$12,$U16,"")</f>
        <v/>
      </c>
      <c r="BE16" s="85" t="str">
        <f aca="false">IF($B16=BE$12,$U16,"")</f>
        <v/>
      </c>
      <c r="BF16" s="85" t="str">
        <f aca="false">IF($B16=BF$12,$U16,"")</f>
        <v/>
      </c>
      <c r="BG16" s="85" t="str">
        <f aca="false">IF($B16=BG$12,$U16,"")</f>
        <v/>
      </c>
      <c r="BH16" s="85" t="str">
        <f aca="false">IF($B16=BH$12,$U16,"")</f>
        <v/>
      </c>
      <c r="BI16" s="85" t="str">
        <f aca="false">IF($B16=BI$12,$U16,"")</f>
        <v/>
      </c>
      <c r="BJ16" s="85" t="str">
        <f aca="false">IF($B16=BJ$12,$U16,"")</f>
        <v/>
      </c>
      <c r="BK16" s="85" t="str">
        <f aca="false">IF($B16=BK$12,$U16,"")</f>
        <v/>
      </c>
      <c r="BL16" s="85" t="str">
        <f aca="false">IF($B16=BL$12,$U16,"")</f>
        <v/>
      </c>
      <c r="BM16" s="85" t="str">
        <f aca="false">IF($B16=BM$12,$U16,"")</f>
        <v/>
      </c>
      <c r="BN16" s="85" t="str">
        <f aca="false">IF($B16=BN$12,$U16,"")</f>
        <v/>
      </c>
      <c r="BO16" s="85" t="str">
        <f aca="false">IF($B16=BO$12,$U16,"")</f>
        <v/>
      </c>
      <c r="BP16" s="85" t="str">
        <f aca="false">IF($B16=BP$12,$U16,"")</f>
        <v/>
      </c>
      <c r="BQ16" s="85" t="str">
        <f aca="false">IF($B16=BQ$12,$U16,"")</f>
        <v/>
      </c>
      <c r="BR16" s="85" t="str">
        <f aca="false">IF($B16=BR$12,$U16,"")</f>
        <v/>
      </c>
      <c r="BS16" s="85" t="str">
        <f aca="false">IF($B16=BS$12,$U16,"")</f>
        <v/>
      </c>
      <c r="BT16" s="85" t="str">
        <f aca="false">IF($B16=BT$12,$U16,"")</f>
        <v/>
      </c>
      <c r="BU16" s="85" t="str">
        <f aca="false">IF($B16=BU$12,$U16,"")</f>
        <v/>
      </c>
      <c r="BV16" s="85" t="str">
        <f aca="false">IF($B16=BV$12,$U16,"")</f>
        <v/>
      </c>
      <c r="BW16" s="85" t="str">
        <f aca="false">IF($B16=BW$12,$U16,"")</f>
        <v/>
      </c>
      <c r="BX16" s="85" t="str">
        <f aca="false">IF($B16=BX$12,$U16,"")</f>
        <v/>
      </c>
      <c r="BY16" s="85" t="str">
        <f aca="false">IF($B16=BY$12,$U16,"")</f>
        <v/>
      </c>
      <c r="BZ16" s="85" t="str">
        <f aca="false">IF($B16=BZ$12,$U16,"")</f>
        <v/>
      </c>
      <c r="CA16" s="85" t="str">
        <f aca="false">IF($B16=CA$12,$U16,"")</f>
        <v/>
      </c>
      <c r="CB16" s="85" t="str">
        <f aca="false">IF($B16=CB$12,$U16,"")</f>
        <v/>
      </c>
      <c r="CC16" s="85" t="str">
        <f aca="false">IF($B16=CC$12,$U16,"")</f>
        <v/>
      </c>
      <c r="CD16" s="85" t="str">
        <f aca="false">IF($B16=CD$12,$U16,"")</f>
        <v/>
      </c>
      <c r="CE16" s="85" t="str">
        <f aca="false">IF($B16=CE$12,$U16,"")</f>
        <v/>
      </c>
      <c r="CF16" s="85" t="str">
        <f aca="false">IF($B16=CF$12,$U16,"")</f>
        <v/>
      </c>
      <c r="CG16" s="85" t="str">
        <f aca="false">IF($B16=CG$12,$U16,"")</f>
        <v/>
      </c>
      <c r="CH16" s="85" t="str">
        <f aca="false">IF($B16=CH$12,$U16,"")</f>
        <v/>
      </c>
      <c r="CI16" s="85" t="str">
        <f aca="false">IF($B16=CI$12,$U16,"")</f>
        <v/>
      </c>
      <c r="CJ16" s="85" t="str">
        <f aca="false">IF($B16=CJ$12,$U16,"")</f>
        <v/>
      </c>
      <c r="CK16" s="85" t="str">
        <f aca="false">IF($B16=CK$12,$U16,"")</f>
        <v/>
      </c>
      <c r="CL16" s="85" t="str">
        <f aca="false">IF($B16=CL$12,$U16,"")</f>
        <v/>
      </c>
      <c r="CM16" s="85" t="str">
        <f aca="false">IF($B16=CM$12,$U16,"")</f>
        <v/>
      </c>
      <c r="CN16" s="85" t="str">
        <f aca="false">IF($B16=CN$12,$U16,"")</f>
        <v/>
      </c>
      <c r="CO16" s="85" t="str">
        <f aca="false">IF($B16=CO$12,$U16,"")</f>
        <v/>
      </c>
      <c r="CP16" s="85" t="str">
        <f aca="false">IF($B16=CP$12,$U16,"")</f>
        <v/>
      </c>
      <c r="CQ16" s="85" t="str">
        <f aca="false">IF($B16=CQ$12,$U16,"")</f>
        <v/>
      </c>
      <c r="CR16" s="85" t="str">
        <f aca="false">IF($B16=CR$12,$U16,"")</f>
        <v/>
      </c>
      <c r="CS16" s="85" t="str">
        <f aca="false">IF($B16=CS$12,$U16,"")</f>
        <v/>
      </c>
      <c r="CT16" s="85" t="str">
        <f aca="false">IF($B16=CT$12,$U16,"")</f>
        <v/>
      </c>
      <c r="CU16" s="85" t="str">
        <f aca="false">IF($B16=CU$12,$U16,"")</f>
        <v/>
      </c>
      <c r="CV16" s="85" t="str">
        <f aca="false">IF($B16=CV$12,$U16,"")</f>
        <v/>
      </c>
      <c r="CW16" s="85" t="str">
        <f aca="false">IF($B16=CW$12,$U16,"")</f>
        <v/>
      </c>
      <c r="CX16" s="85" t="str">
        <f aca="false">IF($B16=CX$12,$U16,"")</f>
        <v/>
      </c>
      <c r="CY16" s="85" t="str">
        <f aca="false">IF($B16=CY$12,$U16,"")</f>
        <v/>
      </c>
      <c r="CZ16" s="85" t="str">
        <f aca="false">IF($B16=CZ$12,$U16,"")</f>
        <v/>
      </c>
      <c r="DA16" s="85" t="str">
        <f aca="false">IF($B16=DA$12,$U16,"")</f>
        <v/>
      </c>
      <c r="DB16" s="85" t="str">
        <f aca="false">IF($B16=DB$12,$U16,"")</f>
        <v/>
      </c>
      <c r="DC16" s="85" t="str">
        <f aca="false">IF($B16=DC$12,$U16,"")</f>
        <v/>
      </c>
      <c r="DD16" s="85" t="str">
        <f aca="false">IF($B16=DD$12,$U16,"")</f>
        <v/>
      </c>
      <c r="DE16" s="85" t="str">
        <f aca="false">IF($B16=DE$12,$U16,"")</f>
        <v/>
      </c>
      <c r="DF16" s="85" t="str">
        <f aca="false">IF($B16=DF$12,$U16,"")</f>
        <v/>
      </c>
      <c r="DG16" s="85" t="str">
        <f aca="false">IF($B16=DG$12,$U16,"")</f>
        <v/>
      </c>
      <c r="DH16" s="85" t="str">
        <f aca="false">IF($B16=DH$12,$U16,"")</f>
        <v/>
      </c>
      <c r="DI16" s="85" t="str">
        <f aca="false">IF($B16=DI$12,$U16,"")</f>
        <v/>
      </c>
      <c r="DJ16" s="85" t="str">
        <f aca="false">IF($B16=DJ$12,$U16,"")</f>
        <v/>
      </c>
      <c r="DK16" s="85" t="str">
        <f aca="false">IF($B16=DK$12,$U16,"")</f>
        <v/>
      </c>
      <c r="DL16" s="85" t="str">
        <f aca="false">IF($B16=DL$12,$U16,"")</f>
        <v/>
      </c>
      <c r="DM16" s="85" t="str">
        <f aca="false">IF($B16=DM$12,$U16,"")</f>
        <v/>
      </c>
      <c r="DN16" s="85" t="str">
        <f aca="false">IF($B16=DN$12,$U16,"")</f>
        <v/>
      </c>
      <c r="DO16" s="85" t="str">
        <f aca="false">IF($B16=DO$12,$U16,"")</f>
        <v/>
      </c>
      <c r="DP16" s="85" t="str">
        <f aca="false">IF($B16=DP$12,$U16,"")</f>
        <v/>
      </c>
      <c r="DQ16" s="85" t="str">
        <f aca="false">IF($B16=DQ$12,$U16,"")</f>
        <v/>
      </c>
      <c r="DR16" s="85" t="str">
        <f aca="false">IF($B16=DR$12,$U16,"")</f>
        <v/>
      </c>
      <c r="DS16" s="85" t="str">
        <f aca="false">IF($B16=DS$12,$U16,"")</f>
        <v/>
      </c>
      <c r="DT16" s="86" t="str">
        <f aca="false">IF($B16=DT$12,$U16,"")</f>
        <v/>
      </c>
      <c r="DU16" s="55"/>
      <c r="DV16" s="83"/>
      <c r="DW16" s="87" t="str">
        <f aca="false">IF($B16=DW$12,$O16,"")</f>
        <v/>
      </c>
      <c r="DX16" s="88" t="str">
        <f aca="false">IF($B16=DX$12,$O16,"")</f>
        <v/>
      </c>
      <c r="DY16" s="88" t="str">
        <f aca="false">IF($B16=DY$12,$O16,"")</f>
        <v/>
      </c>
      <c r="DZ16" s="88" t="str">
        <f aca="false">IF($B16=DZ$12,$O16,"")</f>
        <v/>
      </c>
      <c r="EA16" s="88" t="str">
        <f aca="false">IF($B16=EA$12,$O16,"")</f>
        <v/>
      </c>
      <c r="EB16" s="88" t="str">
        <f aca="false">IF($B16=EB$12,$O16,"")</f>
        <v/>
      </c>
      <c r="EC16" s="88" t="str">
        <f aca="false">IF($B16=EC$12,$O16,"")</f>
        <v/>
      </c>
      <c r="ED16" s="88" t="str">
        <f aca="false">IF($B16=ED$12,$O16,"")</f>
        <v/>
      </c>
      <c r="EE16" s="88" t="str">
        <f aca="false">IF($B16=EE$12,$O16,"")</f>
        <v/>
      </c>
      <c r="EF16" s="88" t="str">
        <f aca="false">IF($B16=EF$12,$O16,"")</f>
        <v/>
      </c>
      <c r="EG16" s="88" t="str">
        <f aca="false">IF($B16=EG$12,$O16,"")</f>
        <v/>
      </c>
      <c r="EH16" s="88" t="str">
        <f aca="false">IF($B16=EH$12,$O16,"")</f>
        <v/>
      </c>
      <c r="EI16" s="88" t="str">
        <f aca="false">IF($B16=EI$12,$O16,"")</f>
        <v/>
      </c>
      <c r="EJ16" s="88" t="str">
        <f aca="false">IF($B16=EJ$12,$O16,"")</f>
        <v/>
      </c>
      <c r="EK16" s="88" t="str">
        <f aca="false">IF($B16=EK$12,$O16,"")</f>
        <v/>
      </c>
      <c r="EL16" s="88" t="str">
        <f aca="false">IF($B16=EL$12,$O16,"")</f>
        <v/>
      </c>
      <c r="EM16" s="88" t="str">
        <f aca="false">IF($B16=EM$12,$O16,"")</f>
        <v/>
      </c>
      <c r="EN16" s="88" t="str">
        <f aca="false">IF($B16=EN$12,$O16,"")</f>
        <v/>
      </c>
      <c r="EO16" s="88" t="str">
        <f aca="false">IF($B16=EO$12,$O16,"")</f>
        <v/>
      </c>
      <c r="EP16" s="88" t="str">
        <f aca="false">IF($B16=EP$12,$O16,"")</f>
        <v/>
      </c>
      <c r="EQ16" s="88" t="str">
        <f aca="false">IF($B16=EQ$12,$O16,"")</f>
        <v/>
      </c>
      <c r="ER16" s="88" t="str">
        <f aca="false">IF($B16=ER$12,$O16,"")</f>
        <v/>
      </c>
      <c r="ES16" s="88" t="str">
        <f aca="false">IF($B16=ES$12,$O16,"")</f>
        <v/>
      </c>
      <c r="ET16" s="88" t="str">
        <f aca="false">IF($B16=ET$12,$O16,"")</f>
        <v/>
      </c>
      <c r="EU16" s="88" t="str">
        <f aca="false">IF($B16=EU$12,$O16,"")</f>
        <v/>
      </c>
      <c r="EV16" s="88" t="str">
        <f aca="false">IF($B16=EV$12,$O16,"")</f>
        <v/>
      </c>
      <c r="EW16" s="88" t="str">
        <f aca="false">IF($B16=EW$12,$O16,"")</f>
        <v/>
      </c>
      <c r="EX16" s="88" t="str">
        <f aca="false">IF($B16=EX$12,$O16,"")</f>
        <v/>
      </c>
      <c r="EY16" s="88" t="str">
        <f aca="false">IF($B16=EY$12,$O16,"")</f>
        <v/>
      </c>
      <c r="EZ16" s="88" t="str">
        <f aca="false">IF($B16=EZ$12,$O16,"")</f>
        <v/>
      </c>
      <c r="FA16" s="88" t="str">
        <f aca="false">IF($B16=FA$12,$O16,"")</f>
        <v/>
      </c>
      <c r="FB16" s="88" t="str">
        <f aca="false">IF($B16=FB$12,$O16,"")</f>
        <v/>
      </c>
      <c r="FC16" s="88" t="str">
        <f aca="false">IF($B16=FC$12,$O16,"")</f>
        <v/>
      </c>
      <c r="FD16" s="88" t="str">
        <f aca="false">IF($B16=FD$12,$O16,"")</f>
        <v/>
      </c>
      <c r="FE16" s="88" t="str">
        <f aca="false">IF($B16=FE$12,$O16,"")</f>
        <v/>
      </c>
      <c r="FF16" s="88" t="str">
        <f aca="false">IF($B16=FF$12,$O16,"")</f>
        <v/>
      </c>
      <c r="FG16" s="88" t="str">
        <f aca="false">IF($B16=FG$12,$O16,"")</f>
        <v/>
      </c>
      <c r="FH16" s="88" t="str">
        <f aca="false">IF($B16=FH$12,$O16,"")</f>
        <v/>
      </c>
      <c r="FI16" s="88" t="str">
        <f aca="false">IF($B16=FI$12,$O16,"")</f>
        <v/>
      </c>
      <c r="FJ16" s="88" t="str">
        <f aca="false">IF($B16=FJ$12,$O16,"")</f>
        <v/>
      </c>
      <c r="FK16" s="88" t="str">
        <f aca="false">IF($B16=FK$12,$O16,"")</f>
        <v/>
      </c>
      <c r="FL16" s="88" t="str">
        <f aca="false">IF($B16=FL$12,$O16,"")</f>
        <v/>
      </c>
      <c r="FM16" s="88" t="str">
        <f aca="false">IF($B16=FM$12,$O16,"")</f>
        <v/>
      </c>
      <c r="FN16" s="88" t="str">
        <f aca="false">IF($B16=FN$12,$O16,"")</f>
        <v/>
      </c>
      <c r="FO16" s="88" t="str">
        <f aca="false">IF($B16=FO$12,$O16,"")</f>
        <v/>
      </c>
      <c r="FP16" s="88" t="str">
        <f aca="false">IF($B16=FP$12,$O16,"")</f>
        <v/>
      </c>
      <c r="FQ16" s="88" t="str">
        <f aca="false">IF($B16=FQ$12,$O16,"")</f>
        <v/>
      </c>
      <c r="FR16" s="88" t="str">
        <f aca="false">IF($B16=FR$12,$O16,"")</f>
        <v/>
      </c>
      <c r="FS16" s="88" t="str">
        <f aca="false">IF($B16=FS$12,$O16,"")</f>
        <v/>
      </c>
      <c r="FT16" s="88" t="str">
        <f aca="false">IF($B16=FT$12,$O16,"")</f>
        <v/>
      </c>
      <c r="FU16" s="88" t="str">
        <f aca="false">IF($B16=FU$12,$O16,"")</f>
        <v/>
      </c>
      <c r="FV16" s="88" t="str">
        <f aca="false">IF($B16=FV$12,$O16,"")</f>
        <v/>
      </c>
      <c r="FW16" s="88" t="str">
        <f aca="false">IF($B16=FW$12,$O16,"")</f>
        <v/>
      </c>
      <c r="FX16" s="88" t="str">
        <f aca="false">IF($B16=FX$12,$O16,"")</f>
        <v/>
      </c>
      <c r="FY16" s="88" t="str">
        <f aca="false">IF($B16=FY$12,$O16,"")</f>
        <v/>
      </c>
      <c r="FZ16" s="88" t="str">
        <f aca="false">IF($B16=FZ$12,$O16,"")</f>
        <v/>
      </c>
      <c r="GA16" s="88" t="str">
        <f aca="false">IF($B16=GA$12,$O16,"")</f>
        <v/>
      </c>
      <c r="GB16" s="88" t="str">
        <f aca="false">IF($B16=GB$12,$O16,"")</f>
        <v/>
      </c>
      <c r="GC16" s="88" t="str">
        <f aca="false">IF($B16=GC$12,$O16,"")</f>
        <v/>
      </c>
      <c r="GD16" s="88" t="str">
        <f aca="false">IF($B16=GD$12,$O16,"")</f>
        <v/>
      </c>
      <c r="GE16" s="88" t="str">
        <f aca="false">IF($B16=GE$12,$O16,"")</f>
        <v/>
      </c>
      <c r="GF16" s="88" t="str">
        <f aca="false">IF($B16=GF$12,$O16,"")</f>
        <v/>
      </c>
      <c r="GG16" s="88" t="str">
        <f aca="false">IF($B16=GG$12,$O16,"")</f>
        <v/>
      </c>
      <c r="GH16" s="88" t="str">
        <f aca="false">IF($B16=GH$12,$O16,"")</f>
        <v/>
      </c>
      <c r="GI16" s="88" t="str">
        <f aca="false">IF($B16=GI$12,$O16,"")</f>
        <v/>
      </c>
      <c r="GJ16" s="88" t="str">
        <f aca="false">IF($B16=GJ$12,$O16,"")</f>
        <v/>
      </c>
      <c r="GK16" s="88" t="str">
        <f aca="false">IF($B16=GK$12,$O16,"")</f>
        <v/>
      </c>
      <c r="GL16" s="88" t="str">
        <f aca="false">IF($B16=GL$12,$O16,"")</f>
        <v/>
      </c>
      <c r="GM16" s="88" t="str">
        <f aca="false">IF($B16=GM$12,$O16,"")</f>
        <v/>
      </c>
      <c r="GN16" s="88" t="str">
        <f aca="false">IF($B16=GN$12,$O16,"")</f>
        <v/>
      </c>
      <c r="GO16" s="88" t="str">
        <f aca="false">IF($B16=GO$12,$O16,"")</f>
        <v/>
      </c>
      <c r="GP16" s="88" t="str">
        <f aca="false">IF($B16=GP$12,$O16,"")</f>
        <v/>
      </c>
      <c r="GQ16" s="88" t="str">
        <f aca="false">IF($B16=GQ$12,$O16,"")</f>
        <v/>
      </c>
      <c r="GR16" s="88" t="str">
        <f aca="false">IF($B16=GR$12,$O16,"")</f>
        <v/>
      </c>
      <c r="GS16" s="88" t="str">
        <f aca="false">IF($B16=GS$12,$O16,"")</f>
        <v/>
      </c>
      <c r="GT16" s="88" t="str">
        <f aca="false">IF($B16=GT$12,$O16,"")</f>
        <v/>
      </c>
      <c r="GU16" s="88" t="str">
        <f aca="false">IF($B16=GU$12,$O16,"")</f>
        <v/>
      </c>
      <c r="GV16" s="88" t="str">
        <f aca="false">IF($B16=GV$12,$O16,"")</f>
        <v/>
      </c>
      <c r="GW16" s="88" t="str">
        <f aca="false">IF($B16=GW$12,$O16,"")</f>
        <v/>
      </c>
      <c r="GX16" s="88" t="str">
        <f aca="false">IF($B16=GX$12,$O16,"")</f>
        <v/>
      </c>
      <c r="GY16" s="88" t="str">
        <f aca="false">IF($B16=GY$12,$O16,"")</f>
        <v/>
      </c>
      <c r="GZ16" s="88" t="str">
        <f aca="false">IF($B16=GZ$12,$O16,"")</f>
        <v/>
      </c>
      <c r="HA16" s="88" t="str">
        <f aca="false">IF($B16=HA$12,$O16,"")</f>
        <v/>
      </c>
      <c r="HB16" s="88" t="str">
        <f aca="false">IF($B16=HB$12,$O16,"")</f>
        <v/>
      </c>
      <c r="HC16" s="88" t="str">
        <f aca="false">IF($B16=HC$12,$O16,"")</f>
        <v/>
      </c>
      <c r="HD16" s="88" t="str">
        <f aca="false">IF($B16=HD$12,$O16,"")</f>
        <v/>
      </c>
      <c r="HE16" s="88" t="str">
        <f aca="false">IF($B16=HE$12,$O16,"")</f>
        <v/>
      </c>
      <c r="HF16" s="88" t="str">
        <f aca="false">IF($B16=HF$12,$O16,"")</f>
        <v/>
      </c>
      <c r="HG16" s="88" t="str">
        <f aca="false">IF($B16=HG$12,$O16,"")</f>
        <v/>
      </c>
      <c r="HH16" s="88" t="str">
        <f aca="false">IF($B16=HH$12,$O16,"")</f>
        <v/>
      </c>
      <c r="HI16" s="88" t="str">
        <f aca="false">IF($B16=HI$12,$O16,"")</f>
        <v/>
      </c>
      <c r="HJ16" s="88" t="str">
        <f aca="false">IF($B16=HJ$12,$O16,"")</f>
        <v/>
      </c>
      <c r="HK16" s="88" t="str">
        <f aca="false">IF($B16=HK$12,$O16,"")</f>
        <v/>
      </c>
      <c r="HL16" s="88" t="str">
        <f aca="false">IF($B16=HL$12,$O16,"")</f>
        <v/>
      </c>
      <c r="HM16" s="88" t="str">
        <f aca="false">IF($B16=HM$12,$O16,"")</f>
        <v/>
      </c>
      <c r="HN16" s="88" t="str">
        <f aca="false">IF($B16=HN$12,$O16,"")</f>
        <v/>
      </c>
      <c r="HO16" s="88" t="str">
        <f aca="false">IF($B16=HO$12,$O16,"")</f>
        <v/>
      </c>
      <c r="HP16" s="88" t="str">
        <f aca="false">IF($B16=HP$12,$O16,"")</f>
        <v/>
      </c>
      <c r="HQ16" s="88" t="str">
        <f aca="false">IF($B16=HQ$12,$O16,"")</f>
        <v/>
      </c>
      <c r="HR16" s="89" t="str">
        <f aca="false">IF($B16=HR$12,$O16,"")</f>
        <v/>
      </c>
    </row>
    <row r="17" customFormat="false" ht="10.5" hidden="false" customHeight="true" outlineLevel="0" collapsed="false">
      <c r="A17" s="73"/>
      <c r="B17" s="74"/>
      <c r="C17" s="75" t="str">
        <f aca="false">IF(A17=0,"",VLOOKUP(A17,[3]CO!$A$3:$F$5311,2,0))</f>
        <v/>
      </c>
      <c r="D17" s="76"/>
      <c r="E17" s="76"/>
      <c r="F17" s="76"/>
      <c r="G17" s="77" t="str">
        <f aca="false">IF(A17=0,"",VLOOKUP(A17,[3]CO!$A$3:$F$5311,3,0))</f>
        <v/>
      </c>
      <c r="H17" s="76"/>
      <c r="I17" s="78"/>
      <c r="J17" s="78"/>
      <c r="K17" s="78"/>
      <c r="L17" s="78"/>
      <c r="M17" s="79" t="str">
        <f aca="false">IF(L17=0,"",PRODUCT(I17:L17))</f>
        <v/>
      </c>
      <c r="N17" s="79" t="str">
        <f aca="false">IF(B17=0,"",IF(H17="M",HLOOKUP(B17,$Y$12:$DT$13,2),IF(A17=0,"",VLOOKUP(A17,[3]CO!$A$3:$F$5311,4,0))))</f>
        <v/>
      </c>
      <c r="O17" s="79" t="str">
        <f aca="false">IF(L17=0,"",PRODUCT(M17:N17))</f>
        <v/>
      </c>
      <c r="P17" s="80"/>
      <c r="Q17" s="81" t="str">
        <f aca="false">IF(P17=0,"",(HLOOKUP(P17,$DW$12:$HR$13,2)))</f>
        <v/>
      </c>
      <c r="R17" s="82" t="str">
        <f aca="false"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RESIDENTE"),VLOOKUP(B17,P$14:Q$131,2),"")*S17)</f>
        <v/>
      </c>
      <c r="S17" s="5"/>
      <c r="T17" s="65" t="str">
        <f aca="false">IF(A17=0,"",VLOOKUP(A17,[3]CO!$A$3:$F$5302,5,0))</f>
        <v/>
      </c>
      <c r="U17" s="55" t="n">
        <f aca="false">IF(T17=1,O17*0.1,)</f>
        <v>0</v>
      </c>
      <c r="V17" s="66"/>
      <c r="W17" s="83"/>
      <c r="X17" s="83"/>
      <c r="Y17" s="84" t="str">
        <f aca="false">IF($B17=Y$12,$U17,"")</f>
        <v/>
      </c>
      <c r="Z17" s="85" t="str">
        <f aca="false">IF($B17=Z$12,$U17,"")</f>
        <v/>
      </c>
      <c r="AA17" s="85" t="str">
        <f aca="false">IF($B17=AA$12,$U17,"")</f>
        <v/>
      </c>
      <c r="AB17" s="85" t="str">
        <f aca="false">IF($B17=AB$12,$U17,"")</f>
        <v/>
      </c>
      <c r="AC17" s="85" t="str">
        <f aca="false">IF($B17=AC$12,$U17,"")</f>
        <v/>
      </c>
      <c r="AD17" s="85" t="str">
        <f aca="false">IF($B17=AD$12,$U17,"")</f>
        <v/>
      </c>
      <c r="AE17" s="85" t="str">
        <f aca="false">IF($B17=AE$12,$U17,"")</f>
        <v/>
      </c>
      <c r="AF17" s="85" t="str">
        <f aca="false">IF($B17=AF$12,$U17,"")</f>
        <v/>
      </c>
      <c r="AG17" s="85" t="str">
        <f aca="false">IF($B17=AG$12,$U17,"")</f>
        <v/>
      </c>
      <c r="AH17" s="85" t="str">
        <f aca="false">IF($B17=AH$12,$U17,"")</f>
        <v/>
      </c>
      <c r="AI17" s="85" t="str">
        <f aca="false">IF($B17=AI$12,$U17,"")</f>
        <v/>
      </c>
      <c r="AJ17" s="85" t="str">
        <f aca="false">IF($B17=AJ$12,$U17,"")</f>
        <v/>
      </c>
      <c r="AK17" s="85" t="str">
        <f aca="false">IF($B17=AK$12,$U17,"")</f>
        <v/>
      </c>
      <c r="AL17" s="85" t="str">
        <f aca="false">IF($B17=AL$12,$U17,"")</f>
        <v/>
      </c>
      <c r="AM17" s="85" t="str">
        <f aca="false">IF($B17=AM$12,$U17,"")</f>
        <v/>
      </c>
      <c r="AN17" s="85" t="str">
        <f aca="false">IF($B17=AN$12,$U17,"")</f>
        <v/>
      </c>
      <c r="AO17" s="85" t="str">
        <f aca="false">IF($B17=AO$12,$U17,"")</f>
        <v/>
      </c>
      <c r="AP17" s="85" t="str">
        <f aca="false">IF($B17=AP$12,$U17,"")</f>
        <v/>
      </c>
      <c r="AQ17" s="85" t="str">
        <f aca="false">IF($B17=AQ$12,$U17,"")</f>
        <v/>
      </c>
      <c r="AR17" s="85" t="str">
        <f aca="false">IF($B17=AR$12,$U17,"")</f>
        <v/>
      </c>
      <c r="AS17" s="85" t="str">
        <f aca="false">IF($B17=AS$12,$U17,"")</f>
        <v/>
      </c>
      <c r="AT17" s="85" t="str">
        <f aca="false">IF($B17=AT$12,$U17,"")</f>
        <v/>
      </c>
      <c r="AU17" s="85" t="str">
        <f aca="false">IF($B17=AU$12,$U17,"")</f>
        <v/>
      </c>
      <c r="AV17" s="85" t="str">
        <f aca="false">IF($B17=AV$12,$U17,"")</f>
        <v/>
      </c>
      <c r="AW17" s="85" t="str">
        <f aca="false">IF($B17=AW$12,$U17,"")</f>
        <v/>
      </c>
      <c r="AX17" s="85" t="str">
        <f aca="false">IF($B17=AX$12,$U17,"")</f>
        <v/>
      </c>
      <c r="AY17" s="85" t="str">
        <f aca="false">IF($B17=AY$12,$U17,"")</f>
        <v/>
      </c>
      <c r="AZ17" s="85" t="str">
        <f aca="false">IF($B17=AZ$12,$U17,"")</f>
        <v/>
      </c>
      <c r="BA17" s="85" t="str">
        <f aca="false">IF($B17=BA$12,$U17,"")</f>
        <v/>
      </c>
      <c r="BB17" s="85" t="str">
        <f aca="false">IF($B17=BB$12,$U17,"")</f>
        <v/>
      </c>
      <c r="BC17" s="85" t="str">
        <f aca="false">IF($B17=BC$12,$U17,"")</f>
        <v/>
      </c>
      <c r="BD17" s="85" t="str">
        <f aca="false">IF($B17=BD$12,$U17,"")</f>
        <v/>
      </c>
      <c r="BE17" s="85" t="str">
        <f aca="false">IF($B17=BE$12,$U17,"")</f>
        <v/>
      </c>
      <c r="BF17" s="85" t="str">
        <f aca="false">IF($B17=BF$12,$U17,"")</f>
        <v/>
      </c>
      <c r="BG17" s="85" t="str">
        <f aca="false">IF($B17=BG$12,$U17,"")</f>
        <v/>
      </c>
      <c r="BH17" s="85" t="str">
        <f aca="false">IF($B17=BH$12,$U17,"")</f>
        <v/>
      </c>
      <c r="BI17" s="85" t="str">
        <f aca="false">IF($B17=BI$12,$U17,"")</f>
        <v/>
      </c>
      <c r="BJ17" s="85" t="str">
        <f aca="false">IF($B17=BJ$12,$U17,"")</f>
        <v/>
      </c>
      <c r="BK17" s="85" t="str">
        <f aca="false">IF($B17=BK$12,$U17,"")</f>
        <v/>
      </c>
      <c r="BL17" s="85" t="str">
        <f aca="false">IF($B17=BL$12,$U17,"")</f>
        <v/>
      </c>
      <c r="BM17" s="85" t="str">
        <f aca="false">IF($B17=BM$12,$U17,"")</f>
        <v/>
      </c>
      <c r="BN17" s="85" t="str">
        <f aca="false">IF($B17=BN$12,$U17,"")</f>
        <v/>
      </c>
      <c r="BO17" s="85" t="str">
        <f aca="false">IF($B17=BO$12,$U17,"")</f>
        <v/>
      </c>
      <c r="BP17" s="85" t="str">
        <f aca="false">IF($B17=BP$12,$U17,"")</f>
        <v/>
      </c>
      <c r="BQ17" s="85" t="str">
        <f aca="false">IF($B17=BQ$12,$U17,"")</f>
        <v/>
      </c>
      <c r="BR17" s="85" t="str">
        <f aca="false">IF($B17=BR$12,$U17,"")</f>
        <v/>
      </c>
      <c r="BS17" s="85" t="str">
        <f aca="false">IF($B17=BS$12,$U17,"")</f>
        <v/>
      </c>
      <c r="BT17" s="85" t="str">
        <f aca="false">IF($B17=BT$12,$U17,"")</f>
        <v/>
      </c>
      <c r="BU17" s="85" t="str">
        <f aca="false">IF($B17=BU$12,$U17,"")</f>
        <v/>
      </c>
      <c r="BV17" s="85" t="str">
        <f aca="false">IF($B17=BV$12,$U17,"")</f>
        <v/>
      </c>
      <c r="BW17" s="85" t="str">
        <f aca="false">IF($B17=BW$12,$U17,"")</f>
        <v/>
      </c>
      <c r="BX17" s="85" t="str">
        <f aca="false">IF($B17=BX$12,$U17,"")</f>
        <v/>
      </c>
      <c r="BY17" s="85" t="str">
        <f aca="false">IF($B17=BY$12,$U17,"")</f>
        <v/>
      </c>
      <c r="BZ17" s="85" t="str">
        <f aca="false">IF($B17=BZ$12,$U17,"")</f>
        <v/>
      </c>
      <c r="CA17" s="85" t="str">
        <f aca="false">IF($B17=CA$12,$U17,"")</f>
        <v/>
      </c>
      <c r="CB17" s="85" t="str">
        <f aca="false">IF($B17=CB$12,$U17,"")</f>
        <v/>
      </c>
      <c r="CC17" s="85" t="str">
        <f aca="false">IF($B17=CC$12,$U17,"")</f>
        <v/>
      </c>
      <c r="CD17" s="85" t="str">
        <f aca="false">IF($B17=CD$12,$U17,"")</f>
        <v/>
      </c>
      <c r="CE17" s="85" t="str">
        <f aca="false">IF($B17=CE$12,$U17,"")</f>
        <v/>
      </c>
      <c r="CF17" s="85" t="str">
        <f aca="false">IF($B17=CF$12,$U17,"")</f>
        <v/>
      </c>
      <c r="CG17" s="85" t="str">
        <f aca="false">IF($B17=CG$12,$U17,"")</f>
        <v/>
      </c>
      <c r="CH17" s="85" t="str">
        <f aca="false">IF($B17=CH$12,$U17,"")</f>
        <v/>
      </c>
      <c r="CI17" s="85" t="str">
        <f aca="false">IF($B17=CI$12,$U17,"")</f>
        <v/>
      </c>
      <c r="CJ17" s="85" t="str">
        <f aca="false">IF($B17=CJ$12,$U17,"")</f>
        <v/>
      </c>
      <c r="CK17" s="85" t="str">
        <f aca="false">IF($B17=CK$12,$U17,"")</f>
        <v/>
      </c>
      <c r="CL17" s="85" t="str">
        <f aca="false">IF($B17=CL$12,$U17,"")</f>
        <v/>
      </c>
      <c r="CM17" s="85" t="str">
        <f aca="false">IF($B17=CM$12,$U17,"")</f>
        <v/>
      </c>
      <c r="CN17" s="85" t="str">
        <f aca="false">IF($B17=CN$12,$U17,"")</f>
        <v/>
      </c>
      <c r="CO17" s="85" t="str">
        <f aca="false">IF($B17=CO$12,$U17,"")</f>
        <v/>
      </c>
      <c r="CP17" s="85" t="str">
        <f aca="false">IF($B17=CP$12,$U17,"")</f>
        <v/>
      </c>
      <c r="CQ17" s="85" t="str">
        <f aca="false">IF($B17=CQ$12,$U17,"")</f>
        <v/>
      </c>
      <c r="CR17" s="85" t="str">
        <f aca="false">IF($B17=CR$12,$U17,"")</f>
        <v/>
      </c>
      <c r="CS17" s="85" t="str">
        <f aca="false">IF($B17=CS$12,$U17,"")</f>
        <v/>
      </c>
      <c r="CT17" s="85" t="str">
        <f aca="false">IF($B17=CT$12,$U17,"")</f>
        <v/>
      </c>
      <c r="CU17" s="85" t="str">
        <f aca="false">IF($B17=CU$12,$U17,"")</f>
        <v/>
      </c>
      <c r="CV17" s="85" t="str">
        <f aca="false">IF($B17=CV$12,$U17,"")</f>
        <v/>
      </c>
      <c r="CW17" s="85" t="str">
        <f aca="false">IF($B17=CW$12,$U17,"")</f>
        <v/>
      </c>
      <c r="CX17" s="85" t="str">
        <f aca="false">IF($B17=CX$12,$U17,"")</f>
        <v/>
      </c>
      <c r="CY17" s="85" t="str">
        <f aca="false">IF($B17=CY$12,$U17,"")</f>
        <v/>
      </c>
      <c r="CZ17" s="85" t="str">
        <f aca="false">IF($B17=CZ$12,$U17,"")</f>
        <v/>
      </c>
      <c r="DA17" s="85" t="str">
        <f aca="false">IF($B17=DA$12,$U17,"")</f>
        <v/>
      </c>
      <c r="DB17" s="85" t="str">
        <f aca="false">IF($B17=DB$12,$U17,"")</f>
        <v/>
      </c>
      <c r="DC17" s="85" t="str">
        <f aca="false">IF($B17=DC$12,$U17,"")</f>
        <v/>
      </c>
      <c r="DD17" s="85" t="str">
        <f aca="false">IF($B17=DD$12,$U17,"")</f>
        <v/>
      </c>
      <c r="DE17" s="85" t="str">
        <f aca="false">IF($B17=DE$12,$U17,"")</f>
        <v/>
      </c>
      <c r="DF17" s="85" t="str">
        <f aca="false">IF($B17=DF$12,$U17,"")</f>
        <v/>
      </c>
      <c r="DG17" s="85" t="str">
        <f aca="false">IF($B17=DG$12,$U17,"")</f>
        <v/>
      </c>
      <c r="DH17" s="85" t="str">
        <f aca="false">IF($B17=DH$12,$U17,"")</f>
        <v/>
      </c>
      <c r="DI17" s="85" t="str">
        <f aca="false">IF($B17=DI$12,$U17,"")</f>
        <v/>
      </c>
      <c r="DJ17" s="85" t="str">
        <f aca="false">IF($B17=DJ$12,$U17,"")</f>
        <v/>
      </c>
      <c r="DK17" s="85" t="str">
        <f aca="false">IF($B17=DK$12,$U17,"")</f>
        <v/>
      </c>
      <c r="DL17" s="85" t="str">
        <f aca="false">IF($B17=DL$12,$U17,"")</f>
        <v/>
      </c>
      <c r="DM17" s="85" t="str">
        <f aca="false">IF($B17=DM$12,$U17,"")</f>
        <v/>
      </c>
      <c r="DN17" s="85" t="str">
        <f aca="false">IF($B17=DN$12,$U17,"")</f>
        <v/>
      </c>
      <c r="DO17" s="85" t="str">
        <f aca="false">IF($B17=DO$12,$U17,"")</f>
        <v/>
      </c>
      <c r="DP17" s="85" t="str">
        <f aca="false">IF($B17=DP$12,$U17,"")</f>
        <v/>
      </c>
      <c r="DQ17" s="85" t="str">
        <f aca="false">IF($B17=DQ$12,$U17,"")</f>
        <v/>
      </c>
      <c r="DR17" s="85" t="str">
        <f aca="false">IF($B17=DR$12,$U17,"")</f>
        <v/>
      </c>
      <c r="DS17" s="85" t="str">
        <f aca="false">IF($B17=DS$12,$U17,"")</f>
        <v/>
      </c>
      <c r="DT17" s="86" t="str">
        <f aca="false">IF($B17=DT$12,$U17,"")</f>
        <v/>
      </c>
      <c r="DU17" s="55"/>
      <c r="DV17" s="83"/>
      <c r="DW17" s="87" t="str">
        <f aca="false">IF($B17=DW$12,$O17,"")</f>
        <v/>
      </c>
      <c r="DX17" s="88" t="str">
        <f aca="false">IF($B17=DX$12,$O17,"")</f>
        <v/>
      </c>
      <c r="DY17" s="88" t="str">
        <f aca="false">IF($B17=DY$12,$O17,"")</f>
        <v/>
      </c>
      <c r="DZ17" s="88" t="str">
        <f aca="false">IF($B17=DZ$12,$O17,"")</f>
        <v/>
      </c>
      <c r="EA17" s="88" t="str">
        <f aca="false">IF($B17=EA$12,$O17,"")</f>
        <v/>
      </c>
      <c r="EB17" s="88" t="str">
        <f aca="false">IF($B17=EB$12,$O17,"")</f>
        <v/>
      </c>
      <c r="EC17" s="88" t="str">
        <f aca="false">IF($B17=EC$12,$O17,"")</f>
        <v/>
      </c>
      <c r="ED17" s="88" t="str">
        <f aca="false">IF($B17=ED$12,$O17,"")</f>
        <v/>
      </c>
      <c r="EE17" s="88" t="str">
        <f aca="false">IF($B17=EE$12,$O17,"")</f>
        <v/>
      </c>
      <c r="EF17" s="88" t="str">
        <f aca="false">IF($B17=EF$12,$O17,"")</f>
        <v/>
      </c>
      <c r="EG17" s="88" t="str">
        <f aca="false">IF($B17=EG$12,$O17,"")</f>
        <v/>
      </c>
      <c r="EH17" s="88" t="str">
        <f aca="false">IF($B17=EH$12,$O17,"")</f>
        <v/>
      </c>
      <c r="EI17" s="88" t="str">
        <f aca="false">IF($B17=EI$12,$O17,"")</f>
        <v/>
      </c>
      <c r="EJ17" s="88" t="str">
        <f aca="false">IF($B17=EJ$12,$O17,"")</f>
        <v/>
      </c>
      <c r="EK17" s="88" t="str">
        <f aca="false">IF($B17=EK$12,$O17,"")</f>
        <v/>
      </c>
      <c r="EL17" s="88" t="str">
        <f aca="false">IF($B17=EL$12,$O17,"")</f>
        <v/>
      </c>
      <c r="EM17" s="88" t="str">
        <f aca="false">IF($B17=EM$12,$O17,"")</f>
        <v/>
      </c>
      <c r="EN17" s="88" t="str">
        <f aca="false">IF($B17=EN$12,$O17,"")</f>
        <v/>
      </c>
      <c r="EO17" s="88" t="str">
        <f aca="false">IF($B17=EO$12,$O17,"")</f>
        <v/>
      </c>
      <c r="EP17" s="88" t="str">
        <f aca="false">IF($B17=EP$12,$O17,"")</f>
        <v/>
      </c>
      <c r="EQ17" s="88" t="str">
        <f aca="false">IF($B17=EQ$12,$O17,"")</f>
        <v/>
      </c>
      <c r="ER17" s="88" t="str">
        <f aca="false">IF($B17=ER$12,$O17,"")</f>
        <v/>
      </c>
      <c r="ES17" s="88" t="str">
        <f aca="false">IF($B17=ES$12,$O17,"")</f>
        <v/>
      </c>
      <c r="ET17" s="88" t="str">
        <f aca="false">IF($B17=ET$12,$O17,"")</f>
        <v/>
      </c>
      <c r="EU17" s="88" t="str">
        <f aca="false">IF($B17=EU$12,$O17,"")</f>
        <v/>
      </c>
      <c r="EV17" s="88" t="str">
        <f aca="false">IF($B17=EV$12,$O17,"")</f>
        <v/>
      </c>
      <c r="EW17" s="88" t="str">
        <f aca="false">IF($B17=EW$12,$O17,"")</f>
        <v/>
      </c>
      <c r="EX17" s="88" t="str">
        <f aca="false">IF($B17=EX$12,$O17,"")</f>
        <v/>
      </c>
      <c r="EY17" s="88" t="str">
        <f aca="false">IF($B17=EY$12,$O17,"")</f>
        <v/>
      </c>
      <c r="EZ17" s="88" t="str">
        <f aca="false">IF($B17=EZ$12,$O17,"")</f>
        <v/>
      </c>
      <c r="FA17" s="88" t="str">
        <f aca="false">IF($B17=FA$12,$O17,"")</f>
        <v/>
      </c>
      <c r="FB17" s="88" t="str">
        <f aca="false">IF($B17=FB$12,$O17,"")</f>
        <v/>
      </c>
      <c r="FC17" s="88" t="str">
        <f aca="false">IF($B17=FC$12,$O17,"")</f>
        <v/>
      </c>
      <c r="FD17" s="88" t="str">
        <f aca="false">IF($B17=FD$12,$O17,"")</f>
        <v/>
      </c>
      <c r="FE17" s="88" t="str">
        <f aca="false">IF($B17=FE$12,$O17,"")</f>
        <v/>
      </c>
      <c r="FF17" s="88" t="str">
        <f aca="false">IF($B17=FF$12,$O17,"")</f>
        <v/>
      </c>
      <c r="FG17" s="88" t="str">
        <f aca="false">IF($B17=FG$12,$O17,"")</f>
        <v/>
      </c>
      <c r="FH17" s="88" t="str">
        <f aca="false">IF($B17=FH$12,$O17,"")</f>
        <v/>
      </c>
      <c r="FI17" s="88" t="str">
        <f aca="false">IF($B17=FI$12,$O17,"")</f>
        <v/>
      </c>
      <c r="FJ17" s="88" t="str">
        <f aca="false">IF($B17=FJ$12,$O17,"")</f>
        <v/>
      </c>
      <c r="FK17" s="88" t="str">
        <f aca="false">IF($B17=FK$12,$O17,"")</f>
        <v/>
      </c>
      <c r="FL17" s="88" t="str">
        <f aca="false">IF($B17=FL$12,$O17,"")</f>
        <v/>
      </c>
      <c r="FM17" s="88" t="str">
        <f aca="false">IF($B17=FM$12,$O17,"")</f>
        <v/>
      </c>
      <c r="FN17" s="88" t="str">
        <f aca="false">IF($B17=FN$12,$O17,"")</f>
        <v/>
      </c>
      <c r="FO17" s="88" t="str">
        <f aca="false">IF($B17=FO$12,$O17,"")</f>
        <v/>
      </c>
      <c r="FP17" s="88" t="str">
        <f aca="false">IF($B17=FP$12,$O17,"")</f>
        <v/>
      </c>
      <c r="FQ17" s="88" t="str">
        <f aca="false">IF($B17=FQ$12,$O17,"")</f>
        <v/>
      </c>
      <c r="FR17" s="88" t="str">
        <f aca="false">IF($B17=FR$12,$O17,"")</f>
        <v/>
      </c>
      <c r="FS17" s="88" t="str">
        <f aca="false">IF($B17=FS$12,$O17,"")</f>
        <v/>
      </c>
      <c r="FT17" s="88" t="str">
        <f aca="false">IF($B17=FT$12,$O17,"")</f>
        <v/>
      </c>
      <c r="FU17" s="88" t="str">
        <f aca="false">IF($B17=FU$12,$O17,"")</f>
        <v/>
      </c>
      <c r="FV17" s="88" t="str">
        <f aca="false">IF($B17=FV$12,$O17,"")</f>
        <v/>
      </c>
      <c r="FW17" s="88" t="str">
        <f aca="false">IF($B17=FW$12,$O17,"")</f>
        <v/>
      </c>
      <c r="FX17" s="88" t="str">
        <f aca="false">IF($B17=FX$12,$O17,"")</f>
        <v/>
      </c>
      <c r="FY17" s="88" t="str">
        <f aca="false">IF($B17=FY$12,$O17,"")</f>
        <v/>
      </c>
      <c r="FZ17" s="88" t="str">
        <f aca="false">IF($B17=FZ$12,$O17,"")</f>
        <v/>
      </c>
      <c r="GA17" s="88" t="str">
        <f aca="false">IF($B17=GA$12,$O17,"")</f>
        <v/>
      </c>
      <c r="GB17" s="88" t="str">
        <f aca="false">IF($B17=GB$12,$O17,"")</f>
        <v/>
      </c>
      <c r="GC17" s="88" t="str">
        <f aca="false">IF($B17=GC$12,$O17,"")</f>
        <v/>
      </c>
      <c r="GD17" s="88" t="str">
        <f aca="false">IF($B17=GD$12,$O17,"")</f>
        <v/>
      </c>
      <c r="GE17" s="88" t="str">
        <f aca="false">IF($B17=GE$12,$O17,"")</f>
        <v/>
      </c>
      <c r="GF17" s="88" t="str">
        <f aca="false">IF($B17=GF$12,$O17,"")</f>
        <v/>
      </c>
      <c r="GG17" s="88" t="str">
        <f aca="false">IF($B17=GG$12,$O17,"")</f>
        <v/>
      </c>
      <c r="GH17" s="88" t="str">
        <f aca="false">IF($B17=GH$12,$O17,"")</f>
        <v/>
      </c>
      <c r="GI17" s="88" t="str">
        <f aca="false">IF($B17=GI$12,$O17,"")</f>
        <v/>
      </c>
      <c r="GJ17" s="88" t="str">
        <f aca="false">IF($B17=GJ$12,$O17,"")</f>
        <v/>
      </c>
      <c r="GK17" s="88" t="str">
        <f aca="false">IF($B17=GK$12,$O17,"")</f>
        <v/>
      </c>
      <c r="GL17" s="88" t="str">
        <f aca="false">IF($B17=GL$12,$O17,"")</f>
        <v/>
      </c>
      <c r="GM17" s="88" t="str">
        <f aca="false">IF($B17=GM$12,$O17,"")</f>
        <v/>
      </c>
      <c r="GN17" s="88" t="str">
        <f aca="false">IF($B17=GN$12,$O17,"")</f>
        <v/>
      </c>
      <c r="GO17" s="88" t="str">
        <f aca="false">IF($B17=GO$12,$O17,"")</f>
        <v/>
      </c>
      <c r="GP17" s="88" t="str">
        <f aca="false">IF($B17=GP$12,$O17,"")</f>
        <v/>
      </c>
      <c r="GQ17" s="88" t="str">
        <f aca="false">IF($B17=GQ$12,$O17,"")</f>
        <v/>
      </c>
      <c r="GR17" s="88" t="str">
        <f aca="false">IF($B17=GR$12,$O17,"")</f>
        <v/>
      </c>
      <c r="GS17" s="88" t="str">
        <f aca="false">IF($B17=GS$12,$O17,"")</f>
        <v/>
      </c>
      <c r="GT17" s="88" t="str">
        <f aca="false">IF($B17=GT$12,$O17,"")</f>
        <v/>
      </c>
      <c r="GU17" s="88" t="str">
        <f aca="false">IF($B17=GU$12,$O17,"")</f>
        <v/>
      </c>
      <c r="GV17" s="88" t="str">
        <f aca="false">IF($B17=GV$12,$O17,"")</f>
        <v/>
      </c>
      <c r="GW17" s="88" t="str">
        <f aca="false">IF($B17=GW$12,$O17,"")</f>
        <v/>
      </c>
      <c r="GX17" s="88" t="str">
        <f aca="false">IF($B17=GX$12,$O17,"")</f>
        <v/>
      </c>
      <c r="GY17" s="88" t="str">
        <f aca="false">IF($B17=GY$12,$O17,"")</f>
        <v/>
      </c>
      <c r="GZ17" s="88" t="str">
        <f aca="false">IF($B17=GZ$12,$O17,"")</f>
        <v/>
      </c>
      <c r="HA17" s="88" t="str">
        <f aca="false">IF($B17=HA$12,$O17,"")</f>
        <v/>
      </c>
      <c r="HB17" s="88" t="str">
        <f aca="false">IF($B17=HB$12,$O17,"")</f>
        <v/>
      </c>
      <c r="HC17" s="88" t="str">
        <f aca="false">IF($B17=HC$12,$O17,"")</f>
        <v/>
      </c>
      <c r="HD17" s="88" t="str">
        <f aca="false">IF($B17=HD$12,$O17,"")</f>
        <v/>
      </c>
      <c r="HE17" s="88" t="str">
        <f aca="false">IF($B17=HE$12,$O17,"")</f>
        <v/>
      </c>
      <c r="HF17" s="88" t="str">
        <f aca="false">IF($B17=HF$12,$O17,"")</f>
        <v/>
      </c>
      <c r="HG17" s="88" t="str">
        <f aca="false">IF($B17=HG$12,$O17,"")</f>
        <v/>
      </c>
      <c r="HH17" s="88" t="str">
        <f aca="false">IF($B17=HH$12,$O17,"")</f>
        <v/>
      </c>
      <c r="HI17" s="88" t="str">
        <f aca="false">IF($B17=HI$12,$O17,"")</f>
        <v/>
      </c>
      <c r="HJ17" s="88" t="str">
        <f aca="false">IF($B17=HJ$12,$O17,"")</f>
        <v/>
      </c>
      <c r="HK17" s="88" t="str">
        <f aca="false">IF($B17=HK$12,$O17,"")</f>
        <v/>
      </c>
      <c r="HL17" s="88" t="str">
        <f aca="false">IF($B17=HL$12,$O17,"")</f>
        <v/>
      </c>
      <c r="HM17" s="88" t="str">
        <f aca="false">IF($B17=HM$12,$O17,"")</f>
        <v/>
      </c>
      <c r="HN17" s="88" t="str">
        <f aca="false">IF($B17=HN$12,$O17,"")</f>
        <v/>
      </c>
      <c r="HO17" s="88" t="str">
        <f aca="false">IF($B17=HO$12,$O17,"")</f>
        <v/>
      </c>
      <c r="HP17" s="88" t="str">
        <f aca="false">IF($B17=HP$12,$O17,"")</f>
        <v/>
      </c>
      <c r="HQ17" s="88" t="str">
        <f aca="false">IF($B17=HQ$12,$O17,"")</f>
        <v/>
      </c>
      <c r="HR17" s="89" t="str">
        <f aca="false">IF($B17=HR$12,$O17,"")</f>
        <v/>
      </c>
    </row>
    <row r="18" customFormat="false" ht="10.5" hidden="false" customHeight="true" outlineLevel="0" collapsed="false">
      <c r="A18" s="73"/>
      <c r="B18" s="74"/>
      <c r="C18" s="75" t="str">
        <f aca="false">IF(A18=0,"",VLOOKUP(A18,[3]CO!$A$3:$F$5311,2,0))</f>
        <v/>
      </c>
      <c r="D18" s="76"/>
      <c r="E18" s="76"/>
      <c r="F18" s="76"/>
      <c r="G18" s="77" t="str">
        <f aca="false">IF(A18=0,"",VLOOKUP(A18,[3]CO!$A$3:$F$5311,3,0))</f>
        <v/>
      </c>
      <c r="H18" s="76"/>
      <c r="I18" s="78"/>
      <c r="J18" s="78"/>
      <c r="K18" s="78"/>
      <c r="L18" s="78"/>
      <c r="M18" s="79" t="str">
        <f aca="false">IF(L18=0,"",PRODUCT(I18:L18))</f>
        <v/>
      </c>
      <c r="N18" s="79" t="str">
        <f aca="false">IF(B18=0,"",IF(H18="M",HLOOKUP(B18,$Y$12:$DT$13,2),IF(A18=0,"",VLOOKUP(A18,[3]CO!$A$3:$F$5311,4,0))))</f>
        <v/>
      </c>
      <c r="O18" s="79" t="str">
        <f aca="false">IF(L18=0,"",PRODUCT(M18:N18))</f>
        <v/>
      </c>
      <c r="P18" s="80"/>
      <c r="Q18" s="81" t="str">
        <f aca="false">IF(P18=0,"",(HLOOKUP(P18,$DW$12:$HR$13,2)))</f>
        <v/>
      </c>
      <c r="R18" s="82" t="str">
        <f aca="false"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RESIDENTE"),VLOOKUP(B18,P$14:Q$131,2),"")*S18)</f>
        <v/>
      </c>
      <c r="S18" s="5"/>
      <c r="T18" s="65" t="str">
        <f aca="false">IF(A18=0,"",VLOOKUP(A18,[3]CO!$A$3:$F$5302,5,0))</f>
        <v/>
      </c>
      <c r="U18" s="55" t="n">
        <f aca="false">IF(T18=1,O18*0.1,)</f>
        <v>0</v>
      </c>
      <c r="V18" s="66"/>
      <c r="W18" s="83"/>
      <c r="X18" s="83"/>
      <c r="Y18" s="84" t="str">
        <f aca="false">IF($B18=Y$12,$U18,"")</f>
        <v/>
      </c>
      <c r="Z18" s="85" t="str">
        <f aca="false">IF($B18=Z$12,$U18,"")</f>
        <v/>
      </c>
      <c r="AA18" s="85" t="str">
        <f aca="false">IF($B18=AA$12,$U18,"")</f>
        <v/>
      </c>
      <c r="AB18" s="85" t="str">
        <f aca="false">IF($B18=AB$12,$U18,"")</f>
        <v/>
      </c>
      <c r="AC18" s="85" t="str">
        <f aca="false">IF($B18=AC$12,$U18,"")</f>
        <v/>
      </c>
      <c r="AD18" s="85" t="str">
        <f aca="false">IF($B18=AD$12,$U18,"")</f>
        <v/>
      </c>
      <c r="AE18" s="85" t="str">
        <f aca="false">IF($B18=AE$12,$U18,"")</f>
        <v/>
      </c>
      <c r="AF18" s="85" t="str">
        <f aca="false">IF($B18=AF$12,$U18,"")</f>
        <v/>
      </c>
      <c r="AG18" s="85" t="str">
        <f aca="false">IF($B18=AG$12,$U18,"")</f>
        <v/>
      </c>
      <c r="AH18" s="85" t="str">
        <f aca="false">IF($B18=AH$12,$U18,"")</f>
        <v/>
      </c>
      <c r="AI18" s="85" t="str">
        <f aca="false">IF($B18=AI$12,$U18,"")</f>
        <v/>
      </c>
      <c r="AJ18" s="85" t="str">
        <f aca="false">IF($B18=AJ$12,$U18,"")</f>
        <v/>
      </c>
      <c r="AK18" s="85" t="str">
        <f aca="false">IF($B18=AK$12,$U18,"")</f>
        <v/>
      </c>
      <c r="AL18" s="85" t="str">
        <f aca="false">IF($B18=AL$12,$U18,"")</f>
        <v/>
      </c>
      <c r="AM18" s="85" t="str">
        <f aca="false">IF($B18=AM$12,$U18,"")</f>
        <v/>
      </c>
      <c r="AN18" s="85" t="str">
        <f aca="false">IF($B18=AN$12,$U18,"")</f>
        <v/>
      </c>
      <c r="AO18" s="85" t="str">
        <f aca="false">IF($B18=AO$12,$U18,"")</f>
        <v/>
      </c>
      <c r="AP18" s="85" t="str">
        <f aca="false">IF($B18=AP$12,$U18,"")</f>
        <v/>
      </c>
      <c r="AQ18" s="85" t="str">
        <f aca="false">IF($B18=AQ$12,$U18,"")</f>
        <v/>
      </c>
      <c r="AR18" s="85" t="str">
        <f aca="false">IF($B18=AR$12,$U18,"")</f>
        <v/>
      </c>
      <c r="AS18" s="85" t="str">
        <f aca="false">IF($B18=AS$12,$U18,"")</f>
        <v/>
      </c>
      <c r="AT18" s="85" t="str">
        <f aca="false">IF($B18=AT$12,$U18,"")</f>
        <v/>
      </c>
      <c r="AU18" s="85" t="str">
        <f aca="false">IF($B18=AU$12,$U18,"")</f>
        <v/>
      </c>
      <c r="AV18" s="85" t="str">
        <f aca="false">IF($B18=AV$12,$U18,"")</f>
        <v/>
      </c>
      <c r="AW18" s="85" t="str">
        <f aca="false">IF($B18=AW$12,$U18,"")</f>
        <v/>
      </c>
      <c r="AX18" s="85" t="str">
        <f aca="false">IF($B18=AX$12,$U18,"")</f>
        <v/>
      </c>
      <c r="AY18" s="85" t="str">
        <f aca="false">IF($B18=AY$12,$U18,"")</f>
        <v/>
      </c>
      <c r="AZ18" s="85" t="str">
        <f aca="false">IF($B18=AZ$12,$U18,"")</f>
        <v/>
      </c>
      <c r="BA18" s="85" t="str">
        <f aca="false">IF($B18=BA$12,$U18,"")</f>
        <v/>
      </c>
      <c r="BB18" s="85" t="str">
        <f aca="false">IF($B18=BB$12,$U18,"")</f>
        <v/>
      </c>
      <c r="BC18" s="85" t="str">
        <f aca="false">IF($B18=BC$12,$U18,"")</f>
        <v/>
      </c>
      <c r="BD18" s="85" t="str">
        <f aca="false">IF($B18=BD$12,$U18,"")</f>
        <v/>
      </c>
      <c r="BE18" s="85" t="str">
        <f aca="false">IF($B18=BE$12,$U18,"")</f>
        <v/>
      </c>
      <c r="BF18" s="85" t="str">
        <f aca="false">IF($B18=BF$12,$U18,"")</f>
        <v/>
      </c>
      <c r="BG18" s="85" t="str">
        <f aca="false">IF($B18=BG$12,$U18,"")</f>
        <v/>
      </c>
      <c r="BH18" s="85" t="str">
        <f aca="false">IF($B18=BH$12,$U18,"")</f>
        <v/>
      </c>
      <c r="BI18" s="85" t="str">
        <f aca="false">IF($B18=BI$12,$U18,"")</f>
        <v/>
      </c>
      <c r="BJ18" s="85" t="str">
        <f aca="false">IF($B18=BJ$12,$U18,"")</f>
        <v/>
      </c>
      <c r="BK18" s="85" t="str">
        <f aca="false">IF($B18=BK$12,$U18,"")</f>
        <v/>
      </c>
      <c r="BL18" s="85" t="str">
        <f aca="false">IF($B18=BL$12,$U18,"")</f>
        <v/>
      </c>
      <c r="BM18" s="85" t="str">
        <f aca="false">IF($B18=BM$12,$U18,"")</f>
        <v/>
      </c>
      <c r="BN18" s="85" t="str">
        <f aca="false">IF($B18=BN$12,$U18,"")</f>
        <v/>
      </c>
      <c r="BO18" s="85" t="str">
        <f aca="false">IF($B18=BO$12,$U18,"")</f>
        <v/>
      </c>
      <c r="BP18" s="85" t="str">
        <f aca="false">IF($B18=BP$12,$U18,"")</f>
        <v/>
      </c>
      <c r="BQ18" s="85" t="str">
        <f aca="false">IF($B18=BQ$12,$U18,"")</f>
        <v/>
      </c>
      <c r="BR18" s="85" t="str">
        <f aca="false">IF($B18=BR$12,$U18,"")</f>
        <v/>
      </c>
      <c r="BS18" s="85" t="str">
        <f aca="false">IF($B18=BS$12,$U18,"")</f>
        <v/>
      </c>
      <c r="BT18" s="85" t="str">
        <f aca="false">IF($B18=BT$12,$U18,"")</f>
        <v/>
      </c>
      <c r="BU18" s="85" t="str">
        <f aca="false">IF($B18=BU$12,$U18,"")</f>
        <v/>
      </c>
      <c r="BV18" s="85" t="str">
        <f aca="false">IF($B18=BV$12,$U18,"")</f>
        <v/>
      </c>
      <c r="BW18" s="85" t="str">
        <f aca="false">IF($B18=BW$12,$U18,"")</f>
        <v/>
      </c>
      <c r="BX18" s="85" t="str">
        <f aca="false">IF($B18=BX$12,$U18,"")</f>
        <v/>
      </c>
      <c r="BY18" s="85" t="str">
        <f aca="false">IF($B18=BY$12,$U18,"")</f>
        <v/>
      </c>
      <c r="BZ18" s="85" t="str">
        <f aca="false">IF($B18=BZ$12,$U18,"")</f>
        <v/>
      </c>
      <c r="CA18" s="85" t="str">
        <f aca="false">IF($B18=CA$12,$U18,"")</f>
        <v/>
      </c>
      <c r="CB18" s="85" t="str">
        <f aca="false">IF($B18=CB$12,$U18,"")</f>
        <v/>
      </c>
      <c r="CC18" s="85" t="str">
        <f aca="false">IF($B18=CC$12,$U18,"")</f>
        <v/>
      </c>
      <c r="CD18" s="85" t="str">
        <f aca="false">IF($B18=CD$12,$U18,"")</f>
        <v/>
      </c>
      <c r="CE18" s="85" t="str">
        <f aca="false">IF($B18=CE$12,$U18,"")</f>
        <v/>
      </c>
      <c r="CF18" s="85" t="str">
        <f aca="false">IF($B18=CF$12,$U18,"")</f>
        <v/>
      </c>
      <c r="CG18" s="85" t="str">
        <f aca="false">IF($B18=CG$12,$U18,"")</f>
        <v/>
      </c>
      <c r="CH18" s="85" t="str">
        <f aca="false">IF($B18=CH$12,$U18,"")</f>
        <v/>
      </c>
      <c r="CI18" s="85" t="str">
        <f aca="false">IF($B18=CI$12,$U18,"")</f>
        <v/>
      </c>
      <c r="CJ18" s="85" t="str">
        <f aca="false">IF($B18=CJ$12,$U18,"")</f>
        <v/>
      </c>
      <c r="CK18" s="85" t="str">
        <f aca="false">IF($B18=CK$12,$U18,"")</f>
        <v/>
      </c>
      <c r="CL18" s="85" t="str">
        <f aca="false">IF($B18=CL$12,$U18,"")</f>
        <v/>
      </c>
      <c r="CM18" s="85" t="str">
        <f aca="false">IF($B18=CM$12,$U18,"")</f>
        <v/>
      </c>
      <c r="CN18" s="85" t="str">
        <f aca="false">IF($B18=CN$12,$U18,"")</f>
        <v/>
      </c>
      <c r="CO18" s="85" t="str">
        <f aca="false">IF($B18=CO$12,$U18,"")</f>
        <v/>
      </c>
      <c r="CP18" s="85" t="str">
        <f aca="false">IF($B18=CP$12,$U18,"")</f>
        <v/>
      </c>
      <c r="CQ18" s="85" t="str">
        <f aca="false">IF($B18=CQ$12,$U18,"")</f>
        <v/>
      </c>
      <c r="CR18" s="85" t="str">
        <f aca="false">IF($B18=CR$12,$U18,"")</f>
        <v/>
      </c>
      <c r="CS18" s="85" t="str">
        <f aca="false">IF($B18=CS$12,$U18,"")</f>
        <v/>
      </c>
      <c r="CT18" s="85" t="str">
        <f aca="false">IF($B18=CT$12,$U18,"")</f>
        <v/>
      </c>
      <c r="CU18" s="85" t="str">
        <f aca="false">IF($B18=CU$12,$U18,"")</f>
        <v/>
      </c>
      <c r="CV18" s="85" t="str">
        <f aca="false">IF($B18=CV$12,$U18,"")</f>
        <v/>
      </c>
      <c r="CW18" s="85" t="str">
        <f aca="false">IF($B18=CW$12,$U18,"")</f>
        <v/>
      </c>
      <c r="CX18" s="85" t="str">
        <f aca="false">IF($B18=CX$12,$U18,"")</f>
        <v/>
      </c>
      <c r="CY18" s="85" t="str">
        <f aca="false">IF($B18=CY$12,$U18,"")</f>
        <v/>
      </c>
      <c r="CZ18" s="85" t="str">
        <f aca="false">IF($B18=CZ$12,$U18,"")</f>
        <v/>
      </c>
      <c r="DA18" s="85" t="str">
        <f aca="false">IF($B18=DA$12,$U18,"")</f>
        <v/>
      </c>
      <c r="DB18" s="85" t="str">
        <f aca="false">IF($B18=DB$12,$U18,"")</f>
        <v/>
      </c>
      <c r="DC18" s="85" t="str">
        <f aca="false">IF($B18=DC$12,$U18,"")</f>
        <v/>
      </c>
      <c r="DD18" s="85" t="str">
        <f aca="false">IF($B18=DD$12,$U18,"")</f>
        <v/>
      </c>
      <c r="DE18" s="85" t="str">
        <f aca="false">IF($B18=DE$12,$U18,"")</f>
        <v/>
      </c>
      <c r="DF18" s="85" t="str">
        <f aca="false">IF($B18=DF$12,$U18,"")</f>
        <v/>
      </c>
      <c r="DG18" s="85" t="str">
        <f aca="false">IF($B18=DG$12,$U18,"")</f>
        <v/>
      </c>
      <c r="DH18" s="85" t="str">
        <f aca="false">IF($B18=DH$12,$U18,"")</f>
        <v/>
      </c>
      <c r="DI18" s="85" t="str">
        <f aca="false">IF($B18=DI$12,$U18,"")</f>
        <v/>
      </c>
      <c r="DJ18" s="85" t="str">
        <f aca="false">IF($B18=DJ$12,$U18,"")</f>
        <v/>
      </c>
      <c r="DK18" s="85" t="str">
        <f aca="false">IF($B18=DK$12,$U18,"")</f>
        <v/>
      </c>
      <c r="DL18" s="85" t="str">
        <f aca="false">IF($B18=DL$12,$U18,"")</f>
        <v/>
      </c>
      <c r="DM18" s="85" t="str">
        <f aca="false">IF($B18=DM$12,$U18,"")</f>
        <v/>
      </c>
      <c r="DN18" s="85" t="str">
        <f aca="false">IF($B18=DN$12,$U18,"")</f>
        <v/>
      </c>
      <c r="DO18" s="85" t="str">
        <f aca="false">IF($B18=DO$12,$U18,"")</f>
        <v/>
      </c>
      <c r="DP18" s="85" t="str">
        <f aca="false">IF($B18=DP$12,$U18,"")</f>
        <v/>
      </c>
      <c r="DQ18" s="85" t="str">
        <f aca="false">IF($B18=DQ$12,$U18,"")</f>
        <v/>
      </c>
      <c r="DR18" s="85" t="str">
        <f aca="false">IF($B18=DR$12,$U18,"")</f>
        <v/>
      </c>
      <c r="DS18" s="85" t="str">
        <f aca="false">IF($B18=DS$12,$U18,"")</f>
        <v/>
      </c>
      <c r="DT18" s="86" t="str">
        <f aca="false">IF($B18=DT$12,$U18,"")</f>
        <v/>
      </c>
      <c r="DU18" s="55"/>
      <c r="DV18" s="83"/>
      <c r="DW18" s="87" t="str">
        <f aca="false">IF($B18=DW$12,$O18,"")</f>
        <v/>
      </c>
      <c r="DX18" s="88" t="str">
        <f aca="false">IF($B18=DX$12,$O18,"")</f>
        <v/>
      </c>
      <c r="DY18" s="88" t="str">
        <f aca="false">IF($B18=DY$12,$O18,"")</f>
        <v/>
      </c>
      <c r="DZ18" s="88" t="str">
        <f aca="false">IF($B18=DZ$12,$O18,"")</f>
        <v/>
      </c>
      <c r="EA18" s="88" t="str">
        <f aca="false">IF($B18=EA$12,$O18,"")</f>
        <v/>
      </c>
      <c r="EB18" s="88" t="str">
        <f aca="false">IF($B18=EB$12,$O18,"")</f>
        <v/>
      </c>
      <c r="EC18" s="88" t="str">
        <f aca="false">IF($B18=EC$12,$O18,"")</f>
        <v/>
      </c>
      <c r="ED18" s="88" t="str">
        <f aca="false">IF($B18=ED$12,$O18,"")</f>
        <v/>
      </c>
      <c r="EE18" s="88" t="str">
        <f aca="false">IF($B18=EE$12,$O18,"")</f>
        <v/>
      </c>
      <c r="EF18" s="88" t="str">
        <f aca="false">IF($B18=EF$12,$O18,"")</f>
        <v/>
      </c>
      <c r="EG18" s="88" t="str">
        <f aca="false">IF($B18=EG$12,$O18,"")</f>
        <v/>
      </c>
      <c r="EH18" s="88" t="str">
        <f aca="false">IF($B18=EH$12,$O18,"")</f>
        <v/>
      </c>
      <c r="EI18" s="88" t="str">
        <f aca="false">IF($B18=EI$12,$O18,"")</f>
        <v/>
      </c>
      <c r="EJ18" s="88" t="str">
        <f aca="false">IF($B18=EJ$12,$O18,"")</f>
        <v/>
      </c>
      <c r="EK18" s="88" t="str">
        <f aca="false">IF($B18=EK$12,$O18,"")</f>
        <v/>
      </c>
      <c r="EL18" s="88" t="str">
        <f aca="false">IF($B18=EL$12,$O18,"")</f>
        <v/>
      </c>
      <c r="EM18" s="88" t="str">
        <f aca="false">IF($B18=EM$12,$O18,"")</f>
        <v/>
      </c>
      <c r="EN18" s="88" t="str">
        <f aca="false">IF($B18=EN$12,$O18,"")</f>
        <v/>
      </c>
      <c r="EO18" s="88" t="str">
        <f aca="false">IF($B18=EO$12,$O18,"")</f>
        <v/>
      </c>
      <c r="EP18" s="88" t="str">
        <f aca="false">IF($B18=EP$12,$O18,"")</f>
        <v/>
      </c>
      <c r="EQ18" s="88" t="str">
        <f aca="false">IF($B18=EQ$12,$O18,"")</f>
        <v/>
      </c>
      <c r="ER18" s="88" t="str">
        <f aca="false">IF($B18=ER$12,$O18,"")</f>
        <v/>
      </c>
      <c r="ES18" s="88" t="str">
        <f aca="false">IF($B18=ES$12,$O18,"")</f>
        <v/>
      </c>
      <c r="ET18" s="88" t="str">
        <f aca="false">IF($B18=ET$12,$O18,"")</f>
        <v/>
      </c>
      <c r="EU18" s="88" t="str">
        <f aca="false">IF($B18=EU$12,$O18,"")</f>
        <v/>
      </c>
      <c r="EV18" s="88" t="str">
        <f aca="false">IF($B18=EV$12,$O18,"")</f>
        <v/>
      </c>
      <c r="EW18" s="88" t="str">
        <f aca="false">IF($B18=EW$12,$O18,"")</f>
        <v/>
      </c>
      <c r="EX18" s="88" t="str">
        <f aca="false">IF($B18=EX$12,$O18,"")</f>
        <v/>
      </c>
      <c r="EY18" s="88" t="str">
        <f aca="false">IF($B18=EY$12,$O18,"")</f>
        <v/>
      </c>
      <c r="EZ18" s="88" t="str">
        <f aca="false">IF($B18=EZ$12,$O18,"")</f>
        <v/>
      </c>
      <c r="FA18" s="88" t="str">
        <f aca="false">IF($B18=FA$12,$O18,"")</f>
        <v/>
      </c>
      <c r="FB18" s="88" t="str">
        <f aca="false">IF($B18=FB$12,$O18,"")</f>
        <v/>
      </c>
      <c r="FC18" s="88" t="str">
        <f aca="false">IF($B18=FC$12,$O18,"")</f>
        <v/>
      </c>
      <c r="FD18" s="88" t="str">
        <f aca="false">IF($B18=FD$12,$O18,"")</f>
        <v/>
      </c>
      <c r="FE18" s="88" t="str">
        <f aca="false">IF($B18=FE$12,$O18,"")</f>
        <v/>
      </c>
      <c r="FF18" s="88" t="str">
        <f aca="false">IF($B18=FF$12,$O18,"")</f>
        <v/>
      </c>
      <c r="FG18" s="88" t="str">
        <f aca="false">IF($B18=FG$12,$O18,"")</f>
        <v/>
      </c>
      <c r="FH18" s="88" t="str">
        <f aca="false">IF($B18=FH$12,$O18,"")</f>
        <v/>
      </c>
      <c r="FI18" s="88" t="str">
        <f aca="false">IF($B18=FI$12,$O18,"")</f>
        <v/>
      </c>
      <c r="FJ18" s="88" t="str">
        <f aca="false">IF($B18=FJ$12,$O18,"")</f>
        <v/>
      </c>
      <c r="FK18" s="88" t="str">
        <f aca="false">IF($B18=FK$12,$O18,"")</f>
        <v/>
      </c>
      <c r="FL18" s="88" t="str">
        <f aca="false">IF($B18=FL$12,$O18,"")</f>
        <v/>
      </c>
      <c r="FM18" s="88" t="str">
        <f aca="false">IF($B18=FM$12,$O18,"")</f>
        <v/>
      </c>
      <c r="FN18" s="88" t="str">
        <f aca="false">IF($B18=FN$12,$O18,"")</f>
        <v/>
      </c>
      <c r="FO18" s="88" t="str">
        <f aca="false">IF($B18=FO$12,$O18,"")</f>
        <v/>
      </c>
      <c r="FP18" s="88" t="str">
        <f aca="false">IF($B18=FP$12,$O18,"")</f>
        <v/>
      </c>
      <c r="FQ18" s="88" t="str">
        <f aca="false">IF($B18=FQ$12,$O18,"")</f>
        <v/>
      </c>
      <c r="FR18" s="88" t="str">
        <f aca="false">IF($B18=FR$12,$O18,"")</f>
        <v/>
      </c>
      <c r="FS18" s="88" t="str">
        <f aca="false">IF($B18=FS$12,$O18,"")</f>
        <v/>
      </c>
      <c r="FT18" s="88" t="str">
        <f aca="false">IF($B18=FT$12,$O18,"")</f>
        <v/>
      </c>
      <c r="FU18" s="88" t="str">
        <f aca="false">IF($B18=FU$12,$O18,"")</f>
        <v/>
      </c>
      <c r="FV18" s="88" t="str">
        <f aca="false">IF($B18=FV$12,$O18,"")</f>
        <v/>
      </c>
      <c r="FW18" s="88" t="str">
        <f aca="false">IF($B18=FW$12,$O18,"")</f>
        <v/>
      </c>
      <c r="FX18" s="88" t="str">
        <f aca="false">IF($B18=FX$12,$O18,"")</f>
        <v/>
      </c>
      <c r="FY18" s="88" t="str">
        <f aca="false">IF($B18=FY$12,$O18,"")</f>
        <v/>
      </c>
      <c r="FZ18" s="88" t="str">
        <f aca="false">IF($B18=FZ$12,$O18,"")</f>
        <v/>
      </c>
      <c r="GA18" s="88" t="str">
        <f aca="false">IF($B18=GA$12,$O18,"")</f>
        <v/>
      </c>
      <c r="GB18" s="88" t="str">
        <f aca="false">IF($B18=GB$12,$O18,"")</f>
        <v/>
      </c>
      <c r="GC18" s="88" t="str">
        <f aca="false">IF($B18=GC$12,$O18,"")</f>
        <v/>
      </c>
      <c r="GD18" s="88" t="str">
        <f aca="false">IF($B18=GD$12,$O18,"")</f>
        <v/>
      </c>
      <c r="GE18" s="88" t="str">
        <f aca="false">IF($B18=GE$12,$O18,"")</f>
        <v/>
      </c>
      <c r="GF18" s="88" t="str">
        <f aca="false">IF($B18=GF$12,$O18,"")</f>
        <v/>
      </c>
      <c r="GG18" s="88" t="str">
        <f aca="false">IF($B18=GG$12,$O18,"")</f>
        <v/>
      </c>
      <c r="GH18" s="88" t="str">
        <f aca="false">IF($B18=GH$12,$O18,"")</f>
        <v/>
      </c>
      <c r="GI18" s="88" t="str">
        <f aca="false">IF($B18=GI$12,$O18,"")</f>
        <v/>
      </c>
      <c r="GJ18" s="88" t="str">
        <f aca="false">IF($B18=GJ$12,$O18,"")</f>
        <v/>
      </c>
      <c r="GK18" s="88" t="str">
        <f aca="false">IF($B18=GK$12,$O18,"")</f>
        <v/>
      </c>
      <c r="GL18" s="88" t="str">
        <f aca="false">IF($B18=GL$12,$O18,"")</f>
        <v/>
      </c>
      <c r="GM18" s="88" t="str">
        <f aca="false">IF($B18=GM$12,$O18,"")</f>
        <v/>
      </c>
      <c r="GN18" s="88" t="str">
        <f aca="false">IF($B18=GN$12,$O18,"")</f>
        <v/>
      </c>
      <c r="GO18" s="88" t="str">
        <f aca="false">IF($B18=GO$12,$O18,"")</f>
        <v/>
      </c>
      <c r="GP18" s="88" t="str">
        <f aca="false">IF($B18=GP$12,$O18,"")</f>
        <v/>
      </c>
      <c r="GQ18" s="88" t="str">
        <f aca="false">IF($B18=GQ$12,$O18,"")</f>
        <v/>
      </c>
      <c r="GR18" s="88" t="str">
        <f aca="false">IF($B18=GR$12,$O18,"")</f>
        <v/>
      </c>
      <c r="GS18" s="88" t="str">
        <f aca="false">IF($B18=GS$12,$O18,"")</f>
        <v/>
      </c>
      <c r="GT18" s="88" t="str">
        <f aca="false">IF($B18=GT$12,$O18,"")</f>
        <v/>
      </c>
      <c r="GU18" s="88" t="str">
        <f aca="false">IF($B18=GU$12,$O18,"")</f>
        <v/>
      </c>
      <c r="GV18" s="88" t="str">
        <f aca="false">IF($B18=GV$12,$O18,"")</f>
        <v/>
      </c>
      <c r="GW18" s="88" t="str">
        <f aca="false">IF($B18=GW$12,$O18,"")</f>
        <v/>
      </c>
      <c r="GX18" s="88" t="str">
        <f aca="false">IF($B18=GX$12,$O18,"")</f>
        <v/>
      </c>
      <c r="GY18" s="88" t="str">
        <f aca="false">IF($B18=GY$12,$O18,"")</f>
        <v/>
      </c>
      <c r="GZ18" s="88" t="str">
        <f aca="false">IF($B18=GZ$12,$O18,"")</f>
        <v/>
      </c>
      <c r="HA18" s="88" t="str">
        <f aca="false">IF($B18=HA$12,$O18,"")</f>
        <v/>
      </c>
      <c r="HB18" s="88" t="str">
        <f aca="false">IF($B18=HB$12,$O18,"")</f>
        <v/>
      </c>
      <c r="HC18" s="88" t="str">
        <f aca="false">IF($B18=HC$12,$O18,"")</f>
        <v/>
      </c>
      <c r="HD18" s="88" t="str">
        <f aca="false">IF($B18=HD$12,$O18,"")</f>
        <v/>
      </c>
      <c r="HE18" s="88" t="str">
        <f aca="false">IF($B18=HE$12,$O18,"")</f>
        <v/>
      </c>
      <c r="HF18" s="88" t="str">
        <f aca="false">IF($B18=HF$12,$O18,"")</f>
        <v/>
      </c>
      <c r="HG18" s="88" t="str">
        <f aca="false">IF($B18=HG$12,$O18,"")</f>
        <v/>
      </c>
      <c r="HH18" s="88" t="str">
        <f aca="false">IF($B18=HH$12,$O18,"")</f>
        <v/>
      </c>
      <c r="HI18" s="88" t="str">
        <f aca="false">IF($B18=HI$12,$O18,"")</f>
        <v/>
      </c>
      <c r="HJ18" s="88" t="str">
        <f aca="false">IF($B18=HJ$12,$O18,"")</f>
        <v/>
      </c>
      <c r="HK18" s="88" t="str">
        <f aca="false">IF($B18=HK$12,$O18,"")</f>
        <v/>
      </c>
      <c r="HL18" s="88" t="str">
        <f aca="false">IF($B18=HL$12,$O18,"")</f>
        <v/>
      </c>
      <c r="HM18" s="88" t="str">
        <f aca="false">IF($B18=HM$12,$O18,"")</f>
        <v/>
      </c>
      <c r="HN18" s="88" t="str">
        <f aca="false">IF($B18=HN$12,$O18,"")</f>
        <v/>
      </c>
      <c r="HO18" s="88" t="str">
        <f aca="false">IF($B18=HO$12,$O18,"")</f>
        <v/>
      </c>
      <c r="HP18" s="88" t="str">
        <f aca="false">IF($B18=HP$12,$O18,"")</f>
        <v/>
      </c>
      <c r="HQ18" s="88" t="str">
        <f aca="false">IF($B18=HQ$12,$O18,"")</f>
        <v/>
      </c>
      <c r="HR18" s="89" t="str">
        <f aca="false">IF($B18=HR$12,$O18,"")</f>
        <v/>
      </c>
    </row>
    <row r="19" customFormat="false" ht="10.5" hidden="false" customHeight="true" outlineLevel="0" collapsed="false">
      <c r="A19" s="73"/>
      <c r="B19" s="74"/>
      <c r="C19" s="75" t="str">
        <f aca="false">IF(A19=0,"",VLOOKUP(A19,[3]CO!$A$3:$F$5311,2,0))</f>
        <v/>
      </c>
      <c r="D19" s="76"/>
      <c r="E19" s="76"/>
      <c r="F19" s="76"/>
      <c r="G19" s="77" t="str">
        <f aca="false">IF(A19=0,"",VLOOKUP(A19,[3]CO!$A$3:$F$5311,3,0))</f>
        <v/>
      </c>
      <c r="H19" s="76"/>
      <c r="I19" s="78"/>
      <c r="J19" s="78"/>
      <c r="K19" s="78"/>
      <c r="L19" s="78"/>
      <c r="M19" s="79" t="str">
        <f aca="false">IF(L19=0,"",PRODUCT(I19:L19))</f>
        <v/>
      </c>
      <c r="N19" s="79" t="str">
        <f aca="false">IF(B19=0,"",IF(H19="M",HLOOKUP(B19,$Y$12:$DT$13,2),IF(A19=0,"",VLOOKUP(A19,[3]CO!$A$3:$F$5311,4,0))))</f>
        <v/>
      </c>
      <c r="O19" s="79" t="str">
        <f aca="false">IF(L19=0,"",PRODUCT(M19:N19))</f>
        <v/>
      </c>
      <c r="P19" s="80"/>
      <c r="Q19" s="81" t="str">
        <f aca="false">IF(P19=0,"",(HLOOKUP(P19,$DW$12:$HR$13,2)))</f>
        <v/>
      </c>
      <c r="R19" s="82" t="str">
        <f aca="false"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RESIDENTE"),VLOOKUP(B19,P$14:Q$131,2),"")*S19)</f>
        <v/>
      </c>
      <c r="S19" s="5"/>
      <c r="T19" s="65" t="str">
        <f aca="false">IF(A19=0,"",VLOOKUP(A19,[3]CO!$A$3:$F$5302,5,0))</f>
        <v/>
      </c>
      <c r="U19" s="55" t="n">
        <f aca="false">IF(T19=1,O19*0.1,)</f>
        <v>0</v>
      </c>
      <c r="V19" s="66"/>
      <c r="W19" s="83"/>
      <c r="X19" s="83"/>
      <c r="Y19" s="84" t="str">
        <f aca="false">IF($B19=Y$12,$U19,"")</f>
        <v/>
      </c>
      <c r="Z19" s="85" t="str">
        <f aca="false">IF($B19=Z$12,$U19,"")</f>
        <v/>
      </c>
      <c r="AA19" s="85" t="str">
        <f aca="false">IF($B19=AA$12,$U19,"")</f>
        <v/>
      </c>
      <c r="AB19" s="85" t="str">
        <f aca="false">IF($B19=AB$12,$U19,"")</f>
        <v/>
      </c>
      <c r="AC19" s="85" t="str">
        <f aca="false">IF($B19=AC$12,$U19,"")</f>
        <v/>
      </c>
      <c r="AD19" s="85" t="str">
        <f aca="false">IF($B19=AD$12,$U19,"")</f>
        <v/>
      </c>
      <c r="AE19" s="85" t="str">
        <f aca="false">IF($B19=AE$12,$U19,"")</f>
        <v/>
      </c>
      <c r="AF19" s="85" t="str">
        <f aca="false">IF($B19=AF$12,$U19,"")</f>
        <v/>
      </c>
      <c r="AG19" s="85" t="str">
        <f aca="false">IF($B19=AG$12,$U19,"")</f>
        <v/>
      </c>
      <c r="AH19" s="85" t="str">
        <f aca="false">IF($B19=AH$12,$U19,"")</f>
        <v/>
      </c>
      <c r="AI19" s="85" t="str">
        <f aca="false">IF($B19=AI$12,$U19,"")</f>
        <v/>
      </c>
      <c r="AJ19" s="85" t="str">
        <f aca="false">IF($B19=AJ$12,$U19,"")</f>
        <v/>
      </c>
      <c r="AK19" s="85" t="str">
        <f aca="false">IF($B19=AK$12,$U19,"")</f>
        <v/>
      </c>
      <c r="AL19" s="85" t="str">
        <f aca="false">IF($B19=AL$12,$U19,"")</f>
        <v/>
      </c>
      <c r="AM19" s="85" t="str">
        <f aca="false">IF($B19=AM$12,$U19,"")</f>
        <v/>
      </c>
      <c r="AN19" s="85" t="str">
        <f aca="false">IF($B19=AN$12,$U19,"")</f>
        <v/>
      </c>
      <c r="AO19" s="85" t="str">
        <f aca="false">IF($B19=AO$12,$U19,"")</f>
        <v/>
      </c>
      <c r="AP19" s="85" t="str">
        <f aca="false">IF($B19=AP$12,$U19,"")</f>
        <v/>
      </c>
      <c r="AQ19" s="85" t="str">
        <f aca="false">IF($B19=AQ$12,$U19,"")</f>
        <v/>
      </c>
      <c r="AR19" s="85" t="str">
        <f aca="false">IF($B19=AR$12,$U19,"")</f>
        <v/>
      </c>
      <c r="AS19" s="85" t="str">
        <f aca="false">IF($B19=AS$12,$U19,"")</f>
        <v/>
      </c>
      <c r="AT19" s="85" t="str">
        <f aca="false">IF($B19=AT$12,$U19,"")</f>
        <v/>
      </c>
      <c r="AU19" s="85" t="str">
        <f aca="false">IF($B19=AU$12,$U19,"")</f>
        <v/>
      </c>
      <c r="AV19" s="85" t="str">
        <f aca="false">IF($B19=AV$12,$U19,"")</f>
        <v/>
      </c>
      <c r="AW19" s="85" t="str">
        <f aca="false">IF($B19=AW$12,$U19,"")</f>
        <v/>
      </c>
      <c r="AX19" s="85" t="str">
        <f aca="false">IF($B19=AX$12,$U19,"")</f>
        <v/>
      </c>
      <c r="AY19" s="85" t="str">
        <f aca="false">IF($B19=AY$12,$U19,"")</f>
        <v/>
      </c>
      <c r="AZ19" s="85" t="str">
        <f aca="false">IF($B19=AZ$12,$U19,"")</f>
        <v/>
      </c>
      <c r="BA19" s="85" t="str">
        <f aca="false">IF($B19=BA$12,$U19,"")</f>
        <v/>
      </c>
      <c r="BB19" s="85" t="str">
        <f aca="false">IF($B19=BB$12,$U19,"")</f>
        <v/>
      </c>
      <c r="BC19" s="85" t="str">
        <f aca="false">IF($B19=BC$12,$U19,"")</f>
        <v/>
      </c>
      <c r="BD19" s="85" t="str">
        <f aca="false">IF($B19=BD$12,$U19,"")</f>
        <v/>
      </c>
      <c r="BE19" s="85" t="str">
        <f aca="false">IF($B19=BE$12,$U19,"")</f>
        <v/>
      </c>
      <c r="BF19" s="85" t="str">
        <f aca="false">IF($B19=BF$12,$U19,"")</f>
        <v/>
      </c>
      <c r="BG19" s="85" t="str">
        <f aca="false">IF($B19=BG$12,$U19,"")</f>
        <v/>
      </c>
      <c r="BH19" s="85" t="str">
        <f aca="false">IF($B19=BH$12,$U19,"")</f>
        <v/>
      </c>
      <c r="BI19" s="85" t="str">
        <f aca="false">IF($B19=BI$12,$U19,"")</f>
        <v/>
      </c>
      <c r="BJ19" s="85" t="str">
        <f aca="false">IF($B19=BJ$12,$U19,"")</f>
        <v/>
      </c>
      <c r="BK19" s="85" t="str">
        <f aca="false">IF($B19=BK$12,$U19,"")</f>
        <v/>
      </c>
      <c r="BL19" s="85" t="str">
        <f aca="false">IF($B19=BL$12,$U19,"")</f>
        <v/>
      </c>
      <c r="BM19" s="85" t="str">
        <f aca="false">IF($B19=BM$12,$U19,"")</f>
        <v/>
      </c>
      <c r="BN19" s="85" t="str">
        <f aca="false">IF($B19=BN$12,$U19,"")</f>
        <v/>
      </c>
      <c r="BO19" s="85" t="str">
        <f aca="false">IF($B19=BO$12,$U19,"")</f>
        <v/>
      </c>
      <c r="BP19" s="85" t="str">
        <f aca="false">IF($B19=BP$12,$U19,"")</f>
        <v/>
      </c>
      <c r="BQ19" s="85" t="str">
        <f aca="false">IF($B19=BQ$12,$U19,"")</f>
        <v/>
      </c>
      <c r="BR19" s="85" t="str">
        <f aca="false">IF($B19=BR$12,$U19,"")</f>
        <v/>
      </c>
      <c r="BS19" s="85" t="str">
        <f aca="false">IF($B19=BS$12,$U19,"")</f>
        <v/>
      </c>
      <c r="BT19" s="85" t="str">
        <f aca="false">IF($B19=BT$12,$U19,"")</f>
        <v/>
      </c>
      <c r="BU19" s="85" t="str">
        <f aca="false">IF($B19=BU$12,$U19,"")</f>
        <v/>
      </c>
      <c r="BV19" s="85" t="str">
        <f aca="false">IF($B19=BV$12,$U19,"")</f>
        <v/>
      </c>
      <c r="BW19" s="85" t="str">
        <f aca="false">IF($B19=BW$12,$U19,"")</f>
        <v/>
      </c>
      <c r="BX19" s="85" t="str">
        <f aca="false">IF($B19=BX$12,$U19,"")</f>
        <v/>
      </c>
      <c r="BY19" s="85" t="str">
        <f aca="false">IF($B19=BY$12,$U19,"")</f>
        <v/>
      </c>
      <c r="BZ19" s="85" t="str">
        <f aca="false">IF($B19=BZ$12,$U19,"")</f>
        <v/>
      </c>
      <c r="CA19" s="85" t="str">
        <f aca="false">IF($B19=CA$12,$U19,"")</f>
        <v/>
      </c>
      <c r="CB19" s="85" t="str">
        <f aca="false">IF($B19=CB$12,$U19,"")</f>
        <v/>
      </c>
      <c r="CC19" s="85" t="str">
        <f aca="false">IF($B19=CC$12,$U19,"")</f>
        <v/>
      </c>
      <c r="CD19" s="85" t="str">
        <f aca="false">IF($B19=CD$12,$U19,"")</f>
        <v/>
      </c>
      <c r="CE19" s="85" t="str">
        <f aca="false">IF($B19=CE$12,$U19,"")</f>
        <v/>
      </c>
      <c r="CF19" s="85" t="str">
        <f aca="false">IF($B19=CF$12,$U19,"")</f>
        <v/>
      </c>
      <c r="CG19" s="85" t="str">
        <f aca="false">IF($B19=CG$12,$U19,"")</f>
        <v/>
      </c>
      <c r="CH19" s="85" t="str">
        <f aca="false">IF($B19=CH$12,$U19,"")</f>
        <v/>
      </c>
      <c r="CI19" s="85" t="str">
        <f aca="false">IF($B19=CI$12,$U19,"")</f>
        <v/>
      </c>
      <c r="CJ19" s="85" t="str">
        <f aca="false">IF($B19=CJ$12,$U19,"")</f>
        <v/>
      </c>
      <c r="CK19" s="85" t="str">
        <f aca="false">IF($B19=CK$12,$U19,"")</f>
        <v/>
      </c>
      <c r="CL19" s="85" t="str">
        <f aca="false">IF($B19=CL$12,$U19,"")</f>
        <v/>
      </c>
      <c r="CM19" s="85" t="str">
        <f aca="false">IF($B19=CM$12,$U19,"")</f>
        <v/>
      </c>
      <c r="CN19" s="85" t="str">
        <f aca="false">IF($B19=CN$12,$U19,"")</f>
        <v/>
      </c>
      <c r="CO19" s="85" t="str">
        <f aca="false">IF($B19=CO$12,$U19,"")</f>
        <v/>
      </c>
      <c r="CP19" s="85" t="str">
        <f aca="false">IF($B19=CP$12,$U19,"")</f>
        <v/>
      </c>
      <c r="CQ19" s="85" t="str">
        <f aca="false">IF($B19=CQ$12,$U19,"")</f>
        <v/>
      </c>
      <c r="CR19" s="85" t="str">
        <f aca="false">IF($B19=CR$12,$U19,"")</f>
        <v/>
      </c>
      <c r="CS19" s="85" t="str">
        <f aca="false">IF($B19=CS$12,$U19,"")</f>
        <v/>
      </c>
      <c r="CT19" s="85" t="str">
        <f aca="false">IF($B19=CT$12,$U19,"")</f>
        <v/>
      </c>
      <c r="CU19" s="85" t="str">
        <f aca="false">IF($B19=CU$12,$U19,"")</f>
        <v/>
      </c>
      <c r="CV19" s="85" t="str">
        <f aca="false">IF($B19=CV$12,$U19,"")</f>
        <v/>
      </c>
      <c r="CW19" s="85" t="str">
        <f aca="false">IF($B19=CW$12,$U19,"")</f>
        <v/>
      </c>
      <c r="CX19" s="85" t="str">
        <f aca="false">IF($B19=CX$12,$U19,"")</f>
        <v/>
      </c>
      <c r="CY19" s="85" t="str">
        <f aca="false">IF($B19=CY$12,$U19,"")</f>
        <v/>
      </c>
      <c r="CZ19" s="85" t="str">
        <f aca="false">IF($B19=CZ$12,$U19,"")</f>
        <v/>
      </c>
      <c r="DA19" s="85" t="str">
        <f aca="false">IF($B19=DA$12,$U19,"")</f>
        <v/>
      </c>
      <c r="DB19" s="85" t="str">
        <f aca="false">IF($B19=DB$12,$U19,"")</f>
        <v/>
      </c>
      <c r="DC19" s="85" t="str">
        <f aca="false">IF($B19=DC$12,$U19,"")</f>
        <v/>
      </c>
      <c r="DD19" s="85" t="str">
        <f aca="false">IF($B19=DD$12,$U19,"")</f>
        <v/>
      </c>
      <c r="DE19" s="85" t="str">
        <f aca="false">IF($B19=DE$12,$U19,"")</f>
        <v/>
      </c>
      <c r="DF19" s="85" t="str">
        <f aca="false">IF($B19=DF$12,$U19,"")</f>
        <v/>
      </c>
      <c r="DG19" s="85" t="str">
        <f aca="false">IF($B19=DG$12,$U19,"")</f>
        <v/>
      </c>
      <c r="DH19" s="85" t="str">
        <f aca="false">IF($B19=DH$12,$U19,"")</f>
        <v/>
      </c>
      <c r="DI19" s="85" t="str">
        <f aca="false">IF($B19=DI$12,$U19,"")</f>
        <v/>
      </c>
      <c r="DJ19" s="85" t="str">
        <f aca="false">IF($B19=DJ$12,$U19,"")</f>
        <v/>
      </c>
      <c r="DK19" s="85" t="str">
        <f aca="false">IF($B19=DK$12,$U19,"")</f>
        <v/>
      </c>
      <c r="DL19" s="85" t="str">
        <f aca="false">IF($B19=DL$12,$U19,"")</f>
        <v/>
      </c>
      <c r="DM19" s="85" t="str">
        <f aca="false">IF($B19=DM$12,$U19,"")</f>
        <v/>
      </c>
      <c r="DN19" s="85" t="str">
        <f aca="false">IF($B19=DN$12,$U19,"")</f>
        <v/>
      </c>
      <c r="DO19" s="85" t="str">
        <f aca="false">IF($B19=DO$12,$U19,"")</f>
        <v/>
      </c>
      <c r="DP19" s="85" t="str">
        <f aca="false">IF($B19=DP$12,$U19,"")</f>
        <v/>
      </c>
      <c r="DQ19" s="85" t="str">
        <f aca="false">IF($B19=DQ$12,$U19,"")</f>
        <v/>
      </c>
      <c r="DR19" s="85" t="str">
        <f aca="false">IF($B19=DR$12,$U19,"")</f>
        <v/>
      </c>
      <c r="DS19" s="85" t="str">
        <f aca="false">IF($B19=DS$12,$U19,"")</f>
        <v/>
      </c>
      <c r="DT19" s="86" t="str">
        <f aca="false">IF($B19=DT$12,$U19,"")</f>
        <v/>
      </c>
      <c r="DU19" s="55"/>
      <c r="DV19" s="83"/>
      <c r="DW19" s="87" t="str">
        <f aca="false">IF($B19=DW$12,$O19,"")</f>
        <v/>
      </c>
      <c r="DX19" s="88" t="str">
        <f aca="false">IF($B19=DX$12,$O19,"")</f>
        <v/>
      </c>
      <c r="DY19" s="88" t="str">
        <f aca="false">IF($B19=DY$12,$O19,"")</f>
        <v/>
      </c>
      <c r="DZ19" s="88" t="str">
        <f aca="false">IF($B19=DZ$12,$O19,"")</f>
        <v/>
      </c>
      <c r="EA19" s="88" t="str">
        <f aca="false">IF($B19=EA$12,$O19,"")</f>
        <v/>
      </c>
      <c r="EB19" s="88" t="str">
        <f aca="false">IF($B19=EB$12,$O19,"")</f>
        <v/>
      </c>
      <c r="EC19" s="88" t="str">
        <f aca="false">IF($B19=EC$12,$O19,"")</f>
        <v/>
      </c>
      <c r="ED19" s="88" t="str">
        <f aca="false">IF($B19=ED$12,$O19,"")</f>
        <v/>
      </c>
      <c r="EE19" s="88" t="str">
        <f aca="false">IF($B19=EE$12,$O19,"")</f>
        <v/>
      </c>
      <c r="EF19" s="88" t="str">
        <f aca="false">IF($B19=EF$12,$O19,"")</f>
        <v/>
      </c>
      <c r="EG19" s="88" t="str">
        <f aca="false">IF($B19=EG$12,$O19,"")</f>
        <v/>
      </c>
      <c r="EH19" s="88" t="str">
        <f aca="false">IF($B19=EH$12,$O19,"")</f>
        <v/>
      </c>
      <c r="EI19" s="88" t="str">
        <f aca="false">IF($B19=EI$12,$O19,"")</f>
        <v/>
      </c>
      <c r="EJ19" s="88" t="str">
        <f aca="false">IF($B19=EJ$12,$O19,"")</f>
        <v/>
      </c>
      <c r="EK19" s="88" t="str">
        <f aca="false">IF($B19=EK$12,$O19,"")</f>
        <v/>
      </c>
      <c r="EL19" s="88" t="str">
        <f aca="false">IF($B19=EL$12,$O19,"")</f>
        <v/>
      </c>
      <c r="EM19" s="88" t="str">
        <f aca="false">IF($B19=EM$12,$O19,"")</f>
        <v/>
      </c>
      <c r="EN19" s="88" t="str">
        <f aca="false">IF($B19=EN$12,$O19,"")</f>
        <v/>
      </c>
      <c r="EO19" s="88" t="str">
        <f aca="false">IF($B19=EO$12,$O19,"")</f>
        <v/>
      </c>
      <c r="EP19" s="88" t="str">
        <f aca="false">IF($B19=EP$12,$O19,"")</f>
        <v/>
      </c>
      <c r="EQ19" s="88" t="str">
        <f aca="false">IF($B19=EQ$12,$O19,"")</f>
        <v/>
      </c>
      <c r="ER19" s="88" t="str">
        <f aca="false">IF($B19=ER$12,$O19,"")</f>
        <v/>
      </c>
      <c r="ES19" s="88" t="str">
        <f aca="false">IF($B19=ES$12,$O19,"")</f>
        <v/>
      </c>
      <c r="ET19" s="88" t="str">
        <f aca="false">IF($B19=ET$12,$O19,"")</f>
        <v/>
      </c>
      <c r="EU19" s="88" t="str">
        <f aca="false">IF($B19=EU$12,$O19,"")</f>
        <v/>
      </c>
      <c r="EV19" s="88" t="str">
        <f aca="false">IF($B19=EV$12,$O19,"")</f>
        <v/>
      </c>
      <c r="EW19" s="88" t="str">
        <f aca="false">IF($B19=EW$12,$O19,"")</f>
        <v/>
      </c>
      <c r="EX19" s="88" t="str">
        <f aca="false">IF($B19=EX$12,$O19,"")</f>
        <v/>
      </c>
      <c r="EY19" s="88" t="str">
        <f aca="false">IF($B19=EY$12,$O19,"")</f>
        <v/>
      </c>
      <c r="EZ19" s="88" t="str">
        <f aca="false">IF($B19=EZ$12,$O19,"")</f>
        <v/>
      </c>
      <c r="FA19" s="88" t="str">
        <f aca="false">IF($B19=FA$12,$O19,"")</f>
        <v/>
      </c>
      <c r="FB19" s="88" t="str">
        <f aca="false">IF($B19=FB$12,$O19,"")</f>
        <v/>
      </c>
      <c r="FC19" s="88" t="str">
        <f aca="false">IF($B19=FC$12,$O19,"")</f>
        <v/>
      </c>
      <c r="FD19" s="88" t="str">
        <f aca="false">IF($B19=FD$12,$O19,"")</f>
        <v/>
      </c>
      <c r="FE19" s="88" t="str">
        <f aca="false">IF($B19=FE$12,$O19,"")</f>
        <v/>
      </c>
      <c r="FF19" s="88" t="str">
        <f aca="false">IF($B19=FF$12,$O19,"")</f>
        <v/>
      </c>
      <c r="FG19" s="88" t="str">
        <f aca="false">IF($B19=FG$12,$O19,"")</f>
        <v/>
      </c>
      <c r="FH19" s="88" t="str">
        <f aca="false">IF($B19=FH$12,$O19,"")</f>
        <v/>
      </c>
      <c r="FI19" s="88" t="str">
        <f aca="false">IF($B19=FI$12,$O19,"")</f>
        <v/>
      </c>
      <c r="FJ19" s="88" t="str">
        <f aca="false">IF($B19=FJ$12,$O19,"")</f>
        <v/>
      </c>
      <c r="FK19" s="88" t="str">
        <f aca="false">IF($B19=FK$12,$O19,"")</f>
        <v/>
      </c>
      <c r="FL19" s="88" t="str">
        <f aca="false">IF($B19=FL$12,$O19,"")</f>
        <v/>
      </c>
      <c r="FM19" s="88" t="str">
        <f aca="false">IF($B19=FM$12,$O19,"")</f>
        <v/>
      </c>
      <c r="FN19" s="88" t="str">
        <f aca="false">IF($B19=FN$12,$O19,"")</f>
        <v/>
      </c>
      <c r="FO19" s="88" t="str">
        <f aca="false">IF($B19=FO$12,$O19,"")</f>
        <v/>
      </c>
      <c r="FP19" s="88" t="str">
        <f aca="false">IF($B19=FP$12,$O19,"")</f>
        <v/>
      </c>
      <c r="FQ19" s="88" t="str">
        <f aca="false">IF($B19=FQ$12,$O19,"")</f>
        <v/>
      </c>
      <c r="FR19" s="88" t="str">
        <f aca="false">IF($B19=FR$12,$O19,"")</f>
        <v/>
      </c>
      <c r="FS19" s="88" t="str">
        <f aca="false">IF($B19=FS$12,$O19,"")</f>
        <v/>
      </c>
      <c r="FT19" s="88" t="str">
        <f aca="false">IF($B19=FT$12,$O19,"")</f>
        <v/>
      </c>
      <c r="FU19" s="88" t="str">
        <f aca="false">IF($B19=FU$12,$O19,"")</f>
        <v/>
      </c>
      <c r="FV19" s="88" t="str">
        <f aca="false">IF($B19=FV$12,$O19,"")</f>
        <v/>
      </c>
      <c r="FW19" s="88" t="str">
        <f aca="false">IF($B19=FW$12,$O19,"")</f>
        <v/>
      </c>
      <c r="FX19" s="88" t="str">
        <f aca="false">IF($B19=FX$12,$O19,"")</f>
        <v/>
      </c>
      <c r="FY19" s="88" t="str">
        <f aca="false">IF($B19=FY$12,$O19,"")</f>
        <v/>
      </c>
      <c r="FZ19" s="88" t="str">
        <f aca="false">IF($B19=FZ$12,$O19,"")</f>
        <v/>
      </c>
      <c r="GA19" s="88" t="str">
        <f aca="false">IF($B19=GA$12,$O19,"")</f>
        <v/>
      </c>
      <c r="GB19" s="88" t="str">
        <f aca="false">IF($B19=GB$12,$O19,"")</f>
        <v/>
      </c>
      <c r="GC19" s="88" t="str">
        <f aca="false">IF($B19=GC$12,$O19,"")</f>
        <v/>
      </c>
      <c r="GD19" s="88" t="str">
        <f aca="false">IF($B19=GD$12,$O19,"")</f>
        <v/>
      </c>
      <c r="GE19" s="88" t="str">
        <f aca="false">IF($B19=GE$12,$O19,"")</f>
        <v/>
      </c>
      <c r="GF19" s="88" t="str">
        <f aca="false">IF($B19=GF$12,$O19,"")</f>
        <v/>
      </c>
      <c r="GG19" s="88" t="str">
        <f aca="false">IF($B19=GG$12,$O19,"")</f>
        <v/>
      </c>
      <c r="GH19" s="88" t="str">
        <f aca="false">IF($B19=GH$12,$O19,"")</f>
        <v/>
      </c>
      <c r="GI19" s="88" t="str">
        <f aca="false">IF($B19=GI$12,$O19,"")</f>
        <v/>
      </c>
      <c r="GJ19" s="88" t="str">
        <f aca="false">IF($B19=GJ$12,$O19,"")</f>
        <v/>
      </c>
      <c r="GK19" s="88" t="str">
        <f aca="false">IF($B19=GK$12,$O19,"")</f>
        <v/>
      </c>
      <c r="GL19" s="88" t="str">
        <f aca="false">IF($B19=GL$12,$O19,"")</f>
        <v/>
      </c>
      <c r="GM19" s="88" t="str">
        <f aca="false">IF($B19=GM$12,$O19,"")</f>
        <v/>
      </c>
      <c r="GN19" s="88" t="str">
        <f aca="false">IF($B19=GN$12,$O19,"")</f>
        <v/>
      </c>
      <c r="GO19" s="88" t="str">
        <f aca="false">IF($B19=GO$12,$O19,"")</f>
        <v/>
      </c>
      <c r="GP19" s="88" t="str">
        <f aca="false">IF($B19=GP$12,$O19,"")</f>
        <v/>
      </c>
      <c r="GQ19" s="88" t="str">
        <f aca="false">IF($B19=GQ$12,$O19,"")</f>
        <v/>
      </c>
      <c r="GR19" s="88" t="str">
        <f aca="false">IF($B19=GR$12,$O19,"")</f>
        <v/>
      </c>
      <c r="GS19" s="88" t="str">
        <f aca="false">IF($B19=GS$12,$O19,"")</f>
        <v/>
      </c>
      <c r="GT19" s="88" t="str">
        <f aca="false">IF($B19=GT$12,$O19,"")</f>
        <v/>
      </c>
      <c r="GU19" s="88" t="str">
        <f aca="false">IF($B19=GU$12,$O19,"")</f>
        <v/>
      </c>
      <c r="GV19" s="88" t="str">
        <f aca="false">IF($B19=GV$12,$O19,"")</f>
        <v/>
      </c>
      <c r="GW19" s="88" t="str">
        <f aca="false">IF($B19=GW$12,$O19,"")</f>
        <v/>
      </c>
      <c r="GX19" s="88" t="str">
        <f aca="false">IF($B19=GX$12,$O19,"")</f>
        <v/>
      </c>
      <c r="GY19" s="88" t="str">
        <f aca="false">IF($B19=GY$12,$O19,"")</f>
        <v/>
      </c>
      <c r="GZ19" s="88" t="str">
        <f aca="false">IF($B19=GZ$12,$O19,"")</f>
        <v/>
      </c>
      <c r="HA19" s="88" t="str">
        <f aca="false">IF($B19=HA$12,$O19,"")</f>
        <v/>
      </c>
      <c r="HB19" s="88" t="str">
        <f aca="false">IF($B19=HB$12,$O19,"")</f>
        <v/>
      </c>
      <c r="HC19" s="88" t="str">
        <f aca="false">IF($B19=HC$12,$O19,"")</f>
        <v/>
      </c>
      <c r="HD19" s="88" t="str">
        <f aca="false">IF($B19=HD$12,$O19,"")</f>
        <v/>
      </c>
      <c r="HE19" s="88" t="str">
        <f aca="false">IF($B19=HE$12,$O19,"")</f>
        <v/>
      </c>
      <c r="HF19" s="88" t="str">
        <f aca="false">IF($B19=HF$12,$O19,"")</f>
        <v/>
      </c>
      <c r="HG19" s="88" t="str">
        <f aca="false">IF($B19=HG$12,$O19,"")</f>
        <v/>
      </c>
      <c r="HH19" s="88" t="str">
        <f aca="false">IF($B19=HH$12,$O19,"")</f>
        <v/>
      </c>
      <c r="HI19" s="88" t="str">
        <f aca="false">IF($B19=HI$12,$O19,"")</f>
        <v/>
      </c>
      <c r="HJ19" s="88" t="str">
        <f aca="false">IF($B19=HJ$12,$O19,"")</f>
        <v/>
      </c>
      <c r="HK19" s="88" t="str">
        <f aca="false">IF($B19=HK$12,$O19,"")</f>
        <v/>
      </c>
      <c r="HL19" s="88" t="str">
        <f aca="false">IF($B19=HL$12,$O19,"")</f>
        <v/>
      </c>
      <c r="HM19" s="88" t="str">
        <f aca="false">IF($B19=HM$12,$O19,"")</f>
        <v/>
      </c>
      <c r="HN19" s="88" t="str">
        <f aca="false">IF($B19=HN$12,$O19,"")</f>
        <v/>
      </c>
      <c r="HO19" s="88" t="str">
        <f aca="false">IF($B19=HO$12,$O19,"")</f>
        <v/>
      </c>
      <c r="HP19" s="88" t="str">
        <f aca="false">IF($B19=HP$12,$O19,"")</f>
        <v/>
      </c>
      <c r="HQ19" s="88" t="str">
        <f aca="false">IF($B19=HQ$12,$O19,"")</f>
        <v/>
      </c>
      <c r="HR19" s="89" t="str">
        <f aca="false">IF($B19=HR$12,$O19,"")</f>
        <v/>
      </c>
    </row>
    <row r="20" customFormat="false" ht="10.5" hidden="false" customHeight="true" outlineLevel="0" collapsed="false">
      <c r="A20" s="73"/>
      <c r="B20" s="74"/>
      <c r="C20" s="75" t="str">
        <f aca="false">IF(A20=0,"",VLOOKUP(A20,[3]CO!$A$3:$F$5311,2,0))</f>
        <v/>
      </c>
      <c r="D20" s="76"/>
      <c r="E20" s="76"/>
      <c r="F20" s="76"/>
      <c r="G20" s="77" t="str">
        <f aca="false">IF(A20=0,"",VLOOKUP(A20,[3]CO!$A$3:$F$5311,3,0))</f>
        <v/>
      </c>
      <c r="H20" s="76"/>
      <c r="I20" s="78"/>
      <c r="J20" s="78"/>
      <c r="K20" s="78"/>
      <c r="L20" s="78"/>
      <c r="M20" s="79" t="str">
        <f aca="false">IF(L20=0,"",PRODUCT(I20:L20))</f>
        <v/>
      </c>
      <c r="N20" s="79" t="str">
        <f aca="false">IF(B20=0,"",IF(H20="M",HLOOKUP(B20,$Y$12:$DT$13,2),IF(A20=0,"",VLOOKUP(A20,[3]CO!$A$3:$F$5311,4,0))))</f>
        <v/>
      </c>
      <c r="O20" s="79" t="str">
        <f aca="false">IF(L20=0,"",PRODUCT(M20:N20))</f>
        <v/>
      </c>
      <c r="P20" s="80"/>
      <c r="Q20" s="81" t="str">
        <f aca="false">IF(P20=0,"",(HLOOKUP(P20,$DW$12:$HR$13,2)))</f>
        <v/>
      </c>
      <c r="R20" s="82" t="str">
        <f aca="false"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RESIDENTE"),VLOOKUP(B20,P$14:Q$131,2),"")*S20)</f>
        <v/>
      </c>
      <c r="S20" s="5"/>
      <c r="T20" s="65" t="str">
        <f aca="false">IF(A20=0,"",VLOOKUP(A20,[3]CO!$A$3:$F$5302,5,0))</f>
        <v/>
      </c>
      <c r="U20" s="55" t="n">
        <f aca="false">IF(T20=1,O20*0.1,)</f>
        <v>0</v>
      </c>
      <c r="V20" s="66"/>
      <c r="W20" s="83"/>
      <c r="X20" s="83"/>
      <c r="Y20" s="84" t="str">
        <f aca="false">IF($B20=Y$12,$U20,"")</f>
        <v/>
      </c>
      <c r="Z20" s="85" t="str">
        <f aca="false">IF($B20=Z$12,$U20,"")</f>
        <v/>
      </c>
      <c r="AA20" s="85" t="str">
        <f aca="false">IF($B20=AA$12,$U20,"")</f>
        <v/>
      </c>
      <c r="AB20" s="85" t="str">
        <f aca="false">IF($B20=AB$12,$U20,"")</f>
        <v/>
      </c>
      <c r="AC20" s="85" t="str">
        <f aca="false">IF($B20=AC$12,$U20,"")</f>
        <v/>
      </c>
      <c r="AD20" s="85" t="str">
        <f aca="false">IF($B20=AD$12,$U20,"")</f>
        <v/>
      </c>
      <c r="AE20" s="85" t="str">
        <f aca="false">IF($B20=AE$12,$U20,"")</f>
        <v/>
      </c>
      <c r="AF20" s="85" t="str">
        <f aca="false">IF($B20=AF$12,$U20,"")</f>
        <v/>
      </c>
      <c r="AG20" s="85" t="str">
        <f aca="false">IF($B20=AG$12,$U20,"")</f>
        <v/>
      </c>
      <c r="AH20" s="85" t="str">
        <f aca="false">IF($B20=AH$12,$U20,"")</f>
        <v/>
      </c>
      <c r="AI20" s="85" t="str">
        <f aca="false">IF($B20=AI$12,$U20,"")</f>
        <v/>
      </c>
      <c r="AJ20" s="85" t="str">
        <f aca="false">IF($B20=AJ$12,$U20,"")</f>
        <v/>
      </c>
      <c r="AK20" s="85" t="str">
        <f aca="false">IF($B20=AK$12,$U20,"")</f>
        <v/>
      </c>
      <c r="AL20" s="85" t="str">
        <f aca="false">IF($B20=AL$12,$U20,"")</f>
        <v/>
      </c>
      <c r="AM20" s="85" t="str">
        <f aca="false">IF($B20=AM$12,$U20,"")</f>
        <v/>
      </c>
      <c r="AN20" s="85" t="str">
        <f aca="false">IF($B20=AN$12,$U20,"")</f>
        <v/>
      </c>
      <c r="AO20" s="85" t="str">
        <f aca="false">IF($B20=AO$12,$U20,"")</f>
        <v/>
      </c>
      <c r="AP20" s="85" t="str">
        <f aca="false">IF($B20=AP$12,$U20,"")</f>
        <v/>
      </c>
      <c r="AQ20" s="85" t="str">
        <f aca="false">IF($B20=AQ$12,$U20,"")</f>
        <v/>
      </c>
      <c r="AR20" s="85" t="str">
        <f aca="false">IF($B20=AR$12,$U20,"")</f>
        <v/>
      </c>
      <c r="AS20" s="85" t="str">
        <f aca="false">IF($B20=AS$12,$U20,"")</f>
        <v/>
      </c>
      <c r="AT20" s="85" t="str">
        <f aca="false">IF($B20=AT$12,$U20,"")</f>
        <v/>
      </c>
      <c r="AU20" s="85" t="str">
        <f aca="false">IF($B20=AU$12,$U20,"")</f>
        <v/>
      </c>
      <c r="AV20" s="85" t="str">
        <f aca="false">IF($B20=AV$12,$U20,"")</f>
        <v/>
      </c>
      <c r="AW20" s="85" t="str">
        <f aca="false">IF($B20=AW$12,$U20,"")</f>
        <v/>
      </c>
      <c r="AX20" s="85" t="str">
        <f aca="false">IF($B20=AX$12,$U20,"")</f>
        <v/>
      </c>
      <c r="AY20" s="85" t="str">
        <f aca="false">IF($B20=AY$12,$U20,"")</f>
        <v/>
      </c>
      <c r="AZ20" s="85" t="str">
        <f aca="false">IF($B20=AZ$12,$U20,"")</f>
        <v/>
      </c>
      <c r="BA20" s="85" t="str">
        <f aca="false">IF($B20=BA$12,$U20,"")</f>
        <v/>
      </c>
      <c r="BB20" s="85" t="str">
        <f aca="false">IF($B20=BB$12,$U20,"")</f>
        <v/>
      </c>
      <c r="BC20" s="85" t="str">
        <f aca="false">IF($B20=BC$12,$U20,"")</f>
        <v/>
      </c>
      <c r="BD20" s="85" t="str">
        <f aca="false">IF($B20=BD$12,$U20,"")</f>
        <v/>
      </c>
      <c r="BE20" s="85" t="str">
        <f aca="false">IF($B20=BE$12,$U20,"")</f>
        <v/>
      </c>
      <c r="BF20" s="85" t="str">
        <f aca="false">IF($B20=BF$12,$U20,"")</f>
        <v/>
      </c>
      <c r="BG20" s="85" t="str">
        <f aca="false">IF($B20=BG$12,$U20,"")</f>
        <v/>
      </c>
      <c r="BH20" s="85" t="str">
        <f aca="false">IF($B20=BH$12,$U20,"")</f>
        <v/>
      </c>
      <c r="BI20" s="85" t="str">
        <f aca="false">IF($B20=BI$12,$U20,"")</f>
        <v/>
      </c>
      <c r="BJ20" s="85" t="str">
        <f aca="false">IF($B20=BJ$12,$U20,"")</f>
        <v/>
      </c>
      <c r="BK20" s="85" t="str">
        <f aca="false">IF($B20=BK$12,$U20,"")</f>
        <v/>
      </c>
      <c r="BL20" s="85" t="str">
        <f aca="false">IF($B20=BL$12,$U20,"")</f>
        <v/>
      </c>
      <c r="BM20" s="85" t="str">
        <f aca="false">IF($B20=BM$12,$U20,"")</f>
        <v/>
      </c>
      <c r="BN20" s="85" t="str">
        <f aca="false">IF($B20=BN$12,$U20,"")</f>
        <v/>
      </c>
      <c r="BO20" s="85" t="str">
        <f aca="false">IF($B20=BO$12,$U20,"")</f>
        <v/>
      </c>
      <c r="BP20" s="85" t="str">
        <f aca="false">IF($B20=BP$12,$U20,"")</f>
        <v/>
      </c>
      <c r="BQ20" s="85" t="str">
        <f aca="false">IF($B20=BQ$12,$U20,"")</f>
        <v/>
      </c>
      <c r="BR20" s="85" t="str">
        <f aca="false">IF($B20=BR$12,$U20,"")</f>
        <v/>
      </c>
      <c r="BS20" s="85" t="str">
        <f aca="false">IF($B20=BS$12,$U20,"")</f>
        <v/>
      </c>
      <c r="BT20" s="85" t="str">
        <f aca="false">IF($B20=BT$12,$U20,"")</f>
        <v/>
      </c>
      <c r="BU20" s="85" t="str">
        <f aca="false">IF($B20=BU$12,$U20,"")</f>
        <v/>
      </c>
      <c r="BV20" s="85" t="str">
        <f aca="false">IF($B20=BV$12,$U20,"")</f>
        <v/>
      </c>
      <c r="BW20" s="85" t="str">
        <f aca="false">IF($B20=BW$12,$U20,"")</f>
        <v/>
      </c>
      <c r="BX20" s="85" t="str">
        <f aca="false">IF($B20=BX$12,$U20,"")</f>
        <v/>
      </c>
      <c r="BY20" s="85" t="str">
        <f aca="false">IF($B20=BY$12,$U20,"")</f>
        <v/>
      </c>
      <c r="BZ20" s="85" t="str">
        <f aca="false">IF($B20=BZ$12,$U20,"")</f>
        <v/>
      </c>
      <c r="CA20" s="85" t="str">
        <f aca="false">IF($B20=CA$12,$U20,"")</f>
        <v/>
      </c>
      <c r="CB20" s="85" t="str">
        <f aca="false">IF($B20=CB$12,$U20,"")</f>
        <v/>
      </c>
      <c r="CC20" s="85" t="str">
        <f aca="false">IF($B20=CC$12,$U20,"")</f>
        <v/>
      </c>
      <c r="CD20" s="85" t="str">
        <f aca="false">IF($B20=CD$12,$U20,"")</f>
        <v/>
      </c>
      <c r="CE20" s="85" t="str">
        <f aca="false">IF($B20=CE$12,$U20,"")</f>
        <v/>
      </c>
      <c r="CF20" s="85" t="str">
        <f aca="false">IF($B20=CF$12,$U20,"")</f>
        <v/>
      </c>
      <c r="CG20" s="85" t="str">
        <f aca="false">IF($B20=CG$12,$U20,"")</f>
        <v/>
      </c>
      <c r="CH20" s="85" t="str">
        <f aca="false">IF($B20=CH$12,$U20,"")</f>
        <v/>
      </c>
      <c r="CI20" s="85" t="str">
        <f aca="false">IF($B20=CI$12,$U20,"")</f>
        <v/>
      </c>
      <c r="CJ20" s="85" t="str">
        <f aca="false">IF($B20=CJ$12,$U20,"")</f>
        <v/>
      </c>
      <c r="CK20" s="85" t="str">
        <f aca="false">IF($B20=CK$12,$U20,"")</f>
        <v/>
      </c>
      <c r="CL20" s="85" t="str">
        <f aca="false">IF($B20=CL$12,$U20,"")</f>
        <v/>
      </c>
      <c r="CM20" s="85" t="str">
        <f aca="false">IF($B20=CM$12,$U20,"")</f>
        <v/>
      </c>
      <c r="CN20" s="85" t="str">
        <f aca="false">IF($B20=CN$12,$U20,"")</f>
        <v/>
      </c>
      <c r="CO20" s="85" t="str">
        <f aca="false">IF($B20=CO$12,$U20,"")</f>
        <v/>
      </c>
      <c r="CP20" s="85" t="str">
        <f aca="false">IF($B20=CP$12,$U20,"")</f>
        <v/>
      </c>
      <c r="CQ20" s="85" t="str">
        <f aca="false">IF($B20=CQ$12,$U20,"")</f>
        <v/>
      </c>
      <c r="CR20" s="85" t="str">
        <f aca="false">IF($B20=CR$12,$U20,"")</f>
        <v/>
      </c>
      <c r="CS20" s="85" t="str">
        <f aca="false">IF($B20=CS$12,$U20,"")</f>
        <v/>
      </c>
      <c r="CT20" s="85" t="str">
        <f aca="false">IF($B20=CT$12,$U20,"")</f>
        <v/>
      </c>
      <c r="CU20" s="85" t="str">
        <f aca="false">IF($B20=CU$12,$U20,"")</f>
        <v/>
      </c>
      <c r="CV20" s="85" t="str">
        <f aca="false">IF($B20=CV$12,$U20,"")</f>
        <v/>
      </c>
      <c r="CW20" s="85" t="str">
        <f aca="false">IF($B20=CW$12,$U20,"")</f>
        <v/>
      </c>
      <c r="CX20" s="85" t="str">
        <f aca="false">IF($B20=CX$12,$U20,"")</f>
        <v/>
      </c>
      <c r="CY20" s="85" t="str">
        <f aca="false">IF($B20=CY$12,$U20,"")</f>
        <v/>
      </c>
      <c r="CZ20" s="85" t="str">
        <f aca="false">IF($B20=CZ$12,$U20,"")</f>
        <v/>
      </c>
      <c r="DA20" s="85" t="str">
        <f aca="false">IF($B20=DA$12,$U20,"")</f>
        <v/>
      </c>
      <c r="DB20" s="85" t="str">
        <f aca="false">IF($B20=DB$12,$U20,"")</f>
        <v/>
      </c>
      <c r="DC20" s="85" t="str">
        <f aca="false">IF($B20=DC$12,$U20,"")</f>
        <v/>
      </c>
      <c r="DD20" s="85" t="str">
        <f aca="false">IF($B20=DD$12,$U20,"")</f>
        <v/>
      </c>
      <c r="DE20" s="85" t="str">
        <f aca="false">IF($B20=DE$12,$U20,"")</f>
        <v/>
      </c>
      <c r="DF20" s="85" t="str">
        <f aca="false">IF($B20=DF$12,$U20,"")</f>
        <v/>
      </c>
      <c r="DG20" s="85" t="str">
        <f aca="false">IF($B20=DG$12,$U20,"")</f>
        <v/>
      </c>
      <c r="DH20" s="85" t="str">
        <f aca="false">IF($B20=DH$12,$U20,"")</f>
        <v/>
      </c>
      <c r="DI20" s="85" t="str">
        <f aca="false">IF($B20=DI$12,$U20,"")</f>
        <v/>
      </c>
      <c r="DJ20" s="85" t="str">
        <f aca="false">IF($B20=DJ$12,$U20,"")</f>
        <v/>
      </c>
      <c r="DK20" s="85" t="str">
        <f aca="false">IF($B20=DK$12,$U20,"")</f>
        <v/>
      </c>
      <c r="DL20" s="85" t="str">
        <f aca="false">IF($B20=DL$12,$U20,"")</f>
        <v/>
      </c>
      <c r="DM20" s="85" t="str">
        <f aca="false">IF($B20=DM$12,$U20,"")</f>
        <v/>
      </c>
      <c r="DN20" s="85" t="str">
        <f aca="false">IF($B20=DN$12,$U20,"")</f>
        <v/>
      </c>
      <c r="DO20" s="85" t="str">
        <f aca="false">IF($B20=DO$12,$U20,"")</f>
        <v/>
      </c>
      <c r="DP20" s="85" t="str">
        <f aca="false">IF($B20=DP$12,$U20,"")</f>
        <v/>
      </c>
      <c r="DQ20" s="85" t="str">
        <f aca="false">IF($B20=DQ$12,$U20,"")</f>
        <v/>
      </c>
      <c r="DR20" s="85" t="str">
        <f aca="false">IF($B20=DR$12,$U20,"")</f>
        <v/>
      </c>
      <c r="DS20" s="85" t="str">
        <f aca="false">IF($B20=DS$12,$U20,"")</f>
        <v/>
      </c>
      <c r="DT20" s="86" t="str">
        <f aca="false">IF($B20=DT$12,$U20,"")</f>
        <v/>
      </c>
      <c r="DU20" s="55"/>
      <c r="DV20" s="83"/>
      <c r="DW20" s="87" t="str">
        <f aca="false">IF($B20=DW$12,$O20,"")</f>
        <v/>
      </c>
      <c r="DX20" s="88" t="str">
        <f aca="false">IF($B20=DX$12,$O20,"")</f>
        <v/>
      </c>
      <c r="DY20" s="88" t="str">
        <f aca="false">IF($B20=DY$12,$O20,"")</f>
        <v/>
      </c>
      <c r="DZ20" s="88" t="str">
        <f aca="false">IF($B20=DZ$12,$O20,"")</f>
        <v/>
      </c>
      <c r="EA20" s="88" t="str">
        <f aca="false">IF($B20=EA$12,$O20,"")</f>
        <v/>
      </c>
      <c r="EB20" s="88" t="str">
        <f aca="false">IF($B20=EB$12,$O20,"")</f>
        <v/>
      </c>
      <c r="EC20" s="88" t="str">
        <f aca="false">IF($B20=EC$12,$O20,"")</f>
        <v/>
      </c>
      <c r="ED20" s="88" t="str">
        <f aca="false">IF($B20=ED$12,$O20,"")</f>
        <v/>
      </c>
      <c r="EE20" s="88" t="str">
        <f aca="false">IF($B20=EE$12,$O20,"")</f>
        <v/>
      </c>
      <c r="EF20" s="88" t="str">
        <f aca="false">IF($B20=EF$12,$O20,"")</f>
        <v/>
      </c>
      <c r="EG20" s="88" t="str">
        <f aca="false">IF($B20=EG$12,$O20,"")</f>
        <v/>
      </c>
      <c r="EH20" s="88" t="str">
        <f aca="false">IF($B20=EH$12,$O20,"")</f>
        <v/>
      </c>
      <c r="EI20" s="88" t="str">
        <f aca="false">IF($B20=EI$12,$O20,"")</f>
        <v/>
      </c>
      <c r="EJ20" s="88" t="str">
        <f aca="false">IF($B20=EJ$12,$O20,"")</f>
        <v/>
      </c>
      <c r="EK20" s="88" t="str">
        <f aca="false">IF($B20=EK$12,$O20,"")</f>
        <v/>
      </c>
      <c r="EL20" s="88" t="str">
        <f aca="false">IF($B20=EL$12,$O20,"")</f>
        <v/>
      </c>
      <c r="EM20" s="88" t="str">
        <f aca="false">IF($B20=EM$12,$O20,"")</f>
        <v/>
      </c>
      <c r="EN20" s="88" t="str">
        <f aca="false">IF($B20=EN$12,$O20,"")</f>
        <v/>
      </c>
      <c r="EO20" s="88" t="str">
        <f aca="false">IF($B20=EO$12,$O20,"")</f>
        <v/>
      </c>
      <c r="EP20" s="88" t="str">
        <f aca="false">IF($B20=EP$12,$O20,"")</f>
        <v/>
      </c>
      <c r="EQ20" s="88" t="str">
        <f aca="false">IF($B20=EQ$12,$O20,"")</f>
        <v/>
      </c>
      <c r="ER20" s="88" t="str">
        <f aca="false">IF($B20=ER$12,$O20,"")</f>
        <v/>
      </c>
      <c r="ES20" s="88" t="str">
        <f aca="false">IF($B20=ES$12,$O20,"")</f>
        <v/>
      </c>
      <c r="ET20" s="88" t="str">
        <f aca="false">IF($B20=ET$12,$O20,"")</f>
        <v/>
      </c>
      <c r="EU20" s="88" t="str">
        <f aca="false">IF($B20=EU$12,$O20,"")</f>
        <v/>
      </c>
      <c r="EV20" s="88" t="str">
        <f aca="false">IF($B20=EV$12,$O20,"")</f>
        <v/>
      </c>
      <c r="EW20" s="88" t="str">
        <f aca="false">IF($B20=EW$12,$O20,"")</f>
        <v/>
      </c>
      <c r="EX20" s="88" t="str">
        <f aca="false">IF($B20=EX$12,$O20,"")</f>
        <v/>
      </c>
      <c r="EY20" s="88" t="str">
        <f aca="false">IF($B20=EY$12,$O20,"")</f>
        <v/>
      </c>
      <c r="EZ20" s="88" t="str">
        <f aca="false">IF($B20=EZ$12,$O20,"")</f>
        <v/>
      </c>
      <c r="FA20" s="88" t="str">
        <f aca="false">IF($B20=FA$12,$O20,"")</f>
        <v/>
      </c>
      <c r="FB20" s="88" t="str">
        <f aca="false">IF($B20=FB$12,$O20,"")</f>
        <v/>
      </c>
      <c r="FC20" s="88" t="str">
        <f aca="false">IF($B20=FC$12,$O20,"")</f>
        <v/>
      </c>
      <c r="FD20" s="88" t="str">
        <f aca="false">IF($B20=FD$12,$O20,"")</f>
        <v/>
      </c>
      <c r="FE20" s="88" t="str">
        <f aca="false">IF($B20=FE$12,$O20,"")</f>
        <v/>
      </c>
      <c r="FF20" s="88" t="str">
        <f aca="false">IF($B20=FF$12,$O20,"")</f>
        <v/>
      </c>
      <c r="FG20" s="88" t="str">
        <f aca="false">IF($B20=FG$12,$O20,"")</f>
        <v/>
      </c>
      <c r="FH20" s="88" t="str">
        <f aca="false">IF($B20=FH$12,$O20,"")</f>
        <v/>
      </c>
      <c r="FI20" s="88" t="str">
        <f aca="false">IF($B20=FI$12,$O20,"")</f>
        <v/>
      </c>
      <c r="FJ20" s="88" t="str">
        <f aca="false">IF($B20=FJ$12,$O20,"")</f>
        <v/>
      </c>
      <c r="FK20" s="88" t="str">
        <f aca="false">IF($B20=FK$12,$O20,"")</f>
        <v/>
      </c>
      <c r="FL20" s="88" t="str">
        <f aca="false">IF($B20=FL$12,$O20,"")</f>
        <v/>
      </c>
      <c r="FM20" s="88" t="str">
        <f aca="false">IF($B20=FM$12,$O20,"")</f>
        <v/>
      </c>
      <c r="FN20" s="88" t="str">
        <f aca="false">IF($B20=FN$12,$O20,"")</f>
        <v/>
      </c>
      <c r="FO20" s="88" t="str">
        <f aca="false">IF($B20=FO$12,$O20,"")</f>
        <v/>
      </c>
      <c r="FP20" s="88" t="str">
        <f aca="false">IF($B20=FP$12,$O20,"")</f>
        <v/>
      </c>
      <c r="FQ20" s="88" t="str">
        <f aca="false">IF($B20=FQ$12,$O20,"")</f>
        <v/>
      </c>
      <c r="FR20" s="88" t="str">
        <f aca="false">IF($B20=FR$12,$O20,"")</f>
        <v/>
      </c>
      <c r="FS20" s="88" t="str">
        <f aca="false">IF($B20=FS$12,$O20,"")</f>
        <v/>
      </c>
      <c r="FT20" s="88" t="str">
        <f aca="false">IF($B20=FT$12,$O20,"")</f>
        <v/>
      </c>
      <c r="FU20" s="88" t="str">
        <f aca="false">IF($B20=FU$12,$O20,"")</f>
        <v/>
      </c>
      <c r="FV20" s="88" t="str">
        <f aca="false">IF($B20=FV$12,$O20,"")</f>
        <v/>
      </c>
      <c r="FW20" s="88" t="str">
        <f aca="false">IF($B20=FW$12,$O20,"")</f>
        <v/>
      </c>
      <c r="FX20" s="88" t="str">
        <f aca="false">IF($B20=FX$12,$O20,"")</f>
        <v/>
      </c>
      <c r="FY20" s="88" t="str">
        <f aca="false">IF($B20=FY$12,$O20,"")</f>
        <v/>
      </c>
      <c r="FZ20" s="88" t="str">
        <f aca="false">IF($B20=FZ$12,$O20,"")</f>
        <v/>
      </c>
      <c r="GA20" s="88" t="str">
        <f aca="false">IF($B20=GA$12,$O20,"")</f>
        <v/>
      </c>
      <c r="GB20" s="88" t="str">
        <f aca="false">IF($B20=GB$12,$O20,"")</f>
        <v/>
      </c>
      <c r="GC20" s="88" t="str">
        <f aca="false">IF($B20=GC$12,$O20,"")</f>
        <v/>
      </c>
      <c r="GD20" s="88" t="str">
        <f aca="false">IF($B20=GD$12,$O20,"")</f>
        <v/>
      </c>
      <c r="GE20" s="88" t="str">
        <f aca="false">IF($B20=GE$12,$O20,"")</f>
        <v/>
      </c>
      <c r="GF20" s="88" t="str">
        <f aca="false">IF($B20=GF$12,$O20,"")</f>
        <v/>
      </c>
      <c r="GG20" s="88" t="str">
        <f aca="false">IF($B20=GG$12,$O20,"")</f>
        <v/>
      </c>
      <c r="GH20" s="88" t="str">
        <f aca="false">IF($B20=GH$12,$O20,"")</f>
        <v/>
      </c>
      <c r="GI20" s="88" t="str">
        <f aca="false">IF($B20=GI$12,$O20,"")</f>
        <v/>
      </c>
      <c r="GJ20" s="88" t="str">
        <f aca="false">IF($B20=GJ$12,$O20,"")</f>
        <v/>
      </c>
      <c r="GK20" s="88" t="str">
        <f aca="false">IF($B20=GK$12,$O20,"")</f>
        <v/>
      </c>
      <c r="GL20" s="88" t="str">
        <f aca="false">IF($B20=GL$12,$O20,"")</f>
        <v/>
      </c>
      <c r="GM20" s="88" t="str">
        <f aca="false">IF($B20=GM$12,$O20,"")</f>
        <v/>
      </c>
      <c r="GN20" s="88" t="str">
        <f aca="false">IF($B20=GN$12,$O20,"")</f>
        <v/>
      </c>
      <c r="GO20" s="88" t="str">
        <f aca="false">IF($B20=GO$12,$O20,"")</f>
        <v/>
      </c>
      <c r="GP20" s="88" t="str">
        <f aca="false">IF($B20=GP$12,$O20,"")</f>
        <v/>
      </c>
      <c r="GQ20" s="88" t="str">
        <f aca="false">IF($B20=GQ$12,$O20,"")</f>
        <v/>
      </c>
      <c r="GR20" s="88" t="str">
        <f aca="false">IF($B20=GR$12,$O20,"")</f>
        <v/>
      </c>
      <c r="GS20" s="88" t="str">
        <f aca="false">IF($B20=GS$12,$O20,"")</f>
        <v/>
      </c>
      <c r="GT20" s="88" t="str">
        <f aca="false">IF($B20=GT$12,$O20,"")</f>
        <v/>
      </c>
      <c r="GU20" s="88" t="str">
        <f aca="false">IF($B20=GU$12,$O20,"")</f>
        <v/>
      </c>
      <c r="GV20" s="88" t="str">
        <f aca="false">IF($B20=GV$12,$O20,"")</f>
        <v/>
      </c>
      <c r="GW20" s="88" t="str">
        <f aca="false">IF($B20=GW$12,$O20,"")</f>
        <v/>
      </c>
      <c r="GX20" s="88" t="str">
        <f aca="false">IF($B20=GX$12,$O20,"")</f>
        <v/>
      </c>
      <c r="GY20" s="88" t="str">
        <f aca="false">IF($B20=GY$12,$O20,"")</f>
        <v/>
      </c>
      <c r="GZ20" s="88" t="str">
        <f aca="false">IF($B20=GZ$12,$O20,"")</f>
        <v/>
      </c>
      <c r="HA20" s="88" t="str">
        <f aca="false">IF($B20=HA$12,$O20,"")</f>
        <v/>
      </c>
      <c r="HB20" s="88" t="str">
        <f aca="false">IF($B20=HB$12,$O20,"")</f>
        <v/>
      </c>
      <c r="HC20" s="88" t="str">
        <f aca="false">IF($B20=HC$12,$O20,"")</f>
        <v/>
      </c>
      <c r="HD20" s="88" t="str">
        <f aca="false">IF($B20=HD$12,$O20,"")</f>
        <v/>
      </c>
      <c r="HE20" s="88" t="str">
        <f aca="false">IF($B20=HE$12,$O20,"")</f>
        <v/>
      </c>
      <c r="HF20" s="88" t="str">
        <f aca="false">IF($B20=HF$12,$O20,"")</f>
        <v/>
      </c>
      <c r="HG20" s="88" t="str">
        <f aca="false">IF($B20=HG$12,$O20,"")</f>
        <v/>
      </c>
      <c r="HH20" s="88" t="str">
        <f aca="false">IF($B20=HH$12,$O20,"")</f>
        <v/>
      </c>
      <c r="HI20" s="88" t="str">
        <f aca="false">IF($B20=HI$12,$O20,"")</f>
        <v/>
      </c>
      <c r="HJ20" s="88" t="str">
        <f aca="false">IF($B20=HJ$12,$O20,"")</f>
        <v/>
      </c>
      <c r="HK20" s="88" t="str">
        <f aca="false">IF($B20=HK$12,$O20,"")</f>
        <v/>
      </c>
      <c r="HL20" s="88" t="str">
        <f aca="false">IF($B20=HL$12,$O20,"")</f>
        <v/>
      </c>
      <c r="HM20" s="88" t="str">
        <f aca="false">IF($B20=HM$12,$O20,"")</f>
        <v/>
      </c>
      <c r="HN20" s="88" t="str">
        <f aca="false">IF($B20=HN$12,$O20,"")</f>
        <v/>
      </c>
      <c r="HO20" s="88" t="str">
        <f aca="false">IF($B20=HO$12,$O20,"")</f>
        <v/>
      </c>
      <c r="HP20" s="88" t="str">
        <f aca="false">IF($B20=HP$12,$O20,"")</f>
        <v/>
      </c>
      <c r="HQ20" s="88" t="str">
        <f aca="false">IF($B20=HQ$12,$O20,"")</f>
        <v/>
      </c>
      <c r="HR20" s="89" t="str">
        <f aca="false">IF($B20=HR$12,$O20,"")</f>
        <v/>
      </c>
    </row>
    <row r="21" customFormat="false" ht="10.5" hidden="false" customHeight="true" outlineLevel="0" collapsed="false">
      <c r="A21" s="73"/>
      <c r="B21" s="74"/>
      <c r="C21" s="75" t="str">
        <f aca="false">IF(A21=0,"",VLOOKUP(A21,[3]CO!$A$3:$F$5311,2,0))</f>
        <v/>
      </c>
      <c r="D21" s="76"/>
      <c r="E21" s="76"/>
      <c r="F21" s="76"/>
      <c r="G21" s="77" t="str">
        <f aca="false">IF(A21=0,"",VLOOKUP(A21,[3]CO!$A$3:$F$5311,3,0))</f>
        <v/>
      </c>
      <c r="H21" s="76"/>
      <c r="I21" s="78"/>
      <c r="J21" s="78"/>
      <c r="K21" s="78"/>
      <c r="L21" s="79"/>
      <c r="M21" s="79" t="str">
        <f aca="false">IF(L21=0,"",PRODUCT(I21:L21))</f>
        <v/>
      </c>
      <c r="N21" s="79" t="str">
        <f aca="false">IF(B21=0,"",IF(H21="M",HLOOKUP(B21,$Y$12:$DT$13,2),IF(A21=0,"",VLOOKUP(A21,[3]CO!$A$3:$F$5311,4,0))))</f>
        <v/>
      </c>
      <c r="O21" s="79" t="str">
        <f aca="false">IF(L21=0,"",PRODUCT(M21:N21))</f>
        <v/>
      </c>
      <c r="P21" s="80"/>
      <c r="Q21" s="81" t="str">
        <f aca="false">IF(P21=0,"",(HLOOKUP(P21,$DW$12:$HR$13,2)))</f>
        <v/>
      </c>
      <c r="R21" s="82" t="str">
        <f aca="false"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RESIDENTE"),VLOOKUP(B21,P$14:Q$131,2),"")*S21)</f>
        <v/>
      </c>
      <c r="S21" s="5"/>
      <c r="T21" s="65" t="str">
        <f aca="false">IF(A21=0,"",VLOOKUP(A21,[3]CO!$A$3:$F$5302,5,0))</f>
        <v/>
      </c>
      <c r="U21" s="55" t="n">
        <f aca="false">IF(T21=1,O21*0.1,)</f>
        <v>0</v>
      </c>
      <c r="V21" s="66"/>
      <c r="W21" s="83"/>
      <c r="X21" s="83"/>
      <c r="Y21" s="84" t="str">
        <f aca="false">IF($B21=Y$12,$U21,"")</f>
        <v/>
      </c>
      <c r="Z21" s="85" t="str">
        <f aca="false">IF($B21=Z$12,$U21,"")</f>
        <v/>
      </c>
      <c r="AA21" s="85" t="str">
        <f aca="false">IF($B21=AA$12,$U21,"")</f>
        <v/>
      </c>
      <c r="AB21" s="85" t="str">
        <f aca="false">IF($B21=AB$12,$U21,"")</f>
        <v/>
      </c>
      <c r="AC21" s="85" t="str">
        <f aca="false">IF($B21=AC$12,$U21,"")</f>
        <v/>
      </c>
      <c r="AD21" s="85" t="str">
        <f aca="false">IF($B21=AD$12,$U21,"")</f>
        <v/>
      </c>
      <c r="AE21" s="85" t="str">
        <f aca="false">IF($B21=AE$12,$U21,"")</f>
        <v/>
      </c>
      <c r="AF21" s="85" t="str">
        <f aca="false">IF($B21=AF$12,$U21,"")</f>
        <v/>
      </c>
      <c r="AG21" s="85" t="str">
        <f aca="false">IF($B21=AG$12,$U21,"")</f>
        <v/>
      </c>
      <c r="AH21" s="85" t="str">
        <f aca="false">IF($B21=AH$12,$U21,"")</f>
        <v/>
      </c>
      <c r="AI21" s="85" t="str">
        <f aca="false">IF($B21=AI$12,$U21,"")</f>
        <v/>
      </c>
      <c r="AJ21" s="85" t="str">
        <f aca="false">IF($B21=AJ$12,$U21,"")</f>
        <v/>
      </c>
      <c r="AK21" s="85" t="str">
        <f aca="false">IF($B21=AK$12,$U21,"")</f>
        <v/>
      </c>
      <c r="AL21" s="85" t="str">
        <f aca="false">IF($B21=AL$12,$U21,"")</f>
        <v/>
      </c>
      <c r="AM21" s="85" t="str">
        <f aca="false">IF($B21=AM$12,$U21,"")</f>
        <v/>
      </c>
      <c r="AN21" s="85" t="str">
        <f aca="false">IF($B21=AN$12,$U21,"")</f>
        <v/>
      </c>
      <c r="AO21" s="85" t="str">
        <f aca="false">IF($B21=AO$12,$U21,"")</f>
        <v/>
      </c>
      <c r="AP21" s="85" t="str">
        <f aca="false">IF($B21=AP$12,$U21,"")</f>
        <v/>
      </c>
      <c r="AQ21" s="85" t="str">
        <f aca="false">IF($B21=AQ$12,$U21,"")</f>
        <v/>
      </c>
      <c r="AR21" s="85" t="str">
        <f aca="false">IF($B21=AR$12,$U21,"")</f>
        <v/>
      </c>
      <c r="AS21" s="85" t="str">
        <f aca="false">IF($B21=AS$12,$U21,"")</f>
        <v/>
      </c>
      <c r="AT21" s="85" t="str">
        <f aca="false">IF($B21=AT$12,$U21,"")</f>
        <v/>
      </c>
      <c r="AU21" s="85" t="str">
        <f aca="false">IF($B21=AU$12,$U21,"")</f>
        <v/>
      </c>
      <c r="AV21" s="85" t="str">
        <f aca="false">IF($B21=AV$12,$U21,"")</f>
        <v/>
      </c>
      <c r="AW21" s="85" t="str">
        <f aca="false">IF($B21=AW$12,$U21,"")</f>
        <v/>
      </c>
      <c r="AX21" s="85" t="str">
        <f aca="false">IF($B21=AX$12,$U21,"")</f>
        <v/>
      </c>
      <c r="AY21" s="85" t="str">
        <f aca="false">IF($B21=AY$12,$U21,"")</f>
        <v/>
      </c>
      <c r="AZ21" s="85" t="str">
        <f aca="false">IF($B21=AZ$12,$U21,"")</f>
        <v/>
      </c>
      <c r="BA21" s="85" t="str">
        <f aca="false">IF($B21=BA$12,$U21,"")</f>
        <v/>
      </c>
      <c r="BB21" s="85" t="str">
        <f aca="false">IF($B21=BB$12,$U21,"")</f>
        <v/>
      </c>
      <c r="BC21" s="85" t="str">
        <f aca="false">IF($B21=BC$12,$U21,"")</f>
        <v/>
      </c>
      <c r="BD21" s="85" t="str">
        <f aca="false">IF($B21=BD$12,$U21,"")</f>
        <v/>
      </c>
      <c r="BE21" s="85" t="str">
        <f aca="false">IF($B21=BE$12,$U21,"")</f>
        <v/>
      </c>
      <c r="BF21" s="85" t="str">
        <f aca="false">IF($B21=BF$12,$U21,"")</f>
        <v/>
      </c>
      <c r="BG21" s="85" t="str">
        <f aca="false">IF($B21=BG$12,$U21,"")</f>
        <v/>
      </c>
      <c r="BH21" s="85" t="str">
        <f aca="false">IF($B21=BH$12,$U21,"")</f>
        <v/>
      </c>
      <c r="BI21" s="85" t="str">
        <f aca="false">IF($B21=BI$12,$U21,"")</f>
        <v/>
      </c>
      <c r="BJ21" s="85" t="str">
        <f aca="false">IF($B21=BJ$12,$U21,"")</f>
        <v/>
      </c>
      <c r="BK21" s="85" t="str">
        <f aca="false">IF($B21=BK$12,$U21,"")</f>
        <v/>
      </c>
      <c r="BL21" s="85" t="str">
        <f aca="false">IF($B21=BL$12,$U21,"")</f>
        <v/>
      </c>
      <c r="BM21" s="85" t="str">
        <f aca="false">IF($B21=BM$12,$U21,"")</f>
        <v/>
      </c>
      <c r="BN21" s="85" t="str">
        <f aca="false">IF($B21=BN$12,$U21,"")</f>
        <v/>
      </c>
      <c r="BO21" s="85" t="str">
        <f aca="false">IF($B21=BO$12,$U21,"")</f>
        <v/>
      </c>
      <c r="BP21" s="85" t="str">
        <f aca="false">IF($B21=BP$12,$U21,"")</f>
        <v/>
      </c>
      <c r="BQ21" s="85" t="str">
        <f aca="false">IF($B21=BQ$12,$U21,"")</f>
        <v/>
      </c>
      <c r="BR21" s="85" t="str">
        <f aca="false">IF($B21=BR$12,$U21,"")</f>
        <v/>
      </c>
      <c r="BS21" s="85" t="str">
        <f aca="false">IF($B21=BS$12,$U21,"")</f>
        <v/>
      </c>
      <c r="BT21" s="85" t="str">
        <f aca="false">IF($B21=BT$12,$U21,"")</f>
        <v/>
      </c>
      <c r="BU21" s="85" t="str">
        <f aca="false">IF($B21=BU$12,$U21,"")</f>
        <v/>
      </c>
      <c r="BV21" s="85" t="str">
        <f aca="false">IF($B21=BV$12,$U21,"")</f>
        <v/>
      </c>
      <c r="BW21" s="85" t="str">
        <f aca="false">IF($B21=BW$12,$U21,"")</f>
        <v/>
      </c>
      <c r="BX21" s="85" t="str">
        <f aca="false">IF($B21=BX$12,$U21,"")</f>
        <v/>
      </c>
      <c r="BY21" s="85" t="str">
        <f aca="false">IF($B21=BY$12,$U21,"")</f>
        <v/>
      </c>
      <c r="BZ21" s="85" t="str">
        <f aca="false">IF($B21=BZ$12,$U21,"")</f>
        <v/>
      </c>
      <c r="CA21" s="85" t="str">
        <f aca="false">IF($B21=CA$12,$U21,"")</f>
        <v/>
      </c>
      <c r="CB21" s="85" t="str">
        <f aca="false">IF($B21=CB$12,$U21,"")</f>
        <v/>
      </c>
      <c r="CC21" s="85" t="str">
        <f aca="false">IF($B21=CC$12,$U21,"")</f>
        <v/>
      </c>
      <c r="CD21" s="85" t="str">
        <f aca="false">IF($B21=CD$12,$U21,"")</f>
        <v/>
      </c>
      <c r="CE21" s="85" t="str">
        <f aca="false">IF($B21=CE$12,$U21,"")</f>
        <v/>
      </c>
      <c r="CF21" s="85" t="str">
        <f aca="false">IF($B21=CF$12,$U21,"")</f>
        <v/>
      </c>
      <c r="CG21" s="85" t="str">
        <f aca="false">IF($B21=CG$12,$U21,"")</f>
        <v/>
      </c>
      <c r="CH21" s="85" t="str">
        <f aca="false">IF($B21=CH$12,$U21,"")</f>
        <v/>
      </c>
      <c r="CI21" s="85" t="str">
        <f aca="false">IF($B21=CI$12,$U21,"")</f>
        <v/>
      </c>
      <c r="CJ21" s="85" t="str">
        <f aca="false">IF($B21=CJ$12,$U21,"")</f>
        <v/>
      </c>
      <c r="CK21" s="85" t="str">
        <f aca="false">IF($B21=CK$12,$U21,"")</f>
        <v/>
      </c>
      <c r="CL21" s="85" t="str">
        <f aca="false">IF($B21=CL$12,$U21,"")</f>
        <v/>
      </c>
      <c r="CM21" s="85" t="str">
        <f aca="false">IF($B21=CM$12,$U21,"")</f>
        <v/>
      </c>
      <c r="CN21" s="85" t="str">
        <f aca="false">IF($B21=CN$12,$U21,"")</f>
        <v/>
      </c>
      <c r="CO21" s="85" t="str">
        <f aca="false">IF($B21=CO$12,$U21,"")</f>
        <v/>
      </c>
      <c r="CP21" s="85" t="str">
        <f aca="false">IF($B21=CP$12,$U21,"")</f>
        <v/>
      </c>
      <c r="CQ21" s="85" t="str">
        <f aca="false">IF($B21=CQ$12,$U21,"")</f>
        <v/>
      </c>
      <c r="CR21" s="85" t="str">
        <f aca="false">IF($B21=CR$12,$U21,"")</f>
        <v/>
      </c>
      <c r="CS21" s="85" t="str">
        <f aca="false">IF($B21=CS$12,$U21,"")</f>
        <v/>
      </c>
      <c r="CT21" s="85" t="str">
        <f aca="false">IF($B21=CT$12,$U21,"")</f>
        <v/>
      </c>
      <c r="CU21" s="85" t="str">
        <f aca="false">IF($B21=CU$12,$U21,"")</f>
        <v/>
      </c>
      <c r="CV21" s="85" t="str">
        <f aca="false">IF($B21=CV$12,$U21,"")</f>
        <v/>
      </c>
      <c r="CW21" s="85" t="str">
        <f aca="false">IF($B21=CW$12,$U21,"")</f>
        <v/>
      </c>
      <c r="CX21" s="85" t="str">
        <f aca="false">IF($B21=CX$12,$U21,"")</f>
        <v/>
      </c>
      <c r="CY21" s="85" t="str">
        <f aca="false">IF($B21=CY$12,$U21,"")</f>
        <v/>
      </c>
      <c r="CZ21" s="85" t="str">
        <f aca="false">IF($B21=CZ$12,$U21,"")</f>
        <v/>
      </c>
      <c r="DA21" s="85" t="str">
        <f aca="false">IF($B21=DA$12,$U21,"")</f>
        <v/>
      </c>
      <c r="DB21" s="85" t="str">
        <f aca="false">IF($B21=DB$12,$U21,"")</f>
        <v/>
      </c>
      <c r="DC21" s="85" t="str">
        <f aca="false">IF($B21=DC$12,$U21,"")</f>
        <v/>
      </c>
      <c r="DD21" s="85" t="str">
        <f aca="false">IF($B21=DD$12,$U21,"")</f>
        <v/>
      </c>
      <c r="DE21" s="85" t="str">
        <f aca="false">IF($B21=DE$12,$U21,"")</f>
        <v/>
      </c>
      <c r="DF21" s="85" t="str">
        <f aca="false">IF($B21=DF$12,$U21,"")</f>
        <v/>
      </c>
      <c r="DG21" s="85" t="str">
        <f aca="false">IF($B21=DG$12,$U21,"")</f>
        <v/>
      </c>
      <c r="DH21" s="85" t="str">
        <f aca="false">IF($B21=DH$12,$U21,"")</f>
        <v/>
      </c>
      <c r="DI21" s="85" t="str">
        <f aca="false">IF($B21=DI$12,$U21,"")</f>
        <v/>
      </c>
      <c r="DJ21" s="85" t="str">
        <f aca="false">IF($B21=DJ$12,$U21,"")</f>
        <v/>
      </c>
      <c r="DK21" s="85" t="str">
        <f aca="false">IF($B21=DK$12,$U21,"")</f>
        <v/>
      </c>
      <c r="DL21" s="85" t="str">
        <f aca="false">IF($B21=DL$12,$U21,"")</f>
        <v/>
      </c>
      <c r="DM21" s="85" t="str">
        <f aca="false">IF($B21=DM$12,$U21,"")</f>
        <v/>
      </c>
      <c r="DN21" s="85" t="str">
        <f aca="false">IF($B21=DN$12,$U21,"")</f>
        <v/>
      </c>
      <c r="DO21" s="85" t="str">
        <f aca="false">IF($B21=DO$12,$U21,"")</f>
        <v/>
      </c>
      <c r="DP21" s="85" t="str">
        <f aca="false">IF($B21=DP$12,$U21,"")</f>
        <v/>
      </c>
      <c r="DQ21" s="85" t="str">
        <f aca="false">IF($B21=DQ$12,$U21,"")</f>
        <v/>
      </c>
      <c r="DR21" s="85" t="str">
        <f aca="false">IF($B21=DR$12,$U21,"")</f>
        <v/>
      </c>
      <c r="DS21" s="85" t="str">
        <f aca="false">IF($B21=DS$12,$U21,"")</f>
        <v/>
      </c>
      <c r="DT21" s="86" t="str">
        <f aca="false">IF($B21=DT$12,$U21,"")</f>
        <v/>
      </c>
      <c r="DU21" s="55"/>
      <c r="DV21" s="83"/>
      <c r="DW21" s="87" t="str">
        <f aca="false">IF($B21=DW$12,$O21,"")</f>
        <v/>
      </c>
      <c r="DX21" s="88" t="str">
        <f aca="false">IF($B21=DX$12,$O21,"")</f>
        <v/>
      </c>
      <c r="DY21" s="88" t="str">
        <f aca="false">IF($B21=DY$12,$O21,"")</f>
        <v/>
      </c>
      <c r="DZ21" s="88" t="str">
        <f aca="false">IF($B21=DZ$12,$O21,"")</f>
        <v/>
      </c>
      <c r="EA21" s="88" t="str">
        <f aca="false">IF($B21=EA$12,$O21,"")</f>
        <v/>
      </c>
      <c r="EB21" s="88" t="str">
        <f aca="false">IF($B21=EB$12,$O21,"")</f>
        <v/>
      </c>
      <c r="EC21" s="88" t="str">
        <f aca="false">IF($B21=EC$12,$O21,"")</f>
        <v/>
      </c>
      <c r="ED21" s="88" t="str">
        <f aca="false">IF($B21=ED$12,$O21,"")</f>
        <v/>
      </c>
      <c r="EE21" s="88" t="str">
        <f aca="false">IF($B21=EE$12,$O21,"")</f>
        <v/>
      </c>
      <c r="EF21" s="88" t="str">
        <f aca="false">IF($B21=EF$12,$O21,"")</f>
        <v/>
      </c>
      <c r="EG21" s="88" t="str">
        <f aca="false">IF($B21=EG$12,$O21,"")</f>
        <v/>
      </c>
      <c r="EH21" s="88" t="str">
        <f aca="false">IF($B21=EH$12,$O21,"")</f>
        <v/>
      </c>
      <c r="EI21" s="88" t="str">
        <f aca="false">IF($B21=EI$12,$O21,"")</f>
        <v/>
      </c>
      <c r="EJ21" s="88" t="str">
        <f aca="false">IF($B21=EJ$12,$O21,"")</f>
        <v/>
      </c>
      <c r="EK21" s="88" t="str">
        <f aca="false">IF($B21=EK$12,$O21,"")</f>
        <v/>
      </c>
      <c r="EL21" s="88" t="str">
        <f aca="false">IF($B21=EL$12,$O21,"")</f>
        <v/>
      </c>
      <c r="EM21" s="88" t="str">
        <f aca="false">IF($B21=EM$12,$O21,"")</f>
        <v/>
      </c>
      <c r="EN21" s="88" t="str">
        <f aca="false">IF($B21=EN$12,$O21,"")</f>
        <v/>
      </c>
      <c r="EO21" s="88" t="str">
        <f aca="false">IF($B21=EO$12,$O21,"")</f>
        <v/>
      </c>
      <c r="EP21" s="88" t="str">
        <f aca="false">IF($B21=EP$12,$O21,"")</f>
        <v/>
      </c>
      <c r="EQ21" s="88" t="str">
        <f aca="false">IF($B21=EQ$12,$O21,"")</f>
        <v/>
      </c>
      <c r="ER21" s="88" t="str">
        <f aca="false">IF($B21=ER$12,$O21,"")</f>
        <v/>
      </c>
      <c r="ES21" s="88" t="str">
        <f aca="false">IF($B21=ES$12,$O21,"")</f>
        <v/>
      </c>
      <c r="ET21" s="88" t="str">
        <f aca="false">IF($B21=ET$12,$O21,"")</f>
        <v/>
      </c>
      <c r="EU21" s="88" t="str">
        <f aca="false">IF($B21=EU$12,$O21,"")</f>
        <v/>
      </c>
      <c r="EV21" s="88" t="str">
        <f aca="false">IF($B21=EV$12,$O21,"")</f>
        <v/>
      </c>
      <c r="EW21" s="88" t="str">
        <f aca="false">IF($B21=EW$12,$O21,"")</f>
        <v/>
      </c>
      <c r="EX21" s="88" t="str">
        <f aca="false">IF($B21=EX$12,$O21,"")</f>
        <v/>
      </c>
      <c r="EY21" s="88" t="str">
        <f aca="false">IF($B21=EY$12,$O21,"")</f>
        <v/>
      </c>
      <c r="EZ21" s="88" t="str">
        <f aca="false">IF($B21=EZ$12,$O21,"")</f>
        <v/>
      </c>
      <c r="FA21" s="88" t="str">
        <f aca="false">IF($B21=FA$12,$O21,"")</f>
        <v/>
      </c>
      <c r="FB21" s="88" t="str">
        <f aca="false">IF($B21=FB$12,$O21,"")</f>
        <v/>
      </c>
      <c r="FC21" s="88" t="str">
        <f aca="false">IF($B21=FC$12,$O21,"")</f>
        <v/>
      </c>
      <c r="FD21" s="88" t="str">
        <f aca="false">IF($B21=FD$12,$O21,"")</f>
        <v/>
      </c>
      <c r="FE21" s="88" t="str">
        <f aca="false">IF($B21=FE$12,$O21,"")</f>
        <v/>
      </c>
      <c r="FF21" s="88" t="str">
        <f aca="false">IF($B21=FF$12,$O21,"")</f>
        <v/>
      </c>
      <c r="FG21" s="88" t="str">
        <f aca="false">IF($B21=FG$12,$O21,"")</f>
        <v/>
      </c>
      <c r="FH21" s="88" t="str">
        <f aca="false">IF($B21=FH$12,$O21,"")</f>
        <v/>
      </c>
      <c r="FI21" s="88" t="str">
        <f aca="false">IF($B21=FI$12,$O21,"")</f>
        <v/>
      </c>
      <c r="FJ21" s="88" t="str">
        <f aca="false">IF($B21=FJ$12,$O21,"")</f>
        <v/>
      </c>
      <c r="FK21" s="88" t="str">
        <f aca="false">IF($B21=FK$12,$O21,"")</f>
        <v/>
      </c>
      <c r="FL21" s="88" t="str">
        <f aca="false">IF($B21=FL$12,$O21,"")</f>
        <v/>
      </c>
      <c r="FM21" s="88" t="str">
        <f aca="false">IF($B21=FM$12,$O21,"")</f>
        <v/>
      </c>
      <c r="FN21" s="88" t="str">
        <f aca="false">IF($B21=FN$12,$O21,"")</f>
        <v/>
      </c>
      <c r="FO21" s="88" t="str">
        <f aca="false">IF($B21=FO$12,$O21,"")</f>
        <v/>
      </c>
      <c r="FP21" s="88" t="str">
        <f aca="false">IF($B21=FP$12,$O21,"")</f>
        <v/>
      </c>
      <c r="FQ21" s="88" t="str">
        <f aca="false">IF($B21=FQ$12,$O21,"")</f>
        <v/>
      </c>
      <c r="FR21" s="88" t="str">
        <f aca="false">IF($B21=FR$12,$O21,"")</f>
        <v/>
      </c>
      <c r="FS21" s="88" t="str">
        <f aca="false">IF($B21=FS$12,$O21,"")</f>
        <v/>
      </c>
      <c r="FT21" s="88" t="str">
        <f aca="false">IF($B21=FT$12,$O21,"")</f>
        <v/>
      </c>
      <c r="FU21" s="88" t="str">
        <f aca="false">IF($B21=FU$12,$O21,"")</f>
        <v/>
      </c>
      <c r="FV21" s="88" t="str">
        <f aca="false">IF($B21=FV$12,$O21,"")</f>
        <v/>
      </c>
      <c r="FW21" s="88" t="str">
        <f aca="false">IF($B21=FW$12,$O21,"")</f>
        <v/>
      </c>
      <c r="FX21" s="88" t="str">
        <f aca="false">IF($B21=FX$12,$O21,"")</f>
        <v/>
      </c>
      <c r="FY21" s="88" t="str">
        <f aca="false">IF($B21=FY$12,$O21,"")</f>
        <v/>
      </c>
      <c r="FZ21" s="88" t="str">
        <f aca="false">IF($B21=FZ$12,$O21,"")</f>
        <v/>
      </c>
      <c r="GA21" s="88" t="str">
        <f aca="false">IF($B21=GA$12,$O21,"")</f>
        <v/>
      </c>
      <c r="GB21" s="88" t="str">
        <f aca="false">IF($B21=GB$12,$O21,"")</f>
        <v/>
      </c>
      <c r="GC21" s="88" t="str">
        <f aca="false">IF($B21=GC$12,$O21,"")</f>
        <v/>
      </c>
      <c r="GD21" s="88" t="str">
        <f aca="false">IF($B21=GD$12,$O21,"")</f>
        <v/>
      </c>
      <c r="GE21" s="88" t="str">
        <f aca="false">IF($B21=GE$12,$O21,"")</f>
        <v/>
      </c>
      <c r="GF21" s="88" t="str">
        <f aca="false">IF($B21=GF$12,$O21,"")</f>
        <v/>
      </c>
      <c r="GG21" s="88" t="str">
        <f aca="false">IF($B21=GG$12,$O21,"")</f>
        <v/>
      </c>
      <c r="GH21" s="88" t="str">
        <f aca="false">IF($B21=GH$12,$O21,"")</f>
        <v/>
      </c>
      <c r="GI21" s="88" t="str">
        <f aca="false">IF($B21=GI$12,$O21,"")</f>
        <v/>
      </c>
      <c r="GJ21" s="88" t="str">
        <f aca="false">IF($B21=GJ$12,$O21,"")</f>
        <v/>
      </c>
      <c r="GK21" s="88" t="str">
        <f aca="false">IF($B21=GK$12,$O21,"")</f>
        <v/>
      </c>
      <c r="GL21" s="88" t="str">
        <f aca="false">IF($B21=GL$12,$O21,"")</f>
        <v/>
      </c>
      <c r="GM21" s="88" t="str">
        <f aca="false">IF($B21=GM$12,$O21,"")</f>
        <v/>
      </c>
      <c r="GN21" s="88" t="str">
        <f aca="false">IF($B21=GN$12,$O21,"")</f>
        <v/>
      </c>
      <c r="GO21" s="88" t="str">
        <f aca="false">IF($B21=GO$12,$O21,"")</f>
        <v/>
      </c>
      <c r="GP21" s="88" t="str">
        <f aca="false">IF($B21=GP$12,$O21,"")</f>
        <v/>
      </c>
      <c r="GQ21" s="88" t="str">
        <f aca="false">IF($B21=GQ$12,$O21,"")</f>
        <v/>
      </c>
      <c r="GR21" s="88" t="str">
        <f aca="false">IF($B21=GR$12,$O21,"")</f>
        <v/>
      </c>
      <c r="GS21" s="88" t="str">
        <f aca="false">IF($B21=GS$12,$O21,"")</f>
        <v/>
      </c>
      <c r="GT21" s="88" t="str">
        <f aca="false">IF($B21=GT$12,$O21,"")</f>
        <v/>
      </c>
      <c r="GU21" s="88" t="str">
        <f aca="false">IF($B21=GU$12,$O21,"")</f>
        <v/>
      </c>
      <c r="GV21" s="88" t="str">
        <f aca="false">IF($B21=GV$12,$O21,"")</f>
        <v/>
      </c>
      <c r="GW21" s="88" t="str">
        <f aca="false">IF($B21=GW$12,$O21,"")</f>
        <v/>
      </c>
      <c r="GX21" s="88" t="str">
        <f aca="false">IF($B21=GX$12,$O21,"")</f>
        <v/>
      </c>
      <c r="GY21" s="88" t="str">
        <f aca="false">IF($B21=GY$12,$O21,"")</f>
        <v/>
      </c>
      <c r="GZ21" s="88" t="str">
        <f aca="false">IF($B21=GZ$12,$O21,"")</f>
        <v/>
      </c>
      <c r="HA21" s="88" t="str">
        <f aca="false">IF($B21=HA$12,$O21,"")</f>
        <v/>
      </c>
      <c r="HB21" s="88" t="str">
        <f aca="false">IF($B21=HB$12,$O21,"")</f>
        <v/>
      </c>
      <c r="HC21" s="88" t="str">
        <f aca="false">IF($B21=HC$12,$O21,"")</f>
        <v/>
      </c>
      <c r="HD21" s="88" t="str">
        <f aca="false">IF($B21=HD$12,$O21,"")</f>
        <v/>
      </c>
      <c r="HE21" s="88" t="str">
        <f aca="false">IF($B21=HE$12,$O21,"")</f>
        <v/>
      </c>
      <c r="HF21" s="88" t="str">
        <f aca="false">IF($B21=HF$12,$O21,"")</f>
        <v/>
      </c>
      <c r="HG21" s="88" t="str">
        <f aca="false">IF($B21=HG$12,$O21,"")</f>
        <v/>
      </c>
      <c r="HH21" s="88" t="str">
        <f aca="false">IF($B21=HH$12,$O21,"")</f>
        <v/>
      </c>
      <c r="HI21" s="88" t="str">
        <f aca="false">IF($B21=HI$12,$O21,"")</f>
        <v/>
      </c>
      <c r="HJ21" s="88" t="str">
        <f aca="false">IF($B21=HJ$12,$O21,"")</f>
        <v/>
      </c>
      <c r="HK21" s="88" t="str">
        <f aca="false">IF($B21=HK$12,$O21,"")</f>
        <v/>
      </c>
      <c r="HL21" s="88" t="str">
        <f aca="false">IF($B21=HL$12,$O21,"")</f>
        <v/>
      </c>
      <c r="HM21" s="88" t="str">
        <f aca="false">IF($B21=HM$12,$O21,"")</f>
        <v/>
      </c>
      <c r="HN21" s="88" t="str">
        <f aca="false">IF($B21=HN$12,$O21,"")</f>
        <v/>
      </c>
      <c r="HO21" s="88" t="str">
        <f aca="false">IF($B21=HO$12,$O21,"")</f>
        <v/>
      </c>
      <c r="HP21" s="88" t="str">
        <f aca="false">IF($B21=HP$12,$O21,"")</f>
        <v/>
      </c>
      <c r="HQ21" s="88" t="str">
        <f aca="false">IF($B21=HQ$12,$O21,"")</f>
        <v/>
      </c>
      <c r="HR21" s="89" t="str">
        <f aca="false">IF($B21=HR$12,$O21,"")</f>
        <v/>
      </c>
    </row>
    <row r="22" customFormat="false" ht="10.5" hidden="false" customHeight="true" outlineLevel="0" collapsed="false">
      <c r="A22" s="73"/>
      <c r="B22" s="74"/>
      <c r="C22" s="75" t="str">
        <f aca="false">IF(A22=0,"",VLOOKUP(A22,[3]CO!$A$3:$F$5311,2,0))</f>
        <v/>
      </c>
      <c r="D22" s="76"/>
      <c r="E22" s="76"/>
      <c r="F22" s="76"/>
      <c r="G22" s="77" t="str">
        <f aca="false">IF(A22=0,"",VLOOKUP(A22,[3]CO!$A$3:$F$5311,3,0))</f>
        <v/>
      </c>
      <c r="H22" s="76"/>
      <c r="I22" s="78"/>
      <c r="J22" s="78"/>
      <c r="K22" s="78"/>
      <c r="L22" s="79"/>
      <c r="M22" s="79" t="str">
        <f aca="false">IF(L22=0,"",PRODUCT(I22:L22))</f>
        <v/>
      </c>
      <c r="N22" s="79" t="str">
        <f aca="false">IF(B22=0,"",IF(H22="M",HLOOKUP(B22,$Y$12:$DT$13,2),IF(A22=0,"",VLOOKUP(A22,[3]CO!$A$3:$F$5311,4,0))))</f>
        <v/>
      </c>
      <c r="O22" s="79" t="str">
        <f aca="false">IF(L22=0,"",PRODUCT(M22:N22))</f>
        <v/>
      </c>
      <c r="P22" s="80"/>
      <c r="Q22" s="81" t="str">
        <f aca="false">IF(P22=0,"",(HLOOKUP(P22,$DW$12:$HR$13,2)))</f>
        <v/>
      </c>
      <c r="R22" s="82" t="str">
        <f aca="false"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RESIDENTE"),VLOOKUP(B22,P$14:Q$131,2),"")*S22)</f>
        <v/>
      </c>
      <c r="S22" s="5"/>
      <c r="T22" s="65" t="str">
        <f aca="false">IF(A22=0,"",VLOOKUP(A22,[3]CO!$A$3:$F$5302,5,0))</f>
        <v/>
      </c>
      <c r="U22" s="55" t="n">
        <f aca="false">IF(T22=1,O22*0.1,)</f>
        <v>0</v>
      </c>
      <c r="V22" s="66"/>
      <c r="W22" s="83"/>
      <c r="X22" s="83"/>
      <c r="Y22" s="84" t="str">
        <f aca="false">IF($B22=Y$12,$U22,"")</f>
        <v/>
      </c>
      <c r="Z22" s="85" t="str">
        <f aca="false">IF($B22=Z$12,$U22,"")</f>
        <v/>
      </c>
      <c r="AA22" s="85" t="str">
        <f aca="false">IF($B22=AA$12,$U22,"")</f>
        <v/>
      </c>
      <c r="AB22" s="85" t="str">
        <f aca="false">IF($B22=AB$12,$U22,"")</f>
        <v/>
      </c>
      <c r="AC22" s="85" t="str">
        <f aca="false">IF($B22=AC$12,$U22,"")</f>
        <v/>
      </c>
      <c r="AD22" s="85" t="str">
        <f aca="false">IF($B22=AD$12,$U22,"")</f>
        <v/>
      </c>
      <c r="AE22" s="85" t="str">
        <f aca="false">IF($B22=AE$12,$U22,"")</f>
        <v/>
      </c>
      <c r="AF22" s="85" t="str">
        <f aca="false">IF($B22=AF$12,$U22,"")</f>
        <v/>
      </c>
      <c r="AG22" s="85" t="str">
        <f aca="false">IF($B22=AG$12,$U22,"")</f>
        <v/>
      </c>
      <c r="AH22" s="85" t="str">
        <f aca="false">IF($B22=AH$12,$U22,"")</f>
        <v/>
      </c>
      <c r="AI22" s="85" t="str">
        <f aca="false">IF($B22=AI$12,$U22,"")</f>
        <v/>
      </c>
      <c r="AJ22" s="85" t="str">
        <f aca="false">IF($B22=AJ$12,$U22,"")</f>
        <v/>
      </c>
      <c r="AK22" s="85" t="str">
        <f aca="false">IF($B22=AK$12,$U22,"")</f>
        <v/>
      </c>
      <c r="AL22" s="85" t="str">
        <f aca="false">IF($B22=AL$12,$U22,"")</f>
        <v/>
      </c>
      <c r="AM22" s="85" t="str">
        <f aca="false">IF($B22=AM$12,$U22,"")</f>
        <v/>
      </c>
      <c r="AN22" s="85" t="str">
        <f aca="false">IF($B22=AN$12,$U22,"")</f>
        <v/>
      </c>
      <c r="AO22" s="85" t="str">
        <f aca="false">IF($B22=AO$12,$U22,"")</f>
        <v/>
      </c>
      <c r="AP22" s="85" t="str">
        <f aca="false">IF($B22=AP$12,$U22,"")</f>
        <v/>
      </c>
      <c r="AQ22" s="85" t="str">
        <f aca="false">IF($B22=AQ$12,$U22,"")</f>
        <v/>
      </c>
      <c r="AR22" s="85" t="str">
        <f aca="false">IF($B22=AR$12,$U22,"")</f>
        <v/>
      </c>
      <c r="AS22" s="85" t="str">
        <f aca="false">IF($B22=AS$12,$U22,"")</f>
        <v/>
      </c>
      <c r="AT22" s="85" t="str">
        <f aca="false">IF($B22=AT$12,$U22,"")</f>
        <v/>
      </c>
      <c r="AU22" s="85" t="str">
        <f aca="false">IF($B22=AU$12,$U22,"")</f>
        <v/>
      </c>
      <c r="AV22" s="85" t="str">
        <f aca="false">IF($B22=AV$12,$U22,"")</f>
        <v/>
      </c>
      <c r="AW22" s="85" t="str">
        <f aca="false">IF($B22=AW$12,$U22,"")</f>
        <v/>
      </c>
      <c r="AX22" s="85" t="str">
        <f aca="false">IF($B22=AX$12,$U22,"")</f>
        <v/>
      </c>
      <c r="AY22" s="85" t="str">
        <f aca="false">IF($B22=AY$12,$U22,"")</f>
        <v/>
      </c>
      <c r="AZ22" s="85" t="str">
        <f aca="false">IF($B22=AZ$12,$U22,"")</f>
        <v/>
      </c>
      <c r="BA22" s="85" t="str">
        <f aca="false">IF($B22=BA$12,$U22,"")</f>
        <v/>
      </c>
      <c r="BB22" s="85" t="str">
        <f aca="false">IF($B22=BB$12,$U22,"")</f>
        <v/>
      </c>
      <c r="BC22" s="85" t="str">
        <f aca="false">IF($B22=BC$12,$U22,"")</f>
        <v/>
      </c>
      <c r="BD22" s="85" t="str">
        <f aca="false">IF($B22=BD$12,$U22,"")</f>
        <v/>
      </c>
      <c r="BE22" s="85" t="str">
        <f aca="false">IF($B22=BE$12,$U22,"")</f>
        <v/>
      </c>
      <c r="BF22" s="85" t="str">
        <f aca="false">IF($B22=BF$12,$U22,"")</f>
        <v/>
      </c>
      <c r="BG22" s="85" t="str">
        <f aca="false">IF($B22=BG$12,$U22,"")</f>
        <v/>
      </c>
      <c r="BH22" s="85" t="str">
        <f aca="false">IF($B22=BH$12,$U22,"")</f>
        <v/>
      </c>
      <c r="BI22" s="85" t="str">
        <f aca="false">IF($B22=BI$12,$U22,"")</f>
        <v/>
      </c>
      <c r="BJ22" s="85" t="str">
        <f aca="false">IF($B22=BJ$12,$U22,"")</f>
        <v/>
      </c>
      <c r="BK22" s="85" t="str">
        <f aca="false">IF($B22=BK$12,$U22,"")</f>
        <v/>
      </c>
      <c r="BL22" s="85" t="str">
        <f aca="false">IF($B22=BL$12,$U22,"")</f>
        <v/>
      </c>
      <c r="BM22" s="85" t="str">
        <f aca="false">IF($B22=BM$12,$U22,"")</f>
        <v/>
      </c>
      <c r="BN22" s="85" t="str">
        <f aca="false">IF($B22=BN$12,$U22,"")</f>
        <v/>
      </c>
      <c r="BO22" s="85" t="str">
        <f aca="false">IF($B22=BO$12,$U22,"")</f>
        <v/>
      </c>
      <c r="BP22" s="85" t="str">
        <f aca="false">IF($B22=BP$12,$U22,"")</f>
        <v/>
      </c>
      <c r="BQ22" s="85" t="str">
        <f aca="false">IF($B22=BQ$12,$U22,"")</f>
        <v/>
      </c>
      <c r="BR22" s="85" t="str">
        <f aca="false">IF($B22=BR$12,$U22,"")</f>
        <v/>
      </c>
      <c r="BS22" s="85" t="str">
        <f aca="false">IF($B22=BS$12,$U22,"")</f>
        <v/>
      </c>
      <c r="BT22" s="85" t="str">
        <f aca="false">IF($B22=BT$12,$U22,"")</f>
        <v/>
      </c>
      <c r="BU22" s="85" t="str">
        <f aca="false">IF($B22=BU$12,$U22,"")</f>
        <v/>
      </c>
      <c r="BV22" s="85" t="str">
        <f aca="false">IF($B22=BV$12,$U22,"")</f>
        <v/>
      </c>
      <c r="BW22" s="85" t="str">
        <f aca="false">IF($B22=BW$12,$U22,"")</f>
        <v/>
      </c>
      <c r="BX22" s="85" t="str">
        <f aca="false">IF($B22=BX$12,$U22,"")</f>
        <v/>
      </c>
      <c r="BY22" s="85" t="str">
        <f aca="false">IF($B22=BY$12,$U22,"")</f>
        <v/>
      </c>
      <c r="BZ22" s="85" t="str">
        <f aca="false">IF($B22=BZ$12,$U22,"")</f>
        <v/>
      </c>
      <c r="CA22" s="85" t="str">
        <f aca="false">IF($B22=CA$12,$U22,"")</f>
        <v/>
      </c>
      <c r="CB22" s="85" t="str">
        <f aca="false">IF($B22=CB$12,$U22,"")</f>
        <v/>
      </c>
      <c r="CC22" s="85" t="str">
        <f aca="false">IF($B22=CC$12,$U22,"")</f>
        <v/>
      </c>
      <c r="CD22" s="85" t="str">
        <f aca="false">IF($B22=CD$12,$U22,"")</f>
        <v/>
      </c>
      <c r="CE22" s="85" t="str">
        <f aca="false">IF($B22=CE$12,$U22,"")</f>
        <v/>
      </c>
      <c r="CF22" s="85" t="str">
        <f aca="false">IF($B22=CF$12,$U22,"")</f>
        <v/>
      </c>
      <c r="CG22" s="85" t="str">
        <f aca="false">IF($B22=CG$12,$U22,"")</f>
        <v/>
      </c>
      <c r="CH22" s="85" t="str">
        <f aca="false">IF($B22=CH$12,$U22,"")</f>
        <v/>
      </c>
      <c r="CI22" s="85" t="str">
        <f aca="false">IF($B22=CI$12,$U22,"")</f>
        <v/>
      </c>
      <c r="CJ22" s="85" t="str">
        <f aca="false">IF($B22=CJ$12,$U22,"")</f>
        <v/>
      </c>
      <c r="CK22" s="85" t="str">
        <f aca="false">IF($B22=CK$12,$U22,"")</f>
        <v/>
      </c>
      <c r="CL22" s="85" t="str">
        <f aca="false">IF($B22=CL$12,$U22,"")</f>
        <v/>
      </c>
      <c r="CM22" s="85" t="str">
        <f aca="false">IF($B22=CM$12,$U22,"")</f>
        <v/>
      </c>
      <c r="CN22" s="85" t="str">
        <f aca="false">IF($B22=CN$12,$U22,"")</f>
        <v/>
      </c>
      <c r="CO22" s="85" t="str">
        <f aca="false">IF($B22=CO$12,$U22,"")</f>
        <v/>
      </c>
      <c r="CP22" s="85" t="str">
        <f aca="false">IF($B22=CP$12,$U22,"")</f>
        <v/>
      </c>
      <c r="CQ22" s="85" t="str">
        <f aca="false">IF($B22=CQ$12,$U22,"")</f>
        <v/>
      </c>
      <c r="CR22" s="85" t="str">
        <f aca="false">IF($B22=CR$12,$U22,"")</f>
        <v/>
      </c>
      <c r="CS22" s="85" t="str">
        <f aca="false">IF($B22=CS$12,$U22,"")</f>
        <v/>
      </c>
      <c r="CT22" s="85" t="str">
        <f aca="false">IF($B22=CT$12,$U22,"")</f>
        <v/>
      </c>
      <c r="CU22" s="85" t="str">
        <f aca="false">IF($B22=CU$12,$U22,"")</f>
        <v/>
      </c>
      <c r="CV22" s="85" t="str">
        <f aca="false">IF($B22=CV$12,$U22,"")</f>
        <v/>
      </c>
      <c r="CW22" s="85" t="str">
        <f aca="false">IF($B22=CW$12,$U22,"")</f>
        <v/>
      </c>
      <c r="CX22" s="85" t="str">
        <f aca="false">IF($B22=CX$12,$U22,"")</f>
        <v/>
      </c>
      <c r="CY22" s="85" t="str">
        <f aca="false">IF($B22=CY$12,$U22,"")</f>
        <v/>
      </c>
      <c r="CZ22" s="85" t="str">
        <f aca="false">IF($B22=CZ$12,$U22,"")</f>
        <v/>
      </c>
      <c r="DA22" s="85" t="str">
        <f aca="false">IF($B22=DA$12,$U22,"")</f>
        <v/>
      </c>
      <c r="DB22" s="85" t="str">
        <f aca="false">IF($B22=DB$12,$U22,"")</f>
        <v/>
      </c>
      <c r="DC22" s="85" t="str">
        <f aca="false">IF($B22=DC$12,$U22,"")</f>
        <v/>
      </c>
      <c r="DD22" s="85" t="str">
        <f aca="false">IF($B22=DD$12,$U22,"")</f>
        <v/>
      </c>
      <c r="DE22" s="85" t="str">
        <f aca="false">IF($B22=DE$12,$U22,"")</f>
        <v/>
      </c>
      <c r="DF22" s="85" t="str">
        <f aca="false">IF($B22=DF$12,$U22,"")</f>
        <v/>
      </c>
      <c r="DG22" s="85" t="str">
        <f aca="false">IF($B22=DG$12,$U22,"")</f>
        <v/>
      </c>
      <c r="DH22" s="85" t="str">
        <f aca="false">IF($B22=DH$12,$U22,"")</f>
        <v/>
      </c>
      <c r="DI22" s="85" t="str">
        <f aca="false">IF($B22=DI$12,$U22,"")</f>
        <v/>
      </c>
      <c r="DJ22" s="85" t="str">
        <f aca="false">IF($B22=DJ$12,$U22,"")</f>
        <v/>
      </c>
      <c r="DK22" s="85" t="str">
        <f aca="false">IF($B22=DK$12,$U22,"")</f>
        <v/>
      </c>
      <c r="DL22" s="85" t="str">
        <f aca="false">IF($B22=DL$12,$U22,"")</f>
        <v/>
      </c>
      <c r="DM22" s="85" t="str">
        <f aca="false">IF($B22=DM$12,$U22,"")</f>
        <v/>
      </c>
      <c r="DN22" s="85" t="str">
        <f aca="false">IF($B22=DN$12,$U22,"")</f>
        <v/>
      </c>
      <c r="DO22" s="85" t="str">
        <f aca="false">IF($B22=DO$12,$U22,"")</f>
        <v/>
      </c>
      <c r="DP22" s="85" t="str">
        <f aca="false">IF($B22=DP$12,$U22,"")</f>
        <v/>
      </c>
      <c r="DQ22" s="85" t="str">
        <f aca="false">IF($B22=DQ$12,$U22,"")</f>
        <v/>
      </c>
      <c r="DR22" s="85" t="str">
        <f aca="false">IF($B22=DR$12,$U22,"")</f>
        <v/>
      </c>
      <c r="DS22" s="85" t="str">
        <f aca="false">IF($B22=DS$12,$U22,"")</f>
        <v/>
      </c>
      <c r="DT22" s="86" t="str">
        <f aca="false">IF($B22=DT$12,$U22,"")</f>
        <v/>
      </c>
      <c r="DU22" s="55"/>
      <c r="DV22" s="83"/>
      <c r="DW22" s="87" t="str">
        <f aca="false">IF($B22=DW$12,$O22,"")</f>
        <v/>
      </c>
      <c r="DX22" s="88" t="str">
        <f aca="false">IF($B22=DX$12,$O22,"")</f>
        <v/>
      </c>
      <c r="DY22" s="88" t="str">
        <f aca="false">IF($B22=DY$12,$O22,"")</f>
        <v/>
      </c>
      <c r="DZ22" s="88" t="str">
        <f aca="false">IF($B22=DZ$12,$O22,"")</f>
        <v/>
      </c>
      <c r="EA22" s="88" t="str">
        <f aca="false">IF($B22=EA$12,$O22,"")</f>
        <v/>
      </c>
      <c r="EB22" s="88" t="str">
        <f aca="false">IF($B22=EB$12,$O22,"")</f>
        <v/>
      </c>
      <c r="EC22" s="88" t="str">
        <f aca="false">IF($B22=EC$12,$O22,"")</f>
        <v/>
      </c>
      <c r="ED22" s="88" t="str">
        <f aca="false">IF($B22=ED$12,$O22,"")</f>
        <v/>
      </c>
      <c r="EE22" s="88" t="str">
        <f aca="false">IF($B22=EE$12,$O22,"")</f>
        <v/>
      </c>
      <c r="EF22" s="88" t="str">
        <f aca="false">IF($B22=EF$12,$O22,"")</f>
        <v/>
      </c>
      <c r="EG22" s="88" t="str">
        <f aca="false">IF($B22=EG$12,$O22,"")</f>
        <v/>
      </c>
      <c r="EH22" s="88" t="str">
        <f aca="false">IF($B22=EH$12,$O22,"")</f>
        <v/>
      </c>
      <c r="EI22" s="88" t="str">
        <f aca="false">IF($B22=EI$12,$O22,"")</f>
        <v/>
      </c>
      <c r="EJ22" s="88" t="str">
        <f aca="false">IF($B22=EJ$12,$O22,"")</f>
        <v/>
      </c>
      <c r="EK22" s="88" t="str">
        <f aca="false">IF($B22=EK$12,$O22,"")</f>
        <v/>
      </c>
      <c r="EL22" s="88" t="str">
        <f aca="false">IF($B22=EL$12,$O22,"")</f>
        <v/>
      </c>
      <c r="EM22" s="88" t="str">
        <f aca="false">IF($B22=EM$12,$O22,"")</f>
        <v/>
      </c>
      <c r="EN22" s="88" t="str">
        <f aca="false">IF($B22=EN$12,$O22,"")</f>
        <v/>
      </c>
      <c r="EO22" s="88" t="str">
        <f aca="false">IF($B22=EO$12,$O22,"")</f>
        <v/>
      </c>
      <c r="EP22" s="88" t="str">
        <f aca="false">IF($B22=EP$12,$O22,"")</f>
        <v/>
      </c>
      <c r="EQ22" s="88" t="str">
        <f aca="false">IF($B22=EQ$12,$O22,"")</f>
        <v/>
      </c>
      <c r="ER22" s="88" t="str">
        <f aca="false">IF($B22=ER$12,$O22,"")</f>
        <v/>
      </c>
      <c r="ES22" s="88" t="str">
        <f aca="false">IF($B22=ES$12,$O22,"")</f>
        <v/>
      </c>
      <c r="ET22" s="88" t="str">
        <f aca="false">IF($B22=ET$12,$O22,"")</f>
        <v/>
      </c>
      <c r="EU22" s="88" t="str">
        <f aca="false">IF($B22=EU$12,$O22,"")</f>
        <v/>
      </c>
      <c r="EV22" s="88" t="str">
        <f aca="false">IF($B22=EV$12,$O22,"")</f>
        <v/>
      </c>
      <c r="EW22" s="88" t="str">
        <f aca="false">IF($B22=EW$12,$O22,"")</f>
        <v/>
      </c>
      <c r="EX22" s="88" t="str">
        <f aca="false">IF($B22=EX$12,$O22,"")</f>
        <v/>
      </c>
      <c r="EY22" s="88" t="str">
        <f aca="false">IF($B22=EY$12,$O22,"")</f>
        <v/>
      </c>
      <c r="EZ22" s="88" t="str">
        <f aca="false">IF($B22=EZ$12,$O22,"")</f>
        <v/>
      </c>
      <c r="FA22" s="88" t="str">
        <f aca="false">IF($B22=FA$12,$O22,"")</f>
        <v/>
      </c>
      <c r="FB22" s="88" t="str">
        <f aca="false">IF($B22=FB$12,$O22,"")</f>
        <v/>
      </c>
      <c r="FC22" s="88" t="str">
        <f aca="false">IF($B22=FC$12,$O22,"")</f>
        <v/>
      </c>
      <c r="FD22" s="88" t="str">
        <f aca="false">IF($B22=FD$12,$O22,"")</f>
        <v/>
      </c>
      <c r="FE22" s="88" t="str">
        <f aca="false">IF($B22=FE$12,$O22,"")</f>
        <v/>
      </c>
      <c r="FF22" s="88" t="str">
        <f aca="false">IF($B22=FF$12,$O22,"")</f>
        <v/>
      </c>
      <c r="FG22" s="88" t="str">
        <f aca="false">IF($B22=FG$12,$O22,"")</f>
        <v/>
      </c>
      <c r="FH22" s="88" t="str">
        <f aca="false">IF($B22=FH$12,$O22,"")</f>
        <v/>
      </c>
      <c r="FI22" s="88" t="str">
        <f aca="false">IF($B22=FI$12,$O22,"")</f>
        <v/>
      </c>
      <c r="FJ22" s="88" t="str">
        <f aca="false">IF($B22=FJ$12,$O22,"")</f>
        <v/>
      </c>
      <c r="FK22" s="88" t="str">
        <f aca="false">IF($B22=FK$12,$O22,"")</f>
        <v/>
      </c>
      <c r="FL22" s="88" t="str">
        <f aca="false">IF($B22=FL$12,$O22,"")</f>
        <v/>
      </c>
      <c r="FM22" s="88" t="str">
        <f aca="false">IF($B22=FM$12,$O22,"")</f>
        <v/>
      </c>
      <c r="FN22" s="88" t="str">
        <f aca="false">IF($B22=FN$12,$O22,"")</f>
        <v/>
      </c>
      <c r="FO22" s="88" t="str">
        <f aca="false">IF($B22=FO$12,$O22,"")</f>
        <v/>
      </c>
      <c r="FP22" s="88" t="str">
        <f aca="false">IF($B22=FP$12,$O22,"")</f>
        <v/>
      </c>
      <c r="FQ22" s="88" t="str">
        <f aca="false">IF($B22=FQ$12,$O22,"")</f>
        <v/>
      </c>
      <c r="FR22" s="88" t="str">
        <f aca="false">IF($B22=FR$12,$O22,"")</f>
        <v/>
      </c>
      <c r="FS22" s="88" t="str">
        <f aca="false">IF($B22=FS$12,$O22,"")</f>
        <v/>
      </c>
      <c r="FT22" s="88" t="str">
        <f aca="false">IF($B22=FT$12,$O22,"")</f>
        <v/>
      </c>
      <c r="FU22" s="88" t="str">
        <f aca="false">IF($B22=FU$12,$O22,"")</f>
        <v/>
      </c>
      <c r="FV22" s="88" t="str">
        <f aca="false">IF($B22=FV$12,$O22,"")</f>
        <v/>
      </c>
      <c r="FW22" s="88" t="str">
        <f aca="false">IF($B22=FW$12,$O22,"")</f>
        <v/>
      </c>
      <c r="FX22" s="88" t="str">
        <f aca="false">IF($B22=FX$12,$O22,"")</f>
        <v/>
      </c>
      <c r="FY22" s="88" t="str">
        <f aca="false">IF($B22=FY$12,$O22,"")</f>
        <v/>
      </c>
      <c r="FZ22" s="88" t="str">
        <f aca="false">IF($B22=FZ$12,$O22,"")</f>
        <v/>
      </c>
      <c r="GA22" s="88" t="str">
        <f aca="false">IF($B22=GA$12,$O22,"")</f>
        <v/>
      </c>
      <c r="GB22" s="88" t="str">
        <f aca="false">IF($B22=GB$12,$O22,"")</f>
        <v/>
      </c>
      <c r="GC22" s="88" t="str">
        <f aca="false">IF($B22=GC$12,$O22,"")</f>
        <v/>
      </c>
      <c r="GD22" s="88" t="str">
        <f aca="false">IF($B22=GD$12,$O22,"")</f>
        <v/>
      </c>
      <c r="GE22" s="88" t="str">
        <f aca="false">IF($B22=GE$12,$O22,"")</f>
        <v/>
      </c>
      <c r="GF22" s="88" t="str">
        <f aca="false">IF($B22=GF$12,$O22,"")</f>
        <v/>
      </c>
      <c r="GG22" s="88" t="str">
        <f aca="false">IF($B22=GG$12,$O22,"")</f>
        <v/>
      </c>
      <c r="GH22" s="88" t="str">
        <f aca="false">IF($B22=GH$12,$O22,"")</f>
        <v/>
      </c>
      <c r="GI22" s="88" t="str">
        <f aca="false">IF($B22=GI$12,$O22,"")</f>
        <v/>
      </c>
      <c r="GJ22" s="88" t="str">
        <f aca="false">IF($B22=GJ$12,$O22,"")</f>
        <v/>
      </c>
      <c r="GK22" s="88" t="str">
        <f aca="false">IF($B22=GK$12,$O22,"")</f>
        <v/>
      </c>
      <c r="GL22" s="88" t="str">
        <f aca="false">IF($B22=GL$12,$O22,"")</f>
        <v/>
      </c>
      <c r="GM22" s="88" t="str">
        <f aca="false">IF($B22=GM$12,$O22,"")</f>
        <v/>
      </c>
      <c r="GN22" s="88" t="str">
        <f aca="false">IF($B22=GN$12,$O22,"")</f>
        <v/>
      </c>
      <c r="GO22" s="88" t="str">
        <f aca="false">IF($B22=GO$12,$O22,"")</f>
        <v/>
      </c>
      <c r="GP22" s="88" t="str">
        <f aca="false">IF($B22=GP$12,$O22,"")</f>
        <v/>
      </c>
      <c r="GQ22" s="88" t="str">
        <f aca="false">IF($B22=GQ$12,$O22,"")</f>
        <v/>
      </c>
      <c r="GR22" s="88" t="str">
        <f aca="false">IF($B22=GR$12,$O22,"")</f>
        <v/>
      </c>
      <c r="GS22" s="88" t="str">
        <f aca="false">IF($B22=GS$12,$O22,"")</f>
        <v/>
      </c>
      <c r="GT22" s="88" t="str">
        <f aca="false">IF($B22=GT$12,$O22,"")</f>
        <v/>
      </c>
      <c r="GU22" s="88" t="str">
        <f aca="false">IF($B22=GU$12,$O22,"")</f>
        <v/>
      </c>
      <c r="GV22" s="88" t="str">
        <f aca="false">IF($B22=GV$12,$O22,"")</f>
        <v/>
      </c>
      <c r="GW22" s="88" t="str">
        <f aca="false">IF($B22=GW$12,$O22,"")</f>
        <v/>
      </c>
      <c r="GX22" s="88" t="str">
        <f aca="false">IF($B22=GX$12,$O22,"")</f>
        <v/>
      </c>
      <c r="GY22" s="88" t="str">
        <f aca="false">IF($B22=GY$12,$O22,"")</f>
        <v/>
      </c>
      <c r="GZ22" s="88" t="str">
        <f aca="false">IF($B22=GZ$12,$O22,"")</f>
        <v/>
      </c>
      <c r="HA22" s="88" t="str">
        <f aca="false">IF($B22=HA$12,$O22,"")</f>
        <v/>
      </c>
      <c r="HB22" s="88" t="str">
        <f aca="false">IF($B22=HB$12,$O22,"")</f>
        <v/>
      </c>
      <c r="HC22" s="88" t="str">
        <f aca="false">IF($B22=HC$12,$O22,"")</f>
        <v/>
      </c>
      <c r="HD22" s="88" t="str">
        <f aca="false">IF($B22=HD$12,$O22,"")</f>
        <v/>
      </c>
      <c r="HE22" s="88" t="str">
        <f aca="false">IF($B22=HE$12,$O22,"")</f>
        <v/>
      </c>
      <c r="HF22" s="88" t="str">
        <f aca="false">IF($B22=HF$12,$O22,"")</f>
        <v/>
      </c>
      <c r="HG22" s="88" t="str">
        <f aca="false">IF($B22=HG$12,$O22,"")</f>
        <v/>
      </c>
      <c r="HH22" s="88" t="str">
        <f aca="false">IF($B22=HH$12,$O22,"")</f>
        <v/>
      </c>
      <c r="HI22" s="88" t="str">
        <f aca="false">IF($B22=HI$12,$O22,"")</f>
        <v/>
      </c>
      <c r="HJ22" s="88" t="str">
        <f aca="false">IF($B22=HJ$12,$O22,"")</f>
        <v/>
      </c>
      <c r="HK22" s="88" t="str">
        <f aca="false">IF($B22=HK$12,$O22,"")</f>
        <v/>
      </c>
      <c r="HL22" s="88" t="str">
        <f aca="false">IF($B22=HL$12,$O22,"")</f>
        <v/>
      </c>
      <c r="HM22" s="88" t="str">
        <f aca="false">IF($B22=HM$12,$O22,"")</f>
        <v/>
      </c>
      <c r="HN22" s="88" t="str">
        <f aca="false">IF($B22=HN$12,$O22,"")</f>
        <v/>
      </c>
      <c r="HO22" s="88" t="str">
        <f aca="false">IF($B22=HO$12,$O22,"")</f>
        <v/>
      </c>
      <c r="HP22" s="88" t="str">
        <f aca="false">IF($B22=HP$12,$O22,"")</f>
        <v/>
      </c>
      <c r="HQ22" s="88" t="str">
        <f aca="false">IF($B22=HQ$12,$O22,"")</f>
        <v/>
      </c>
      <c r="HR22" s="89" t="str">
        <f aca="false">IF($B22=HR$12,$O22,"")</f>
        <v/>
      </c>
    </row>
    <row r="23" customFormat="false" ht="10.5" hidden="false" customHeight="true" outlineLevel="0" collapsed="false">
      <c r="A23" s="73"/>
      <c r="B23" s="74"/>
      <c r="C23" s="75" t="str">
        <f aca="false">IF(A23=0,"",VLOOKUP(A23,[3]CO!$A$3:$F$5311,2,0))</f>
        <v/>
      </c>
      <c r="D23" s="76"/>
      <c r="E23" s="76"/>
      <c r="F23" s="76"/>
      <c r="G23" s="77" t="str">
        <f aca="false">IF(A23=0,"",VLOOKUP(A23,[3]CO!$A$3:$F$5311,3,0))</f>
        <v/>
      </c>
      <c r="H23" s="76"/>
      <c r="I23" s="78"/>
      <c r="J23" s="78"/>
      <c r="K23" s="78"/>
      <c r="L23" s="79"/>
      <c r="M23" s="79" t="str">
        <f aca="false">IF(L23=0,"",PRODUCT(I23:L23))</f>
        <v/>
      </c>
      <c r="N23" s="79" t="str">
        <f aca="false">IF(B23=0,"",IF(H23="M",HLOOKUP(B23,$Y$12:$DT$13,2),IF(A23=0,"",VLOOKUP(A23,[3]CO!$A$3:$F$5311,4,0))))</f>
        <v/>
      </c>
      <c r="O23" s="79" t="str">
        <f aca="false">IF(L23=0,"",PRODUCT(M23:N23))</f>
        <v/>
      </c>
      <c r="P23" s="80"/>
      <c r="Q23" s="81" t="str">
        <f aca="false">IF(P23=0,"",(HLOOKUP(P23,$DW$12:$HR$13,2)))</f>
        <v/>
      </c>
      <c r="R23" s="82" t="str">
        <f aca="false"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RESIDENTE"),VLOOKUP(B23,P$14:Q$131,2),"")*S23)</f>
        <v/>
      </c>
      <c r="S23" s="5"/>
      <c r="T23" s="65" t="str">
        <f aca="false">IF(A23=0,"",VLOOKUP(A23,[3]CO!$A$3:$F$5302,5,0))</f>
        <v/>
      </c>
      <c r="U23" s="55" t="n">
        <f aca="false">IF(T23=1,O23*0.1,)</f>
        <v>0</v>
      </c>
      <c r="V23" s="66"/>
      <c r="W23" s="83"/>
      <c r="X23" s="83"/>
      <c r="Y23" s="84" t="str">
        <f aca="false">IF($B23=Y$12,$U23,"")</f>
        <v/>
      </c>
      <c r="Z23" s="85" t="str">
        <f aca="false">IF($B23=Z$12,$U23,"")</f>
        <v/>
      </c>
      <c r="AA23" s="85" t="str">
        <f aca="false">IF($B23=AA$12,$U23,"")</f>
        <v/>
      </c>
      <c r="AB23" s="85" t="str">
        <f aca="false">IF($B23=AB$12,$U23,"")</f>
        <v/>
      </c>
      <c r="AC23" s="85" t="str">
        <f aca="false">IF($B23=AC$12,$U23,"")</f>
        <v/>
      </c>
      <c r="AD23" s="85" t="str">
        <f aca="false">IF($B23=AD$12,$U23,"")</f>
        <v/>
      </c>
      <c r="AE23" s="85" t="str">
        <f aca="false">IF($B23=AE$12,$U23,"")</f>
        <v/>
      </c>
      <c r="AF23" s="85" t="str">
        <f aca="false">IF($B23=AF$12,$U23,"")</f>
        <v/>
      </c>
      <c r="AG23" s="85" t="str">
        <f aca="false">IF($B23=AG$12,$U23,"")</f>
        <v/>
      </c>
      <c r="AH23" s="85" t="str">
        <f aca="false">IF($B23=AH$12,$U23,"")</f>
        <v/>
      </c>
      <c r="AI23" s="85" t="str">
        <f aca="false">IF($B23=AI$12,$U23,"")</f>
        <v/>
      </c>
      <c r="AJ23" s="85" t="str">
        <f aca="false">IF($B23=AJ$12,$U23,"")</f>
        <v/>
      </c>
      <c r="AK23" s="85" t="str">
        <f aca="false">IF($B23=AK$12,$U23,"")</f>
        <v/>
      </c>
      <c r="AL23" s="85" t="str">
        <f aca="false">IF($B23=AL$12,$U23,"")</f>
        <v/>
      </c>
      <c r="AM23" s="85" t="str">
        <f aca="false">IF($B23=AM$12,$U23,"")</f>
        <v/>
      </c>
      <c r="AN23" s="85" t="str">
        <f aca="false">IF($B23=AN$12,$U23,"")</f>
        <v/>
      </c>
      <c r="AO23" s="85" t="str">
        <f aca="false">IF($B23=AO$12,$U23,"")</f>
        <v/>
      </c>
      <c r="AP23" s="85" t="str">
        <f aca="false">IF($B23=AP$12,$U23,"")</f>
        <v/>
      </c>
      <c r="AQ23" s="85" t="str">
        <f aca="false">IF($B23=AQ$12,$U23,"")</f>
        <v/>
      </c>
      <c r="AR23" s="85" t="str">
        <f aca="false">IF($B23=AR$12,$U23,"")</f>
        <v/>
      </c>
      <c r="AS23" s="85" t="str">
        <f aca="false">IF($B23=AS$12,$U23,"")</f>
        <v/>
      </c>
      <c r="AT23" s="85" t="str">
        <f aca="false">IF($B23=AT$12,$U23,"")</f>
        <v/>
      </c>
      <c r="AU23" s="85" t="str">
        <f aca="false">IF($B23=AU$12,$U23,"")</f>
        <v/>
      </c>
      <c r="AV23" s="85" t="str">
        <f aca="false">IF($B23=AV$12,$U23,"")</f>
        <v/>
      </c>
      <c r="AW23" s="85" t="str">
        <f aca="false">IF($B23=AW$12,$U23,"")</f>
        <v/>
      </c>
      <c r="AX23" s="85" t="str">
        <f aca="false">IF($B23=AX$12,$U23,"")</f>
        <v/>
      </c>
      <c r="AY23" s="85" t="str">
        <f aca="false">IF($B23=AY$12,$U23,"")</f>
        <v/>
      </c>
      <c r="AZ23" s="85" t="str">
        <f aca="false">IF($B23=AZ$12,$U23,"")</f>
        <v/>
      </c>
      <c r="BA23" s="85" t="str">
        <f aca="false">IF($B23=BA$12,$U23,"")</f>
        <v/>
      </c>
      <c r="BB23" s="85" t="str">
        <f aca="false">IF($B23=BB$12,$U23,"")</f>
        <v/>
      </c>
      <c r="BC23" s="85" t="str">
        <f aca="false">IF($B23=BC$12,$U23,"")</f>
        <v/>
      </c>
      <c r="BD23" s="85" t="str">
        <f aca="false">IF($B23=BD$12,$U23,"")</f>
        <v/>
      </c>
      <c r="BE23" s="85" t="str">
        <f aca="false">IF($B23=BE$12,$U23,"")</f>
        <v/>
      </c>
      <c r="BF23" s="85" t="str">
        <f aca="false">IF($B23=BF$12,$U23,"")</f>
        <v/>
      </c>
      <c r="BG23" s="85" t="str">
        <f aca="false">IF($B23=BG$12,$U23,"")</f>
        <v/>
      </c>
      <c r="BH23" s="85" t="str">
        <f aca="false">IF($B23=BH$12,$U23,"")</f>
        <v/>
      </c>
      <c r="BI23" s="85" t="str">
        <f aca="false">IF($B23=BI$12,$U23,"")</f>
        <v/>
      </c>
      <c r="BJ23" s="85" t="str">
        <f aca="false">IF($B23=BJ$12,$U23,"")</f>
        <v/>
      </c>
      <c r="BK23" s="85" t="str">
        <f aca="false">IF($B23=BK$12,$U23,"")</f>
        <v/>
      </c>
      <c r="BL23" s="85" t="str">
        <f aca="false">IF($B23=BL$12,$U23,"")</f>
        <v/>
      </c>
      <c r="BM23" s="85" t="str">
        <f aca="false">IF($B23=BM$12,$U23,"")</f>
        <v/>
      </c>
      <c r="BN23" s="85" t="str">
        <f aca="false">IF($B23=BN$12,$U23,"")</f>
        <v/>
      </c>
      <c r="BO23" s="85" t="str">
        <f aca="false">IF($B23=BO$12,$U23,"")</f>
        <v/>
      </c>
      <c r="BP23" s="85" t="str">
        <f aca="false">IF($B23=BP$12,$U23,"")</f>
        <v/>
      </c>
      <c r="BQ23" s="85" t="str">
        <f aca="false">IF($B23=BQ$12,$U23,"")</f>
        <v/>
      </c>
      <c r="BR23" s="85" t="str">
        <f aca="false">IF($B23=BR$12,$U23,"")</f>
        <v/>
      </c>
      <c r="BS23" s="85" t="str">
        <f aca="false">IF($B23=BS$12,$U23,"")</f>
        <v/>
      </c>
      <c r="BT23" s="85" t="str">
        <f aca="false">IF($B23=BT$12,$U23,"")</f>
        <v/>
      </c>
      <c r="BU23" s="85" t="str">
        <f aca="false">IF($B23=BU$12,$U23,"")</f>
        <v/>
      </c>
      <c r="BV23" s="85" t="str">
        <f aca="false">IF($B23=BV$12,$U23,"")</f>
        <v/>
      </c>
      <c r="BW23" s="85" t="str">
        <f aca="false">IF($B23=BW$12,$U23,"")</f>
        <v/>
      </c>
      <c r="BX23" s="85" t="str">
        <f aca="false">IF($B23=BX$12,$U23,"")</f>
        <v/>
      </c>
      <c r="BY23" s="85" t="str">
        <f aca="false">IF($B23=BY$12,$U23,"")</f>
        <v/>
      </c>
      <c r="BZ23" s="85" t="str">
        <f aca="false">IF($B23=BZ$12,$U23,"")</f>
        <v/>
      </c>
      <c r="CA23" s="85" t="str">
        <f aca="false">IF($B23=CA$12,$U23,"")</f>
        <v/>
      </c>
      <c r="CB23" s="85" t="str">
        <f aca="false">IF($B23=CB$12,$U23,"")</f>
        <v/>
      </c>
      <c r="CC23" s="85" t="str">
        <f aca="false">IF($B23=CC$12,$U23,"")</f>
        <v/>
      </c>
      <c r="CD23" s="85" t="str">
        <f aca="false">IF($B23=CD$12,$U23,"")</f>
        <v/>
      </c>
      <c r="CE23" s="85" t="str">
        <f aca="false">IF($B23=CE$12,$U23,"")</f>
        <v/>
      </c>
      <c r="CF23" s="85" t="str">
        <f aca="false">IF($B23=CF$12,$U23,"")</f>
        <v/>
      </c>
      <c r="CG23" s="85" t="str">
        <f aca="false">IF($B23=CG$12,$U23,"")</f>
        <v/>
      </c>
      <c r="CH23" s="85" t="str">
        <f aca="false">IF($B23=CH$12,$U23,"")</f>
        <v/>
      </c>
      <c r="CI23" s="85" t="str">
        <f aca="false">IF($B23=CI$12,$U23,"")</f>
        <v/>
      </c>
      <c r="CJ23" s="85" t="str">
        <f aca="false">IF($B23=CJ$12,$U23,"")</f>
        <v/>
      </c>
      <c r="CK23" s="85" t="str">
        <f aca="false">IF($B23=CK$12,$U23,"")</f>
        <v/>
      </c>
      <c r="CL23" s="85" t="str">
        <f aca="false">IF($B23=CL$12,$U23,"")</f>
        <v/>
      </c>
      <c r="CM23" s="85" t="str">
        <f aca="false">IF($B23=CM$12,$U23,"")</f>
        <v/>
      </c>
      <c r="CN23" s="85" t="str">
        <f aca="false">IF($B23=CN$12,$U23,"")</f>
        <v/>
      </c>
      <c r="CO23" s="85" t="str">
        <f aca="false">IF($B23=CO$12,$U23,"")</f>
        <v/>
      </c>
      <c r="CP23" s="85" t="str">
        <f aca="false">IF($B23=CP$12,$U23,"")</f>
        <v/>
      </c>
      <c r="CQ23" s="85" t="str">
        <f aca="false">IF($B23=CQ$12,$U23,"")</f>
        <v/>
      </c>
      <c r="CR23" s="85" t="str">
        <f aca="false">IF($B23=CR$12,$U23,"")</f>
        <v/>
      </c>
      <c r="CS23" s="85" t="str">
        <f aca="false">IF($B23=CS$12,$U23,"")</f>
        <v/>
      </c>
      <c r="CT23" s="85" t="str">
        <f aca="false">IF($B23=CT$12,$U23,"")</f>
        <v/>
      </c>
      <c r="CU23" s="85" t="str">
        <f aca="false">IF($B23=CU$12,$U23,"")</f>
        <v/>
      </c>
      <c r="CV23" s="85" t="str">
        <f aca="false">IF($B23=CV$12,$U23,"")</f>
        <v/>
      </c>
      <c r="CW23" s="85" t="str">
        <f aca="false">IF($B23=CW$12,$U23,"")</f>
        <v/>
      </c>
      <c r="CX23" s="85" t="str">
        <f aca="false">IF($B23=CX$12,$U23,"")</f>
        <v/>
      </c>
      <c r="CY23" s="85" t="str">
        <f aca="false">IF($B23=CY$12,$U23,"")</f>
        <v/>
      </c>
      <c r="CZ23" s="85" t="str">
        <f aca="false">IF($B23=CZ$12,$U23,"")</f>
        <v/>
      </c>
      <c r="DA23" s="85" t="str">
        <f aca="false">IF($B23=DA$12,$U23,"")</f>
        <v/>
      </c>
      <c r="DB23" s="85" t="str">
        <f aca="false">IF($B23=DB$12,$U23,"")</f>
        <v/>
      </c>
      <c r="DC23" s="85" t="str">
        <f aca="false">IF($B23=DC$12,$U23,"")</f>
        <v/>
      </c>
      <c r="DD23" s="85" t="str">
        <f aca="false">IF($B23=DD$12,$U23,"")</f>
        <v/>
      </c>
      <c r="DE23" s="85" t="str">
        <f aca="false">IF($B23=DE$12,$U23,"")</f>
        <v/>
      </c>
      <c r="DF23" s="85" t="str">
        <f aca="false">IF($B23=DF$12,$U23,"")</f>
        <v/>
      </c>
      <c r="DG23" s="85" t="str">
        <f aca="false">IF($B23=DG$12,$U23,"")</f>
        <v/>
      </c>
      <c r="DH23" s="85" t="str">
        <f aca="false">IF($B23=DH$12,$U23,"")</f>
        <v/>
      </c>
      <c r="DI23" s="85" t="str">
        <f aca="false">IF($B23=DI$12,$U23,"")</f>
        <v/>
      </c>
      <c r="DJ23" s="85" t="str">
        <f aca="false">IF($B23=DJ$12,$U23,"")</f>
        <v/>
      </c>
      <c r="DK23" s="85" t="str">
        <f aca="false">IF($B23=DK$12,$U23,"")</f>
        <v/>
      </c>
      <c r="DL23" s="85" t="str">
        <f aca="false">IF($B23=DL$12,$U23,"")</f>
        <v/>
      </c>
      <c r="DM23" s="85" t="str">
        <f aca="false">IF($B23=DM$12,$U23,"")</f>
        <v/>
      </c>
      <c r="DN23" s="85" t="str">
        <f aca="false">IF($B23=DN$12,$U23,"")</f>
        <v/>
      </c>
      <c r="DO23" s="85" t="str">
        <f aca="false">IF($B23=DO$12,$U23,"")</f>
        <v/>
      </c>
      <c r="DP23" s="85" t="str">
        <f aca="false">IF($B23=DP$12,$U23,"")</f>
        <v/>
      </c>
      <c r="DQ23" s="85" t="str">
        <f aca="false">IF($B23=DQ$12,$U23,"")</f>
        <v/>
      </c>
      <c r="DR23" s="85" t="str">
        <f aca="false">IF($B23=DR$12,$U23,"")</f>
        <v/>
      </c>
      <c r="DS23" s="85" t="str">
        <f aca="false">IF($B23=DS$12,$U23,"")</f>
        <v/>
      </c>
      <c r="DT23" s="86" t="str">
        <f aca="false">IF($B23=DT$12,$U23,"")</f>
        <v/>
      </c>
      <c r="DU23" s="55"/>
      <c r="DV23" s="83"/>
      <c r="DW23" s="87" t="str">
        <f aca="false">IF($B23=DW$12,$O23,"")</f>
        <v/>
      </c>
      <c r="DX23" s="88" t="str">
        <f aca="false">IF($B23=DX$12,$O23,"")</f>
        <v/>
      </c>
      <c r="DY23" s="88" t="str">
        <f aca="false">IF($B23=DY$12,$O23,"")</f>
        <v/>
      </c>
      <c r="DZ23" s="88" t="str">
        <f aca="false">IF($B23=DZ$12,$O23,"")</f>
        <v/>
      </c>
      <c r="EA23" s="88" t="str">
        <f aca="false">IF($B23=EA$12,$O23,"")</f>
        <v/>
      </c>
      <c r="EB23" s="88" t="str">
        <f aca="false">IF($B23=EB$12,$O23,"")</f>
        <v/>
      </c>
      <c r="EC23" s="88" t="str">
        <f aca="false">IF($B23=EC$12,$O23,"")</f>
        <v/>
      </c>
      <c r="ED23" s="88" t="str">
        <f aca="false">IF($B23=ED$12,$O23,"")</f>
        <v/>
      </c>
      <c r="EE23" s="88" t="str">
        <f aca="false">IF($B23=EE$12,$O23,"")</f>
        <v/>
      </c>
      <c r="EF23" s="88" t="str">
        <f aca="false">IF($B23=EF$12,$O23,"")</f>
        <v/>
      </c>
      <c r="EG23" s="88" t="str">
        <f aca="false">IF($B23=EG$12,$O23,"")</f>
        <v/>
      </c>
      <c r="EH23" s="88" t="str">
        <f aca="false">IF($B23=EH$12,$O23,"")</f>
        <v/>
      </c>
      <c r="EI23" s="88" t="str">
        <f aca="false">IF($B23=EI$12,$O23,"")</f>
        <v/>
      </c>
      <c r="EJ23" s="88" t="str">
        <f aca="false">IF($B23=EJ$12,$O23,"")</f>
        <v/>
      </c>
      <c r="EK23" s="88" t="str">
        <f aca="false">IF($B23=EK$12,$O23,"")</f>
        <v/>
      </c>
      <c r="EL23" s="88" t="str">
        <f aca="false">IF($B23=EL$12,$O23,"")</f>
        <v/>
      </c>
      <c r="EM23" s="88" t="str">
        <f aca="false">IF($B23=EM$12,$O23,"")</f>
        <v/>
      </c>
      <c r="EN23" s="88" t="str">
        <f aca="false">IF($B23=EN$12,$O23,"")</f>
        <v/>
      </c>
      <c r="EO23" s="88" t="str">
        <f aca="false">IF($B23=EO$12,$O23,"")</f>
        <v/>
      </c>
      <c r="EP23" s="88" t="str">
        <f aca="false">IF($B23=EP$12,$O23,"")</f>
        <v/>
      </c>
      <c r="EQ23" s="88" t="str">
        <f aca="false">IF($B23=EQ$12,$O23,"")</f>
        <v/>
      </c>
      <c r="ER23" s="88" t="str">
        <f aca="false">IF($B23=ER$12,$O23,"")</f>
        <v/>
      </c>
      <c r="ES23" s="88" t="str">
        <f aca="false">IF($B23=ES$12,$O23,"")</f>
        <v/>
      </c>
      <c r="ET23" s="88" t="str">
        <f aca="false">IF($B23=ET$12,$O23,"")</f>
        <v/>
      </c>
      <c r="EU23" s="88" t="str">
        <f aca="false">IF($B23=EU$12,$O23,"")</f>
        <v/>
      </c>
      <c r="EV23" s="88" t="str">
        <f aca="false">IF($B23=EV$12,$O23,"")</f>
        <v/>
      </c>
      <c r="EW23" s="88" t="str">
        <f aca="false">IF($B23=EW$12,$O23,"")</f>
        <v/>
      </c>
      <c r="EX23" s="88" t="str">
        <f aca="false">IF($B23=EX$12,$O23,"")</f>
        <v/>
      </c>
      <c r="EY23" s="88" t="str">
        <f aca="false">IF($B23=EY$12,$O23,"")</f>
        <v/>
      </c>
      <c r="EZ23" s="88" t="str">
        <f aca="false">IF($B23=EZ$12,$O23,"")</f>
        <v/>
      </c>
      <c r="FA23" s="88" t="str">
        <f aca="false">IF($B23=FA$12,$O23,"")</f>
        <v/>
      </c>
      <c r="FB23" s="88" t="str">
        <f aca="false">IF($B23=FB$12,$O23,"")</f>
        <v/>
      </c>
      <c r="FC23" s="88" t="str">
        <f aca="false">IF($B23=FC$12,$O23,"")</f>
        <v/>
      </c>
      <c r="FD23" s="88" t="str">
        <f aca="false">IF($B23=FD$12,$O23,"")</f>
        <v/>
      </c>
      <c r="FE23" s="88" t="str">
        <f aca="false">IF($B23=FE$12,$O23,"")</f>
        <v/>
      </c>
      <c r="FF23" s="88" t="str">
        <f aca="false">IF($B23=FF$12,$O23,"")</f>
        <v/>
      </c>
      <c r="FG23" s="88" t="str">
        <f aca="false">IF($B23=FG$12,$O23,"")</f>
        <v/>
      </c>
      <c r="FH23" s="88" t="str">
        <f aca="false">IF($B23=FH$12,$O23,"")</f>
        <v/>
      </c>
      <c r="FI23" s="88" t="str">
        <f aca="false">IF($B23=FI$12,$O23,"")</f>
        <v/>
      </c>
      <c r="FJ23" s="88" t="str">
        <f aca="false">IF($B23=FJ$12,$O23,"")</f>
        <v/>
      </c>
      <c r="FK23" s="88" t="str">
        <f aca="false">IF($B23=FK$12,$O23,"")</f>
        <v/>
      </c>
      <c r="FL23" s="88" t="str">
        <f aca="false">IF($B23=FL$12,$O23,"")</f>
        <v/>
      </c>
      <c r="FM23" s="88" t="str">
        <f aca="false">IF($B23=FM$12,$O23,"")</f>
        <v/>
      </c>
      <c r="FN23" s="88" t="str">
        <f aca="false">IF($B23=FN$12,$O23,"")</f>
        <v/>
      </c>
      <c r="FO23" s="88" t="str">
        <f aca="false">IF($B23=FO$12,$O23,"")</f>
        <v/>
      </c>
      <c r="FP23" s="88" t="str">
        <f aca="false">IF($B23=FP$12,$O23,"")</f>
        <v/>
      </c>
      <c r="FQ23" s="88" t="str">
        <f aca="false">IF($B23=FQ$12,$O23,"")</f>
        <v/>
      </c>
      <c r="FR23" s="88" t="str">
        <f aca="false">IF($B23=FR$12,$O23,"")</f>
        <v/>
      </c>
      <c r="FS23" s="88" t="str">
        <f aca="false">IF($B23=FS$12,$O23,"")</f>
        <v/>
      </c>
      <c r="FT23" s="88" t="str">
        <f aca="false">IF($B23=FT$12,$O23,"")</f>
        <v/>
      </c>
      <c r="FU23" s="88" t="str">
        <f aca="false">IF($B23=FU$12,$O23,"")</f>
        <v/>
      </c>
      <c r="FV23" s="88" t="str">
        <f aca="false">IF($B23=FV$12,$O23,"")</f>
        <v/>
      </c>
      <c r="FW23" s="88" t="str">
        <f aca="false">IF($B23=FW$12,$O23,"")</f>
        <v/>
      </c>
      <c r="FX23" s="88" t="str">
        <f aca="false">IF($B23=FX$12,$O23,"")</f>
        <v/>
      </c>
      <c r="FY23" s="88" t="str">
        <f aca="false">IF($B23=FY$12,$O23,"")</f>
        <v/>
      </c>
      <c r="FZ23" s="88" t="str">
        <f aca="false">IF($B23=FZ$12,$O23,"")</f>
        <v/>
      </c>
      <c r="GA23" s="88" t="str">
        <f aca="false">IF($B23=GA$12,$O23,"")</f>
        <v/>
      </c>
      <c r="GB23" s="88" t="str">
        <f aca="false">IF($B23=GB$12,$O23,"")</f>
        <v/>
      </c>
      <c r="GC23" s="88" t="str">
        <f aca="false">IF($B23=GC$12,$O23,"")</f>
        <v/>
      </c>
      <c r="GD23" s="88" t="str">
        <f aca="false">IF($B23=GD$12,$O23,"")</f>
        <v/>
      </c>
      <c r="GE23" s="88" t="str">
        <f aca="false">IF($B23=GE$12,$O23,"")</f>
        <v/>
      </c>
      <c r="GF23" s="88" t="str">
        <f aca="false">IF($B23=GF$12,$O23,"")</f>
        <v/>
      </c>
      <c r="GG23" s="88" t="str">
        <f aca="false">IF($B23=GG$12,$O23,"")</f>
        <v/>
      </c>
      <c r="GH23" s="88" t="str">
        <f aca="false">IF($B23=GH$12,$O23,"")</f>
        <v/>
      </c>
      <c r="GI23" s="88" t="str">
        <f aca="false">IF($B23=GI$12,$O23,"")</f>
        <v/>
      </c>
      <c r="GJ23" s="88" t="str">
        <f aca="false">IF($B23=GJ$12,$O23,"")</f>
        <v/>
      </c>
      <c r="GK23" s="88" t="str">
        <f aca="false">IF($B23=GK$12,$O23,"")</f>
        <v/>
      </c>
      <c r="GL23" s="88" t="str">
        <f aca="false">IF($B23=GL$12,$O23,"")</f>
        <v/>
      </c>
      <c r="GM23" s="88" t="str">
        <f aca="false">IF($B23=GM$12,$O23,"")</f>
        <v/>
      </c>
      <c r="GN23" s="88" t="str">
        <f aca="false">IF($B23=GN$12,$O23,"")</f>
        <v/>
      </c>
      <c r="GO23" s="88" t="str">
        <f aca="false">IF($B23=GO$12,$O23,"")</f>
        <v/>
      </c>
      <c r="GP23" s="88" t="str">
        <f aca="false">IF($B23=GP$12,$O23,"")</f>
        <v/>
      </c>
      <c r="GQ23" s="88" t="str">
        <f aca="false">IF($B23=GQ$12,$O23,"")</f>
        <v/>
      </c>
      <c r="GR23" s="88" t="str">
        <f aca="false">IF($B23=GR$12,$O23,"")</f>
        <v/>
      </c>
      <c r="GS23" s="88" t="str">
        <f aca="false">IF($B23=GS$12,$O23,"")</f>
        <v/>
      </c>
      <c r="GT23" s="88" t="str">
        <f aca="false">IF($B23=GT$12,$O23,"")</f>
        <v/>
      </c>
      <c r="GU23" s="88" t="str">
        <f aca="false">IF($B23=GU$12,$O23,"")</f>
        <v/>
      </c>
      <c r="GV23" s="88" t="str">
        <f aca="false">IF($B23=GV$12,$O23,"")</f>
        <v/>
      </c>
      <c r="GW23" s="88" t="str">
        <f aca="false">IF($B23=GW$12,$O23,"")</f>
        <v/>
      </c>
      <c r="GX23" s="88" t="str">
        <f aca="false">IF($B23=GX$12,$O23,"")</f>
        <v/>
      </c>
      <c r="GY23" s="88" t="str">
        <f aca="false">IF($B23=GY$12,$O23,"")</f>
        <v/>
      </c>
      <c r="GZ23" s="88" t="str">
        <f aca="false">IF($B23=GZ$12,$O23,"")</f>
        <v/>
      </c>
      <c r="HA23" s="88" t="str">
        <f aca="false">IF($B23=HA$12,$O23,"")</f>
        <v/>
      </c>
      <c r="HB23" s="88" t="str">
        <f aca="false">IF($B23=HB$12,$O23,"")</f>
        <v/>
      </c>
      <c r="HC23" s="88" t="str">
        <f aca="false">IF($B23=HC$12,$O23,"")</f>
        <v/>
      </c>
      <c r="HD23" s="88" t="str">
        <f aca="false">IF($B23=HD$12,$O23,"")</f>
        <v/>
      </c>
      <c r="HE23" s="88" t="str">
        <f aca="false">IF($B23=HE$12,$O23,"")</f>
        <v/>
      </c>
      <c r="HF23" s="88" t="str">
        <f aca="false">IF($B23=HF$12,$O23,"")</f>
        <v/>
      </c>
      <c r="HG23" s="88" t="str">
        <f aca="false">IF($B23=HG$12,$O23,"")</f>
        <v/>
      </c>
      <c r="HH23" s="88" t="str">
        <f aca="false">IF($B23=HH$12,$O23,"")</f>
        <v/>
      </c>
      <c r="HI23" s="88" t="str">
        <f aca="false">IF($B23=HI$12,$O23,"")</f>
        <v/>
      </c>
      <c r="HJ23" s="88" t="str">
        <f aca="false">IF($B23=HJ$12,$O23,"")</f>
        <v/>
      </c>
      <c r="HK23" s="88" t="str">
        <f aca="false">IF($B23=HK$12,$O23,"")</f>
        <v/>
      </c>
      <c r="HL23" s="88" t="str">
        <f aca="false">IF($B23=HL$12,$O23,"")</f>
        <v/>
      </c>
      <c r="HM23" s="88" t="str">
        <f aca="false">IF($B23=HM$12,$O23,"")</f>
        <v/>
      </c>
      <c r="HN23" s="88" t="str">
        <f aca="false">IF($B23=HN$12,$O23,"")</f>
        <v/>
      </c>
      <c r="HO23" s="88" t="str">
        <f aca="false">IF($B23=HO$12,$O23,"")</f>
        <v/>
      </c>
      <c r="HP23" s="88" t="str">
        <f aca="false">IF($B23=HP$12,$O23,"")</f>
        <v/>
      </c>
      <c r="HQ23" s="88" t="str">
        <f aca="false">IF($B23=HQ$12,$O23,"")</f>
        <v/>
      </c>
      <c r="HR23" s="89" t="str">
        <f aca="false">IF($B23=HR$12,$O23,"")</f>
        <v/>
      </c>
    </row>
    <row r="24" customFormat="false" ht="10.5" hidden="false" customHeight="true" outlineLevel="0" collapsed="false">
      <c r="A24" s="73"/>
      <c r="B24" s="74"/>
      <c r="C24" s="75" t="str">
        <f aca="false">IF(A24=0,"",VLOOKUP(A24,[3]CO!$A$3:$F$5311,2,0))</f>
        <v/>
      </c>
      <c r="D24" s="76"/>
      <c r="E24" s="76"/>
      <c r="F24" s="76"/>
      <c r="G24" s="77" t="str">
        <f aca="false">IF(A24=0,"",VLOOKUP(A24,[3]CO!$A$3:$F$5311,3,0))</f>
        <v/>
      </c>
      <c r="H24" s="76"/>
      <c r="I24" s="78"/>
      <c r="J24" s="78"/>
      <c r="K24" s="78"/>
      <c r="L24" s="79"/>
      <c r="M24" s="79" t="str">
        <f aca="false">IF(L24=0,"",PRODUCT(I24:L24))</f>
        <v/>
      </c>
      <c r="N24" s="79" t="str">
        <f aca="false">IF(B24=0,"",IF(H24="M",HLOOKUP(B24,$Y$12:$DT$13,2),IF(A24=0,"",VLOOKUP(A24,[3]CO!$A$3:$F$5311,4,0))))</f>
        <v/>
      </c>
      <c r="O24" s="79" t="str">
        <f aca="false">IF(L24=0,"",PRODUCT(M24:N24))</f>
        <v/>
      </c>
      <c r="P24" s="80"/>
      <c r="Q24" s="81" t="str">
        <f aca="false">IF(P24=0,"",(HLOOKUP(P24,$DW$12:$HR$13,2)))</f>
        <v/>
      </c>
      <c r="R24" s="82" t="str">
        <f aca="false"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RESIDENTE"),VLOOKUP(B24,P$14:Q$131,2),"")*S24)</f>
        <v/>
      </c>
      <c r="S24" s="5"/>
      <c r="T24" s="65" t="str">
        <f aca="false">IF(A24=0,"",VLOOKUP(A24,[3]CO!$A$3:$F$5302,5,0))</f>
        <v/>
      </c>
      <c r="U24" s="55" t="n">
        <f aca="false">IF(T24=1,O24*0.1,)</f>
        <v>0</v>
      </c>
      <c r="V24" s="66"/>
      <c r="W24" s="83"/>
      <c r="X24" s="83"/>
      <c r="Y24" s="84" t="str">
        <f aca="false">IF($B24=Y$12,$U24,"")</f>
        <v/>
      </c>
      <c r="Z24" s="85" t="str">
        <f aca="false">IF($B24=Z$12,$U24,"")</f>
        <v/>
      </c>
      <c r="AA24" s="85" t="str">
        <f aca="false">IF($B24=AA$12,$U24,"")</f>
        <v/>
      </c>
      <c r="AB24" s="85" t="str">
        <f aca="false">IF($B24=AB$12,$U24,"")</f>
        <v/>
      </c>
      <c r="AC24" s="85" t="str">
        <f aca="false">IF($B24=AC$12,$U24,"")</f>
        <v/>
      </c>
      <c r="AD24" s="85" t="str">
        <f aca="false">IF($B24=AD$12,$U24,"")</f>
        <v/>
      </c>
      <c r="AE24" s="85" t="str">
        <f aca="false">IF($B24=AE$12,$U24,"")</f>
        <v/>
      </c>
      <c r="AF24" s="85" t="str">
        <f aca="false">IF($B24=AF$12,$U24,"")</f>
        <v/>
      </c>
      <c r="AG24" s="85" t="str">
        <f aca="false">IF($B24=AG$12,$U24,"")</f>
        <v/>
      </c>
      <c r="AH24" s="85" t="str">
        <f aca="false">IF($B24=AH$12,$U24,"")</f>
        <v/>
      </c>
      <c r="AI24" s="85" t="str">
        <f aca="false">IF($B24=AI$12,$U24,"")</f>
        <v/>
      </c>
      <c r="AJ24" s="85" t="str">
        <f aca="false">IF($B24=AJ$12,$U24,"")</f>
        <v/>
      </c>
      <c r="AK24" s="85" t="str">
        <f aca="false">IF($B24=AK$12,$U24,"")</f>
        <v/>
      </c>
      <c r="AL24" s="85" t="str">
        <f aca="false">IF($B24=AL$12,$U24,"")</f>
        <v/>
      </c>
      <c r="AM24" s="85" t="str">
        <f aca="false">IF($B24=AM$12,$U24,"")</f>
        <v/>
      </c>
      <c r="AN24" s="85" t="str">
        <f aca="false">IF($B24=AN$12,$U24,"")</f>
        <v/>
      </c>
      <c r="AO24" s="85" t="str">
        <f aca="false">IF($B24=AO$12,$U24,"")</f>
        <v/>
      </c>
      <c r="AP24" s="85" t="str">
        <f aca="false">IF($B24=AP$12,$U24,"")</f>
        <v/>
      </c>
      <c r="AQ24" s="85" t="str">
        <f aca="false">IF($B24=AQ$12,$U24,"")</f>
        <v/>
      </c>
      <c r="AR24" s="85" t="str">
        <f aca="false">IF($B24=AR$12,$U24,"")</f>
        <v/>
      </c>
      <c r="AS24" s="85" t="str">
        <f aca="false">IF($B24=AS$12,$U24,"")</f>
        <v/>
      </c>
      <c r="AT24" s="85" t="str">
        <f aca="false">IF($B24=AT$12,$U24,"")</f>
        <v/>
      </c>
      <c r="AU24" s="85" t="str">
        <f aca="false">IF($B24=AU$12,$U24,"")</f>
        <v/>
      </c>
      <c r="AV24" s="85" t="str">
        <f aca="false">IF($B24=AV$12,$U24,"")</f>
        <v/>
      </c>
      <c r="AW24" s="85" t="str">
        <f aca="false">IF($B24=AW$12,$U24,"")</f>
        <v/>
      </c>
      <c r="AX24" s="85" t="str">
        <f aca="false">IF($B24=AX$12,$U24,"")</f>
        <v/>
      </c>
      <c r="AY24" s="85" t="str">
        <f aca="false">IF($B24=AY$12,$U24,"")</f>
        <v/>
      </c>
      <c r="AZ24" s="85" t="str">
        <f aca="false">IF($B24=AZ$12,$U24,"")</f>
        <v/>
      </c>
      <c r="BA24" s="85" t="str">
        <f aca="false">IF($B24=BA$12,$U24,"")</f>
        <v/>
      </c>
      <c r="BB24" s="85" t="str">
        <f aca="false">IF($B24=BB$12,$U24,"")</f>
        <v/>
      </c>
      <c r="BC24" s="85" t="str">
        <f aca="false">IF($B24=BC$12,$U24,"")</f>
        <v/>
      </c>
      <c r="BD24" s="85" t="str">
        <f aca="false">IF($B24=BD$12,$U24,"")</f>
        <v/>
      </c>
      <c r="BE24" s="85" t="str">
        <f aca="false">IF($B24=BE$12,$U24,"")</f>
        <v/>
      </c>
      <c r="BF24" s="85" t="str">
        <f aca="false">IF($B24=BF$12,$U24,"")</f>
        <v/>
      </c>
      <c r="BG24" s="85" t="str">
        <f aca="false">IF($B24=BG$12,$U24,"")</f>
        <v/>
      </c>
      <c r="BH24" s="85" t="str">
        <f aca="false">IF($B24=BH$12,$U24,"")</f>
        <v/>
      </c>
      <c r="BI24" s="85" t="str">
        <f aca="false">IF($B24=BI$12,$U24,"")</f>
        <v/>
      </c>
      <c r="BJ24" s="85" t="str">
        <f aca="false">IF($B24=BJ$12,$U24,"")</f>
        <v/>
      </c>
      <c r="BK24" s="85" t="str">
        <f aca="false">IF($B24=BK$12,$U24,"")</f>
        <v/>
      </c>
      <c r="BL24" s="85" t="str">
        <f aca="false">IF($B24=BL$12,$U24,"")</f>
        <v/>
      </c>
      <c r="BM24" s="85" t="str">
        <f aca="false">IF($B24=BM$12,$U24,"")</f>
        <v/>
      </c>
      <c r="BN24" s="85" t="str">
        <f aca="false">IF($B24=BN$12,$U24,"")</f>
        <v/>
      </c>
      <c r="BO24" s="85" t="str">
        <f aca="false">IF($B24=BO$12,$U24,"")</f>
        <v/>
      </c>
      <c r="BP24" s="85" t="str">
        <f aca="false">IF($B24=BP$12,$U24,"")</f>
        <v/>
      </c>
      <c r="BQ24" s="85" t="str">
        <f aca="false">IF($B24=BQ$12,$U24,"")</f>
        <v/>
      </c>
      <c r="BR24" s="85" t="str">
        <f aca="false">IF($B24=BR$12,$U24,"")</f>
        <v/>
      </c>
      <c r="BS24" s="85" t="str">
        <f aca="false">IF($B24=BS$12,$U24,"")</f>
        <v/>
      </c>
      <c r="BT24" s="85" t="str">
        <f aca="false">IF($B24=BT$12,$U24,"")</f>
        <v/>
      </c>
      <c r="BU24" s="85" t="str">
        <f aca="false">IF($B24=BU$12,$U24,"")</f>
        <v/>
      </c>
      <c r="BV24" s="85" t="str">
        <f aca="false">IF($B24=BV$12,$U24,"")</f>
        <v/>
      </c>
      <c r="BW24" s="85" t="str">
        <f aca="false">IF($B24=BW$12,$U24,"")</f>
        <v/>
      </c>
      <c r="BX24" s="85" t="str">
        <f aca="false">IF($B24=BX$12,$U24,"")</f>
        <v/>
      </c>
      <c r="BY24" s="85" t="str">
        <f aca="false">IF($B24=BY$12,$U24,"")</f>
        <v/>
      </c>
      <c r="BZ24" s="85" t="str">
        <f aca="false">IF($B24=BZ$12,$U24,"")</f>
        <v/>
      </c>
      <c r="CA24" s="85" t="str">
        <f aca="false">IF($B24=CA$12,$U24,"")</f>
        <v/>
      </c>
      <c r="CB24" s="85" t="str">
        <f aca="false">IF($B24=CB$12,$U24,"")</f>
        <v/>
      </c>
      <c r="CC24" s="85" t="str">
        <f aca="false">IF($B24=CC$12,$U24,"")</f>
        <v/>
      </c>
      <c r="CD24" s="85" t="str">
        <f aca="false">IF($B24=CD$12,$U24,"")</f>
        <v/>
      </c>
      <c r="CE24" s="85" t="str">
        <f aca="false">IF($B24=CE$12,$U24,"")</f>
        <v/>
      </c>
      <c r="CF24" s="85" t="str">
        <f aca="false">IF($B24=CF$12,$U24,"")</f>
        <v/>
      </c>
      <c r="CG24" s="85" t="str">
        <f aca="false">IF($B24=CG$12,$U24,"")</f>
        <v/>
      </c>
      <c r="CH24" s="85" t="str">
        <f aca="false">IF($B24=CH$12,$U24,"")</f>
        <v/>
      </c>
      <c r="CI24" s="85" t="str">
        <f aca="false">IF($B24=CI$12,$U24,"")</f>
        <v/>
      </c>
      <c r="CJ24" s="85" t="str">
        <f aca="false">IF($B24=CJ$12,$U24,"")</f>
        <v/>
      </c>
      <c r="CK24" s="85" t="str">
        <f aca="false">IF($B24=CK$12,$U24,"")</f>
        <v/>
      </c>
      <c r="CL24" s="85" t="str">
        <f aca="false">IF($B24=CL$12,$U24,"")</f>
        <v/>
      </c>
      <c r="CM24" s="85" t="str">
        <f aca="false">IF($B24=CM$12,$U24,"")</f>
        <v/>
      </c>
      <c r="CN24" s="85" t="str">
        <f aca="false">IF($B24=CN$12,$U24,"")</f>
        <v/>
      </c>
      <c r="CO24" s="85" t="str">
        <f aca="false">IF($B24=CO$12,$U24,"")</f>
        <v/>
      </c>
      <c r="CP24" s="85" t="str">
        <f aca="false">IF($B24=CP$12,$U24,"")</f>
        <v/>
      </c>
      <c r="CQ24" s="85" t="str">
        <f aca="false">IF($B24=CQ$12,$U24,"")</f>
        <v/>
      </c>
      <c r="CR24" s="85" t="str">
        <f aca="false">IF($B24=CR$12,$U24,"")</f>
        <v/>
      </c>
      <c r="CS24" s="85" t="str">
        <f aca="false">IF($B24=CS$12,$U24,"")</f>
        <v/>
      </c>
      <c r="CT24" s="85" t="str">
        <f aca="false">IF($B24=CT$12,$U24,"")</f>
        <v/>
      </c>
      <c r="CU24" s="85" t="str">
        <f aca="false">IF($B24=CU$12,$U24,"")</f>
        <v/>
      </c>
      <c r="CV24" s="85" t="str">
        <f aca="false">IF($B24=CV$12,$U24,"")</f>
        <v/>
      </c>
      <c r="CW24" s="85" t="str">
        <f aca="false">IF($B24=CW$12,$U24,"")</f>
        <v/>
      </c>
      <c r="CX24" s="85" t="str">
        <f aca="false">IF($B24=CX$12,$U24,"")</f>
        <v/>
      </c>
      <c r="CY24" s="85" t="str">
        <f aca="false">IF($B24=CY$12,$U24,"")</f>
        <v/>
      </c>
      <c r="CZ24" s="85" t="str">
        <f aca="false">IF($B24=CZ$12,$U24,"")</f>
        <v/>
      </c>
      <c r="DA24" s="85" t="str">
        <f aca="false">IF($B24=DA$12,$U24,"")</f>
        <v/>
      </c>
      <c r="DB24" s="85" t="str">
        <f aca="false">IF($B24=DB$12,$U24,"")</f>
        <v/>
      </c>
      <c r="DC24" s="85" t="str">
        <f aca="false">IF($B24=DC$12,$U24,"")</f>
        <v/>
      </c>
      <c r="DD24" s="85" t="str">
        <f aca="false">IF($B24=DD$12,$U24,"")</f>
        <v/>
      </c>
      <c r="DE24" s="85" t="str">
        <f aca="false">IF($B24=DE$12,$U24,"")</f>
        <v/>
      </c>
      <c r="DF24" s="85" t="str">
        <f aca="false">IF($B24=DF$12,$U24,"")</f>
        <v/>
      </c>
      <c r="DG24" s="85" t="str">
        <f aca="false">IF($B24=DG$12,$U24,"")</f>
        <v/>
      </c>
      <c r="DH24" s="85" t="str">
        <f aca="false">IF($B24=DH$12,$U24,"")</f>
        <v/>
      </c>
      <c r="DI24" s="85" t="str">
        <f aca="false">IF($B24=DI$12,$U24,"")</f>
        <v/>
      </c>
      <c r="DJ24" s="85" t="str">
        <f aca="false">IF($B24=DJ$12,$U24,"")</f>
        <v/>
      </c>
      <c r="DK24" s="85" t="str">
        <f aca="false">IF($B24=DK$12,$U24,"")</f>
        <v/>
      </c>
      <c r="DL24" s="85" t="str">
        <f aca="false">IF($B24=DL$12,$U24,"")</f>
        <v/>
      </c>
      <c r="DM24" s="85" t="str">
        <f aca="false">IF($B24=DM$12,$U24,"")</f>
        <v/>
      </c>
      <c r="DN24" s="85" t="str">
        <f aca="false">IF($B24=DN$12,$U24,"")</f>
        <v/>
      </c>
      <c r="DO24" s="85" t="str">
        <f aca="false">IF($B24=DO$12,$U24,"")</f>
        <v/>
      </c>
      <c r="DP24" s="85" t="str">
        <f aca="false">IF($B24=DP$12,$U24,"")</f>
        <v/>
      </c>
      <c r="DQ24" s="85" t="str">
        <f aca="false">IF($B24=DQ$12,$U24,"")</f>
        <v/>
      </c>
      <c r="DR24" s="85" t="str">
        <f aca="false">IF($B24=DR$12,$U24,"")</f>
        <v/>
      </c>
      <c r="DS24" s="85" t="str">
        <f aca="false">IF($B24=DS$12,$U24,"")</f>
        <v/>
      </c>
      <c r="DT24" s="86" t="str">
        <f aca="false">IF($B24=DT$12,$U24,"")</f>
        <v/>
      </c>
      <c r="DU24" s="55"/>
      <c r="DV24" s="83"/>
      <c r="DW24" s="87" t="str">
        <f aca="false">IF($B24=DW$12,$O24,"")</f>
        <v/>
      </c>
      <c r="DX24" s="88" t="str">
        <f aca="false">IF($B24=DX$12,$O24,"")</f>
        <v/>
      </c>
      <c r="DY24" s="88" t="str">
        <f aca="false">IF($B24=DY$12,$O24,"")</f>
        <v/>
      </c>
      <c r="DZ24" s="88" t="str">
        <f aca="false">IF($B24=DZ$12,$O24,"")</f>
        <v/>
      </c>
      <c r="EA24" s="88" t="str">
        <f aca="false">IF($B24=EA$12,$O24,"")</f>
        <v/>
      </c>
      <c r="EB24" s="88" t="str">
        <f aca="false">IF($B24=EB$12,$O24,"")</f>
        <v/>
      </c>
      <c r="EC24" s="88" t="str">
        <f aca="false">IF($B24=EC$12,$O24,"")</f>
        <v/>
      </c>
      <c r="ED24" s="88" t="str">
        <f aca="false">IF($B24=ED$12,$O24,"")</f>
        <v/>
      </c>
      <c r="EE24" s="88" t="str">
        <f aca="false">IF($B24=EE$12,$O24,"")</f>
        <v/>
      </c>
      <c r="EF24" s="88" t="str">
        <f aca="false">IF($B24=EF$12,$O24,"")</f>
        <v/>
      </c>
      <c r="EG24" s="88" t="str">
        <f aca="false">IF($B24=EG$12,$O24,"")</f>
        <v/>
      </c>
      <c r="EH24" s="88" t="str">
        <f aca="false">IF($B24=EH$12,$O24,"")</f>
        <v/>
      </c>
      <c r="EI24" s="88" t="str">
        <f aca="false">IF($B24=EI$12,$O24,"")</f>
        <v/>
      </c>
      <c r="EJ24" s="88" t="str">
        <f aca="false">IF($B24=EJ$12,$O24,"")</f>
        <v/>
      </c>
      <c r="EK24" s="88" t="str">
        <f aca="false">IF($B24=EK$12,$O24,"")</f>
        <v/>
      </c>
      <c r="EL24" s="88" t="str">
        <f aca="false">IF($B24=EL$12,$O24,"")</f>
        <v/>
      </c>
      <c r="EM24" s="88" t="str">
        <f aca="false">IF($B24=EM$12,$O24,"")</f>
        <v/>
      </c>
      <c r="EN24" s="88" t="str">
        <f aca="false">IF($B24=EN$12,$O24,"")</f>
        <v/>
      </c>
      <c r="EO24" s="88" t="str">
        <f aca="false">IF($B24=EO$12,$O24,"")</f>
        <v/>
      </c>
      <c r="EP24" s="88" t="str">
        <f aca="false">IF($B24=EP$12,$O24,"")</f>
        <v/>
      </c>
      <c r="EQ24" s="88" t="str">
        <f aca="false">IF($B24=EQ$12,$O24,"")</f>
        <v/>
      </c>
      <c r="ER24" s="88" t="str">
        <f aca="false">IF($B24=ER$12,$O24,"")</f>
        <v/>
      </c>
      <c r="ES24" s="88" t="str">
        <f aca="false">IF($B24=ES$12,$O24,"")</f>
        <v/>
      </c>
      <c r="ET24" s="88" t="str">
        <f aca="false">IF($B24=ET$12,$O24,"")</f>
        <v/>
      </c>
      <c r="EU24" s="88" t="str">
        <f aca="false">IF($B24=EU$12,$O24,"")</f>
        <v/>
      </c>
      <c r="EV24" s="88" t="str">
        <f aca="false">IF($B24=EV$12,$O24,"")</f>
        <v/>
      </c>
      <c r="EW24" s="88" t="str">
        <f aca="false">IF($B24=EW$12,$O24,"")</f>
        <v/>
      </c>
      <c r="EX24" s="88" t="str">
        <f aca="false">IF($B24=EX$12,$O24,"")</f>
        <v/>
      </c>
      <c r="EY24" s="88" t="str">
        <f aca="false">IF($B24=EY$12,$O24,"")</f>
        <v/>
      </c>
      <c r="EZ24" s="88" t="str">
        <f aca="false">IF($B24=EZ$12,$O24,"")</f>
        <v/>
      </c>
      <c r="FA24" s="88" t="str">
        <f aca="false">IF($B24=FA$12,$O24,"")</f>
        <v/>
      </c>
      <c r="FB24" s="88" t="str">
        <f aca="false">IF($B24=FB$12,$O24,"")</f>
        <v/>
      </c>
      <c r="FC24" s="88" t="str">
        <f aca="false">IF($B24=FC$12,$O24,"")</f>
        <v/>
      </c>
      <c r="FD24" s="88" t="str">
        <f aca="false">IF($B24=FD$12,$O24,"")</f>
        <v/>
      </c>
      <c r="FE24" s="88" t="str">
        <f aca="false">IF($B24=FE$12,$O24,"")</f>
        <v/>
      </c>
      <c r="FF24" s="88" t="str">
        <f aca="false">IF($B24=FF$12,$O24,"")</f>
        <v/>
      </c>
      <c r="FG24" s="88" t="str">
        <f aca="false">IF($B24=FG$12,$O24,"")</f>
        <v/>
      </c>
      <c r="FH24" s="88" t="str">
        <f aca="false">IF($B24=FH$12,$O24,"")</f>
        <v/>
      </c>
      <c r="FI24" s="88" t="str">
        <f aca="false">IF($B24=FI$12,$O24,"")</f>
        <v/>
      </c>
      <c r="FJ24" s="88" t="str">
        <f aca="false">IF($B24=FJ$12,$O24,"")</f>
        <v/>
      </c>
      <c r="FK24" s="88" t="str">
        <f aca="false">IF($B24=FK$12,$O24,"")</f>
        <v/>
      </c>
      <c r="FL24" s="88" t="str">
        <f aca="false">IF($B24=FL$12,$O24,"")</f>
        <v/>
      </c>
      <c r="FM24" s="88" t="str">
        <f aca="false">IF($B24=FM$12,$O24,"")</f>
        <v/>
      </c>
      <c r="FN24" s="88" t="str">
        <f aca="false">IF($B24=FN$12,$O24,"")</f>
        <v/>
      </c>
      <c r="FO24" s="88" t="str">
        <f aca="false">IF($B24=FO$12,$O24,"")</f>
        <v/>
      </c>
      <c r="FP24" s="88" t="str">
        <f aca="false">IF($B24=FP$12,$O24,"")</f>
        <v/>
      </c>
      <c r="FQ24" s="88" t="str">
        <f aca="false">IF($B24=FQ$12,$O24,"")</f>
        <v/>
      </c>
      <c r="FR24" s="88" t="str">
        <f aca="false">IF($B24=FR$12,$O24,"")</f>
        <v/>
      </c>
      <c r="FS24" s="88" t="str">
        <f aca="false">IF($B24=FS$12,$O24,"")</f>
        <v/>
      </c>
      <c r="FT24" s="88" t="str">
        <f aca="false">IF($B24=FT$12,$O24,"")</f>
        <v/>
      </c>
      <c r="FU24" s="88" t="str">
        <f aca="false">IF($B24=FU$12,$O24,"")</f>
        <v/>
      </c>
      <c r="FV24" s="88" t="str">
        <f aca="false">IF($B24=FV$12,$O24,"")</f>
        <v/>
      </c>
      <c r="FW24" s="88" t="str">
        <f aca="false">IF($B24=FW$12,$O24,"")</f>
        <v/>
      </c>
      <c r="FX24" s="88" t="str">
        <f aca="false">IF($B24=FX$12,$O24,"")</f>
        <v/>
      </c>
      <c r="FY24" s="88" t="str">
        <f aca="false">IF($B24=FY$12,$O24,"")</f>
        <v/>
      </c>
      <c r="FZ24" s="88" t="str">
        <f aca="false">IF($B24=FZ$12,$O24,"")</f>
        <v/>
      </c>
      <c r="GA24" s="88" t="str">
        <f aca="false">IF($B24=GA$12,$O24,"")</f>
        <v/>
      </c>
      <c r="GB24" s="88" t="str">
        <f aca="false">IF($B24=GB$12,$O24,"")</f>
        <v/>
      </c>
      <c r="GC24" s="88" t="str">
        <f aca="false">IF($B24=GC$12,$O24,"")</f>
        <v/>
      </c>
      <c r="GD24" s="88" t="str">
        <f aca="false">IF($B24=GD$12,$O24,"")</f>
        <v/>
      </c>
      <c r="GE24" s="88" t="str">
        <f aca="false">IF($B24=GE$12,$O24,"")</f>
        <v/>
      </c>
      <c r="GF24" s="88" t="str">
        <f aca="false">IF($B24=GF$12,$O24,"")</f>
        <v/>
      </c>
      <c r="GG24" s="88" t="str">
        <f aca="false">IF($B24=GG$12,$O24,"")</f>
        <v/>
      </c>
      <c r="GH24" s="88" t="str">
        <f aca="false">IF($B24=GH$12,$O24,"")</f>
        <v/>
      </c>
      <c r="GI24" s="88" t="str">
        <f aca="false">IF($B24=GI$12,$O24,"")</f>
        <v/>
      </c>
      <c r="GJ24" s="88" t="str">
        <f aca="false">IF($B24=GJ$12,$O24,"")</f>
        <v/>
      </c>
      <c r="GK24" s="88" t="str">
        <f aca="false">IF($B24=GK$12,$O24,"")</f>
        <v/>
      </c>
      <c r="GL24" s="88" t="str">
        <f aca="false">IF($B24=GL$12,$O24,"")</f>
        <v/>
      </c>
      <c r="GM24" s="88" t="str">
        <f aca="false">IF($B24=GM$12,$O24,"")</f>
        <v/>
      </c>
      <c r="GN24" s="88" t="str">
        <f aca="false">IF($B24=GN$12,$O24,"")</f>
        <v/>
      </c>
      <c r="GO24" s="88" t="str">
        <f aca="false">IF($B24=GO$12,$O24,"")</f>
        <v/>
      </c>
      <c r="GP24" s="88" t="str">
        <f aca="false">IF($B24=GP$12,$O24,"")</f>
        <v/>
      </c>
      <c r="GQ24" s="88" t="str">
        <f aca="false">IF($B24=GQ$12,$O24,"")</f>
        <v/>
      </c>
      <c r="GR24" s="88" t="str">
        <f aca="false">IF($B24=GR$12,$O24,"")</f>
        <v/>
      </c>
      <c r="GS24" s="88" t="str">
        <f aca="false">IF($B24=GS$12,$O24,"")</f>
        <v/>
      </c>
      <c r="GT24" s="88" t="str">
        <f aca="false">IF($B24=GT$12,$O24,"")</f>
        <v/>
      </c>
      <c r="GU24" s="88" t="str">
        <f aca="false">IF($B24=GU$12,$O24,"")</f>
        <v/>
      </c>
      <c r="GV24" s="88" t="str">
        <f aca="false">IF($B24=GV$12,$O24,"")</f>
        <v/>
      </c>
      <c r="GW24" s="88" t="str">
        <f aca="false">IF($B24=GW$12,$O24,"")</f>
        <v/>
      </c>
      <c r="GX24" s="88" t="str">
        <f aca="false">IF($B24=GX$12,$O24,"")</f>
        <v/>
      </c>
      <c r="GY24" s="88" t="str">
        <f aca="false">IF($B24=GY$12,$O24,"")</f>
        <v/>
      </c>
      <c r="GZ24" s="88" t="str">
        <f aca="false">IF($B24=GZ$12,$O24,"")</f>
        <v/>
      </c>
      <c r="HA24" s="88" t="str">
        <f aca="false">IF($B24=HA$12,$O24,"")</f>
        <v/>
      </c>
      <c r="HB24" s="88" t="str">
        <f aca="false">IF($B24=HB$12,$O24,"")</f>
        <v/>
      </c>
      <c r="HC24" s="88" t="str">
        <f aca="false">IF($B24=HC$12,$O24,"")</f>
        <v/>
      </c>
      <c r="HD24" s="88" t="str">
        <f aca="false">IF($B24=HD$12,$O24,"")</f>
        <v/>
      </c>
      <c r="HE24" s="88" t="str">
        <f aca="false">IF($B24=HE$12,$O24,"")</f>
        <v/>
      </c>
      <c r="HF24" s="88" t="str">
        <f aca="false">IF($B24=HF$12,$O24,"")</f>
        <v/>
      </c>
      <c r="HG24" s="88" t="str">
        <f aca="false">IF($B24=HG$12,$O24,"")</f>
        <v/>
      </c>
      <c r="HH24" s="88" t="str">
        <f aca="false">IF($B24=HH$12,$O24,"")</f>
        <v/>
      </c>
      <c r="HI24" s="88" t="str">
        <f aca="false">IF($B24=HI$12,$O24,"")</f>
        <v/>
      </c>
      <c r="HJ24" s="88" t="str">
        <f aca="false">IF($B24=HJ$12,$O24,"")</f>
        <v/>
      </c>
      <c r="HK24" s="88" t="str">
        <f aca="false">IF($B24=HK$12,$O24,"")</f>
        <v/>
      </c>
      <c r="HL24" s="88" t="str">
        <f aca="false">IF($B24=HL$12,$O24,"")</f>
        <v/>
      </c>
      <c r="HM24" s="88" t="str">
        <f aca="false">IF($B24=HM$12,$O24,"")</f>
        <v/>
      </c>
      <c r="HN24" s="88" t="str">
        <f aca="false">IF($B24=HN$12,$O24,"")</f>
        <v/>
      </c>
      <c r="HO24" s="88" t="str">
        <f aca="false">IF($B24=HO$12,$O24,"")</f>
        <v/>
      </c>
      <c r="HP24" s="88" t="str">
        <f aca="false">IF($B24=HP$12,$O24,"")</f>
        <v/>
      </c>
      <c r="HQ24" s="88" t="str">
        <f aca="false">IF($B24=HQ$12,$O24,"")</f>
        <v/>
      </c>
      <c r="HR24" s="89" t="str">
        <f aca="false">IF($B24=HR$12,$O24,"")</f>
        <v/>
      </c>
    </row>
    <row r="25" customFormat="false" ht="10.5" hidden="false" customHeight="true" outlineLevel="0" collapsed="false">
      <c r="A25" s="73"/>
      <c r="B25" s="74"/>
      <c r="C25" s="75" t="str">
        <f aca="false">IF(A25=0,"",VLOOKUP(A25,[3]CO!$A$3:$F$5311,2,0))</f>
        <v/>
      </c>
      <c r="D25" s="76"/>
      <c r="E25" s="76"/>
      <c r="F25" s="76"/>
      <c r="G25" s="77" t="str">
        <f aca="false">IF(A25=0,"",VLOOKUP(A25,[3]CO!$A$3:$F$5311,3,0))</f>
        <v/>
      </c>
      <c r="H25" s="76"/>
      <c r="I25" s="78"/>
      <c r="J25" s="78"/>
      <c r="K25" s="78"/>
      <c r="L25" s="79"/>
      <c r="M25" s="79" t="str">
        <f aca="false">IF(L25=0,"",PRODUCT(I25:L25))</f>
        <v/>
      </c>
      <c r="N25" s="79" t="str">
        <f aca="false">IF(B25=0,"",IF(H25="M",HLOOKUP(B25,$Y$12:$DT$13,2),IF(A25=0,"",VLOOKUP(A25,[3]CO!$A$3:$F$5311,4,0))))</f>
        <v/>
      </c>
      <c r="O25" s="79" t="str">
        <f aca="false">IF(L25=0,"",PRODUCT(M25:N25))</f>
        <v/>
      </c>
      <c r="P25" s="80"/>
      <c r="Q25" s="81" t="str">
        <f aca="false">IF(P25=0,"",(HLOOKUP(P25,$DW$12:$HR$13,2)))</f>
        <v/>
      </c>
      <c r="R25" s="82" t="str">
        <f aca="false"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RESIDENTE"),VLOOKUP(B25,P$14:Q$131,2),"")*S25)</f>
        <v/>
      </c>
      <c r="S25" s="5"/>
      <c r="T25" s="65" t="str">
        <f aca="false">IF(A25=0,"",VLOOKUP(A25,[3]CO!$A$3:$F$5302,5,0))</f>
        <v/>
      </c>
      <c r="U25" s="55" t="n">
        <f aca="false">IF(T25=1,O25*0.1,)</f>
        <v>0</v>
      </c>
      <c r="V25" s="66"/>
      <c r="W25" s="83"/>
      <c r="X25" s="83"/>
      <c r="Y25" s="84" t="str">
        <f aca="false">IF($B25=Y$12,$U25,"")</f>
        <v/>
      </c>
      <c r="Z25" s="85" t="str">
        <f aca="false">IF($B25=Z$12,$U25,"")</f>
        <v/>
      </c>
      <c r="AA25" s="85" t="str">
        <f aca="false">IF($B25=AA$12,$U25,"")</f>
        <v/>
      </c>
      <c r="AB25" s="85" t="str">
        <f aca="false">IF($B25=AB$12,$U25,"")</f>
        <v/>
      </c>
      <c r="AC25" s="85" t="str">
        <f aca="false">IF($B25=AC$12,$U25,"")</f>
        <v/>
      </c>
      <c r="AD25" s="85" t="str">
        <f aca="false">IF($B25=AD$12,$U25,"")</f>
        <v/>
      </c>
      <c r="AE25" s="85" t="str">
        <f aca="false">IF($B25=AE$12,$U25,"")</f>
        <v/>
      </c>
      <c r="AF25" s="85" t="str">
        <f aca="false">IF($B25=AF$12,$U25,"")</f>
        <v/>
      </c>
      <c r="AG25" s="85" t="str">
        <f aca="false">IF($B25=AG$12,$U25,"")</f>
        <v/>
      </c>
      <c r="AH25" s="85" t="str">
        <f aca="false">IF($B25=AH$12,$U25,"")</f>
        <v/>
      </c>
      <c r="AI25" s="85" t="str">
        <f aca="false">IF($B25=AI$12,$U25,"")</f>
        <v/>
      </c>
      <c r="AJ25" s="85" t="str">
        <f aca="false">IF($B25=AJ$12,$U25,"")</f>
        <v/>
      </c>
      <c r="AK25" s="85" t="str">
        <f aca="false">IF($B25=AK$12,$U25,"")</f>
        <v/>
      </c>
      <c r="AL25" s="85" t="str">
        <f aca="false">IF($B25=AL$12,$U25,"")</f>
        <v/>
      </c>
      <c r="AM25" s="85" t="str">
        <f aca="false">IF($B25=AM$12,$U25,"")</f>
        <v/>
      </c>
      <c r="AN25" s="85" t="str">
        <f aca="false">IF($B25=AN$12,$U25,"")</f>
        <v/>
      </c>
      <c r="AO25" s="85" t="str">
        <f aca="false">IF($B25=AO$12,$U25,"")</f>
        <v/>
      </c>
      <c r="AP25" s="85" t="str">
        <f aca="false">IF($B25=AP$12,$U25,"")</f>
        <v/>
      </c>
      <c r="AQ25" s="85" t="str">
        <f aca="false">IF($B25=AQ$12,$U25,"")</f>
        <v/>
      </c>
      <c r="AR25" s="85" t="str">
        <f aca="false">IF($B25=AR$12,$U25,"")</f>
        <v/>
      </c>
      <c r="AS25" s="85" t="str">
        <f aca="false">IF($B25=AS$12,$U25,"")</f>
        <v/>
      </c>
      <c r="AT25" s="85" t="str">
        <f aca="false">IF($B25=AT$12,$U25,"")</f>
        <v/>
      </c>
      <c r="AU25" s="85" t="str">
        <f aca="false">IF($B25=AU$12,$U25,"")</f>
        <v/>
      </c>
      <c r="AV25" s="85" t="str">
        <f aca="false">IF($B25=AV$12,$U25,"")</f>
        <v/>
      </c>
      <c r="AW25" s="85" t="str">
        <f aca="false">IF($B25=AW$12,$U25,"")</f>
        <v/>
      </c>
      <c r="AX25" s="85" t="str">
        <f aca="false">IF($B25=AX$12,$U25,"")</f>
        <v/>
      </c>
      <c r="AY25" s="85" t="str">
        <f aca="false">IF($B25=AY$12,$U25,"")</f>
        <v/>
      </c>
      <c r="AZ25" s="85" t="str">
        <f aca="false">IF($B25=AZ$12,$U25,"")</f>
        <v/>
      </c>
      <c r="BA25" s="85" t="str">
        <f aca="false">IF($B25=BA$12,$U25,"")</f>
        <v/>
      </c>
      <c r="BB25" s="85" t="str">
        <f aca="false">IF($B25=BB$12,$U25,"")</f>
        <v/>
      </c>
      <c r="BC25" s="85" t="str">
        <f aca="false">IF($B25=BC$12,$U25,"")</f>
        <v/>
      </c>
      <c r="BD25" s="85" t="str">
        <f aca="false">IF($B25=BD$12,$U25,"")</f>
        <v/>
      </c>
      <c r="BE25" s="85" t="str">
        <f aca="false">IF($B25=BE$12,$U25,"")</f>
        <v/>
      </c>
      <c r="BF25" s="85" t="str">
        <f aca="false">IF($B25=BF$12,$U25,"")</f>
        <v/>
      </c>
      <c r="BG25" s="85" t="str">
        <f aca="false">IF($B25=BG$12,$U25,"")</f>
        <v/>
      </c>
      <c r="BH25" s="85" t="str">
        <f aca="false">IF($B25=BH$12,$U25,"")</f>
        <v/>
      </c>
      <c r="BI25" s="85" t="str">
        <f aca="false">IF($B25=BI$12,$U25,"")</f>
        <v/>
      </c>
      <c r="BJ25" s="85" t="str">
        <f aca="false">IF($B25=BJ$12,$U25,"")</f>
        <v/>
      </c>
      <c r="BK25" s="85" t="str">
        <f aca="false">IF($B25=BK$12,$U25,"")</f>
        <v/>
      </c>
      <c r="BL25" s="85" t="str">
        <f aca="false">IF($B25=BL$12,$U25,"")</f>
        <v/>
      </c>
      <c r="BM25" s="85" t="str">
        <f aca="false">IF($B25=BM$12,$U25,"")</f>
        <v/>
      </c>
      <c r="BN25" s="85" t="str">
        <f aca="false">IF($B25=BN$12,$U25,"")</f>
        <v/>
      </c>
      <c r="BO25" s="85" t="str">
        <f aca="false">IF($B25=BO$12,$U25,"")</f>
        <v/>
      </c>
      <c r="BP25" s="85" t="str">
        <f aca="false">IF($B25=BP$12,$U25,"")</f>
        <v/>
      </c>
      <c r="BQ25" s="85" t="str">
        <f aca="false">IF($B25=BQ$12,$U25,"")</f>
        <v/>
      </c>
      <c r="BR25" s="85" t="str">
        <f aca="false">IF($B25=BR$12,$U25,"")</f>
        <v/>
      </c>
      <c r="BS25" s="85" t="str">
        <f aca="false">IF($B25=BS$12,$U25,"")</f>
        <v/>
      </c>
      <c r="BT25" s="85" t="str">
        <f aca="false">IF($B25=BT$12,$U25,"")</f>
        <v/>
      </c>
      <c r="BU25" s="85" t="str">
        <f aca="false">IF($B25=BU$12,$U25,"")</f>
        <v/>
      </c>
      <c r="BV25" s="85" t="str">
        <f aca="false">IF($B25=BV$12,$U25,"")</f>
        <v/>
      </c>
      <c r="BW25" s="85" t="str">
        <f aca="false">IF($B25=BW$12,$U25,"")</f>
        <v/>
      </c>
      <c r="BX25" s="85" t="str">
        <f aca="false">IF($B25=BX$12,$U25,"")</f>
        <v/>
      </c>
      <c r="BY25" s="85" t="str">
        <f aca="false">IF($B25=BY$12,$U25,"")</f>
        <v/>
      </c>
      <c r="BZ25" s="85" t="str">
        <f aca="false">IF($B25=BZ$12,$U25,"")</f>
        <v/>
      </c>
      <c r="CA25" s="85" t="str">
        <f aca="false">IF($B25=CA$12,$U25,"")</f>
        <v/>
      </c>
      <c r="CB25" s="85" t="str">
        <f aca="false">IF($B25=CB$12,$U25,"")</f>
        <v/>
      </c>
      <c r="CC25" s="85" t="str">
        <f aca="false">IF($B25=CC$12,$U25,"")</f>
        <v/>
      </c>
      <c r="CD25" s="85" t="str">
        <f aca="false">IF($B25=CD$12,$U25,"")</f>
        <v/>
      </c>
      <c r="CE25" s="85" t="str">
        <f aca="false">IF($B25=CE$12,$U25,"")</f>
        <v/>
      </c>
      <c r="CF25" s="85" t="str">
        <f aca="false">IF($B25=CF$12,$U25,"")</f>
        <v/>
      </c>
      <c r="CG25" s="85" t="str">
        <f aca="false">IF($B25=CG$12,$U25,"")</f>
        <v/>
      </c>
      <c r="CH25" s="85" t="str">
        <f aca="false">IF($B25=CH$12,$U25,"")</f>
        <v/>
      </c>
      <c r="CI25" s="85" t="str">
        <f aca="false">IF($B25=CI$12,$U25,"")</f>
        <v/>
      </c>
      <c r="CJ25" s="85" t="str">
        <f aca="false">IF($B25=CJ$12,$U25,"")</f>
        <v/>
      </c>
      <c r="CK25" s="85" t="str">
        <f aca="false">IF($B25=CK$12,$U25,"")</f>
        <v/>
      </c>
      <c r="CL25" s="85" t="str">
        <f aca="false">IF($B25=CL$12,$U25,"")</f>
        <v/>
      </c>
      <c r="CM25" s="85" t="str">
        <f aca="false">IF($B25=CM$12,$U25,"")</f>
        <v/>
      </c>
      <c r="CN25" s="85" t="str">
        <f aca="false">IF($B25=CN$12,$U25,"")</f>
        <v/>
      </c>
      <c r="CO25" s="85" t="str">
        <f aca="false">IF($B25=CO$12,$U25,"")</f>
        <v/>
      </c>
      <c r="CP25" s="85" t="str">
        <f aca="false">IF($B25=CP$12,$U25,"")</f>
        <v/>
      </c>
      <c r="CQ25" s="85" t="str">
        <f aca="false">IF($B25=CQ$12,$U25,"")</f>
        <v/>
      </c>
      <c r="CR25" s="85" t="str">
        <f aca="false">IF($B25=CR$12,$U25,"")</f>
        <v/>
      </c>
      <c r="CS25" s="85" t="str">
        <f aca="false">IF($B25=CS$12,$U25,"")</f>
        <v/>
      </c>
      <c r="CT25" s="85" t="str">
        <f aca="false">IF($B25=CT$12,$U25,"")</f>
        <v/>
      </c>
      <c r="CU25" s="85" t="str">
        <f aca="false">IF($B25=CU$12,$U25,"")</f>
        <v/>
      </c>
      <c r="CV25" s="85" t="str">
        <f aca="false">IF($B25=CV$12,$U25,"")</f>
        <v/>
      </c>
      <c r="CW25" s="85" t="str">
        <f aca="false">IF($B25=CW$12,$U25,"")</f>
        <v/>
      </c>
      <c r="CX25" s="85" t="str">
        <f aca="false">IF($B25=CX$12,$U25,"")</f>
        <v/>
      </c>
      <c r="CY25" s="85" t="str">
        <f aca="false">IF($B25=CY$12,$U25,"")</f>
        <v/>
      </c>
      <c r="CZ25" s="85" t="str">
        <f aca="false">IF($B25=CZ$12,$U25,"")</f>
        <v/>
      </c>
      <c r="DA25" s="85" t="str">
        <f aca="false">IF($B25=DA$12,$U25,"")</f>
        <v/>
      </c>
      <c r="DB25" s="85" t="str">
        <f aca="false">IF($B25=DB$12,$U25,"")</f>
        <v/>
      </c>
      <c r="DC25" s="85" t="str">
        <f aca="false">IF($B25=DC$12,$U25,"")</f>
        <v/>
      </c>
      <c r="DD25" s="85" t="str">
        <f aca="false">IF($B25=DD$12,$U25,"")</f>
        <v/>
      </c>
      <c r="DE25" s="85" t="str">
        <f aca="false">IF($B25=DE$12,$U25,"")</f>
        <v/>
      </c>
      <c r="DF25" s="85" t="str">
        <f aca="false">IF($B25=DF$12,$U25,"")</f>
        <v/>
      </c>
      <c r="DG25" s="85" t="str">
        <f aca="false">IF($B25=DG$12,$U25,"")</f>
        <v/>
      </c>
      <c r="DH25" s="85" t="str">
        <f aca="false">IF($B25=DH$12,$U25,"")</f>
        <v/>
      </c>
      <c r="DI25" s="85" t="str">
        <f aca="false">IF($B25=DI$12,$U25,"")</f>
        <v/>
      </c>
      <c r="DJ25" s="85" t="str">
        <f aca="false">IF($B25=DJ$12,$U25,"")</f>
        <v/>
      </c>
      <c r="DK25" s="85" t="str">
        <f aca="false">IF($B25=DK$12,$U25,"")</f>
        <v/>
      </c>
      <c r="DL25" s="85" t="str">
        <f aca="false">IF($B25=DL$12,$U25,"")</f>
        <v/>
      </c>
      <c r="DM25" s="85" t="str">
        <f aca="false">IF($B25=DM$12,$U25,"")</f>
        <v/>
      </c>
      <c r="DN25" s="85" t="str">
        <f aca="false">IF($B25=DN$12,$U25,"")</f>
        <v/>
      </c>
      <c r="DO25" s="85" t="str">
        <f aca="false">IF($B25=DO$12,$U25,"")</f>
        <v/>
      </c>
      <c r="DP25" s="85" t="str">
        <f aca="false">IF($B25=DP$12,$U25,"")</f>
        <v/>
      </c>
      <c r="DQ25" s="85" t="str">
        <f aca="false">IF($B25=DQ$12,$U25,"")</f>
        <v/>
      </c>
      <c r="DR25" s="85" t="str">
        <f aca="false">IF($B25=DR$12,$U25,"")</f>
        <v/>
      </c>
      <c r="DS25" s="85" t="str">
        <f aca="false">IF($B25=DS$12,$U25,"")</f>
        <v/>
      </c>
      <c r="DT25" s="86" t="str">
        <f aca="false">IF($B25=DT$12,$U25,"")</f>
        <v/>
      </c>
      <c r="DU25" s="55"/>
      <c r="DV25" s="83"/>
      <c r="DW25" s="87" t="str">
        <f aca="false">IF($B25=DW$12,$O25,"")</f>
        <v/>
      </c>
      <c r="DX25" s="88" t="str">
        <f aca="false">IF($B25=DX$12,$O25,"")</f>
        <v/>
      </c>
      <c r="DY25" s="88" t="str">
        <f aca="false">IF($B25=DY$12,$O25,"")</f>
        <v/>
      </c>
      <c r="DZ25" s="88" t="str">
        <f aca="false">IF($B25=DZ$12,$O25,"")</f>
        <v/>
      </c>
      <c r="EA25" s="88" t="str">
        <f aca="false">IF($B25=EA$12,$O25,"")</f>
        <v/>
      </c>
      <c r="EB25" s="88" t="str">
        <f aca="false">IF($B25=EB$12,$O25,"")</f>
        <v/>
      </c>
      <c r="EC25" s="88" t="str">
        <f aca="false">IF($B25=EC$12,$O25,"")</f>
        <v/>
      </c>
      <c r="ED25" s="88" t="str">
        <f aca="false">IF($B25=ED$12,$O25,"")</f>
        <v/>
      </c>
      <c r="EE25" s="88" t="str">
        <f aca="false">IF($B25=EE$12,$O25,"")</f>
        <v/>
      </c>
      <c r="EF25" s="88" t="str">
        <f aca="false">IF($B25=EF$12,$O25,"")</f>
        <v/>
      </c>
      <c r="EG25" s="88" t="str">
        <f aca="false">IF($B25=EG$12,$O25,"")</f>
        <v/>
      </c>
      <c r="EH25" s="88" t="str">
        <f aca="false">IF($B25=EH$12,$O25,"")</f>
        <v/>
      </c>
      <c r="EI25" s="88" t="str">
        <f aca="false">IF($B25=EI$12,$O25,"")</f>
        <v/>
      </c>
      <c r="EJ25" s="88" t="str">
        <f aca="false">IF($B25=EJ$12,$O25,"")</f>
        <v/>
      </c>
      <c r="EK25" s="88" t="str">
        <f aca="false">IF($B25=EK$12,$O25,"")</f>
        <v/>
      </c>
      <c r="EL25" s="88" t="str">
        <f aca="false">IF($B25=EL$12,$O25,"")</f>
        <v/>
      </c>
      <c r="EM25" s="88" t="str">
        <f aca="false">IF($B25=EM$12,$O25,"")</f>
        <v/>
      </c>
      <c r="EN25" s="88" t="str">
        <f aca="false">IF($B25=EN$12,$O25,"")</f>
        <v/>
      </c>
      <c r="EO25" s="88" t="str">
        <f aca="false">IF($B25=EO$12,$O25,"")</f>
        <v/>
      </c>
      <c r="EP25" s="88" t="str">
        <f aca="false">IF($B25=EP$12,$O25,"")</f>
        <v/>
      </c>
      <c r="EQ25" s="88" t="str">
        <f aca="false">IF($B25=EQ$12,$O25,"")</f>
        <v/>
      </c>
      <c r="ER25" s="88" t="str">
        <f aca="false">IF($B25=ER$12,$O25,"")</f>
        <v/>
      </c>
      <c r="ES25" s="88" t="str">
        <f aca="false">IF($B25=ES$12,$O25,"")</f>
        <v/>
      </c>
      <c r="ET25" s="88" t="str">
        <f aca="false">IF($B25=ET$12,$O25,"")</f>
        <v/>
      </c>
      <c r="EU25" s="88" t="str">
        <f aca="false">IF($B25=EU$12,$O25,"")</f>
        <v/>
      </c>
      <c r="EV25" s="88" t="str">
        <f aca="false">IF($B25=EV$12,$O25,"")</f>
        <v/>
      </c>
      <c r="EW25" s="88" t="str">
        <f aca="false">IF($B25=EW$12,$O25,"")</f>
        <v/>
      </c>
      <c r="EX25" s="88" t="str">
        <f aca="false">IF($B25=EX$12,$O25,"")</f>
        <v/>
      </c>
      <c r="EY25" s="88" t="str">
        <f aca="false">IF($B25=EY$12,$O25,"")</f>
        <v/>
      </c>
      <c r="EZ25" s="88" t="str">
        <f aca="false">IF($B25=EZ$12,$O25,"")</f>
        <v/>
      </c>
      <c r="FA25" s="88" t="str">
        <f aca="false">IF($B25=FA$12,$O25,"")</f>
        <v/>
      </c>
      <c r="FB25" s="88" t="str">
        <f aca="false">IF($B25=FB$12,$O25,"")</f>
        <v/>
      </c>
      <c r="FC25" s="88" t="str">
        <f aca="false">IF($B25=FC$12,$O25,"")</f>
        <v/>
      </c>
      <c r="FD25" s="88" t="str">
        <f aca="false">IF($B25=FD$12,$O25,"")</f>
        <v/>
      </c>
      <c r="FE25" s="88" t="str">
        <f aca="false">IF($B25=FE$12,$O25,"")</f>
        <v/>
      </c>
      <c r="FF25" s="88" t="str">
        <f aca="false">IF($B25=FF$12,$O25,"")</f>
        <v/>
      </c>
      <c r="FG25" s="88" t="str">
        <f aca="false">IF($B25=FG$12,$O25,"")</f>
        <v/>
      </c>
      <c r="FH25" s="88" t="str">
        <f aca="false">IF($B25=FH$12,$O25,"")</f>
        <v/>
      </c>
      <c r="FI25" s="88" t="str">
        <f aca="false">IF($B25=FI$12,$O25,"")</f>
        <v/>
      </c>
      <c r="FJ25" s="88" t="str">
        <f aca="false">IF($B25=FJ$12,$O25,"")</f>
        <v/>
      </c>
      <c r="FK25" s="88" t="str">
        <f aca="false">IF($B25=FK$12,$O25,"")</f>
        <v/>
      </c>
      <c r="FL25" s="88" t="str">
        <f aca="false">IF($B25=FL$12,$O25,"")</f>
        <v/>
      </c>
      <c r="FM25" s="88" t="str">
        <f aca="false">IF($B25=FM$12,$O25,"")</f>
        <v/>
      </c>
      <c r="FN25" s="88" t="str">
        <f aca="false">IF($B25=FN$12,$O25,"")</f>
        <v/>
      </c>
      <c r="FO25" s="88" t="str">
        <f aca="false">IF($B25=FO$12,$O25,"")</f>
        <v/>
      </c>
      <c r="FP25" s="88" t="str">
        <f aca="false">IF($B25=FP$12,$O25,"")</f>
        <v/>
      </c>
      <c r="FQ25" s="88" t="str">
        <f aca="false">IF($B25=FQ$12,$O25,"")</f>
        <v/>
      </c>
      <c r="FR25" s="88" t="str">
        <f aca="false">IF($B25=FR$12,$O25,"")</f>
        <v/>
      </c>
      <c r="FS25" s="88" t="str">
        <f aca="false">IF($B25=FS$12,$O25,"")</f>
        <v/>
      </c>
      <c r="FT25" s="88" t="str">
        <f aca="false">IF($B25=FT$12,$O25,"")</f>
        <v/>
      </c>
      <c r="FU25" s="88" t="str">
        <f aca="false">IF($B25=FU$12,$O25,"")</f>
        <v/>
      </c>
      <c r="FV25" s="88" t="str">
        <f aca="false">IF($B25=FV$12,$O25,"")</f>
        <v/>
      </c>
      <c r="FW25" s="88" t="str">
        <f aca="false">IF($B25=FW$12,$O25,"")</f>
        <v/>
      </c>
      <c r="FX25" s="88" t="str">
        <f aca="false">IF($B25=FX$12,$O25,"")</f>
        <v/>
      </c>
      <c r="FY25" s="88" t="str">
        <f aca="false">IF($B25=FY$12,$O25,"")</f>
        <v/>
      </c>
      <c r="FZ25" s="88" t="str">
        <f aca="false">IF($B25=FZ$12,$O25,"")</f>
        <v/>
      </c>
      <c r="GA25" s="88" t="str">
        <f aca="false">IF($B25=GA$12,$O25,"")</f>
        <v/>
      </c>
      <c r="GB25" s="88" t="str">
        <f aca="false">IF($B25=GB$12,$O25,"")</f>
        <v/>
      </c>
      <c r="GC25" s="88" t="str">
        <f aca="false">IF($B25=GC$12,$O25,"")</f>
        <v/>
      </c>
      <c r="GD25" s="88" t="str">
        <f aca="false">IF($B25=GD$12,$O25,"")</f>
        <v/>
      </c>
      <c r="GE25" s="88" t="str">
        <f aca="false">IF($B25=GE$12,$O25,"")</f>
        <v/>
      </c>
      <c r="GF25" s="88" t="str">
        <f aca="false">IF($B25=GF$12,$O25,"")</f>
        <v/>
      </c>
      <c r="GG25" s="88" t="str">
        <f aca="false">IF($B25=GG$12,$O25,"")</f>
        <v/>
      </c>
      <c r="GH25" s="88" t="str">
        <f aca="false">IF($B25=GH$12,$O25,"")</f>
        <v/>
      </c>
      <c r="GI25" s="88" t="str">
        <f aca="false">IF($B25=GI$12,$O25,"")</f>
        <v/>
      </c>
      <c r="GJ25" s="88" t="str">
        <f aca="false">IF($B25=GJ$12,$O25,"")</f>
        <v/>
      </c>
      <c r="GK25" s="88" t="str">
        <f aca="false">IF($B25=GK$12,$O25,"")</f>
        <v/>
      </c>
      <c r="GL25" s="88" t="str">
        <f aca="false">IF($B25=GL$12,$O25,"")</f>
        <v/>
      </c>
      <c r="GM25" s="88" t="str">
        <f aca="false">IF($B25=GM$12,$O25,"")</f>
        <v/>
      </c>
      <c r="GN25" s="88" t="str">
        <f aca="false">IF($B25=GN$12,$O25,"")</f>
        <v/>
      </c>
      <c r="GO25" s="88" t="str">
        <f aca="false">IF($B25=GO$12,$O25,"")</f>
        <v/>
      </c>
      <c r="GP25" s="88" t="str">
        <f aca="false">IF($B25=GP$12,$O25,"")</f>
        <v/>
      </c>
      <c r="GQ25" s="88" t="str">
        <f aca="false">IF($B25=GQ$12,$O25,"")</f>
        <v/>
      </c>
      <c r="GR25" s="88" t="str">
        <f aca="false">IF($B25=GR$12,$O25,"")</f>
        <v/>
      </c>
      <c r="GS25" s="88" t="str">
        <f aca="false">IF($B25=GS$12,$O25,"")</f>
        <v/>
      </c>
      <c r="GT25" s="88" t="str">
        <f aca="false">IF($B25=GT$12,$O25,"")</f>
        <v/>
      </c>
      <c r="GU25" s="88" t="str">
        <f aca="false">IF($B25=GU$12,$O25,"")</f>
        <v/>
      </c>
      <c r="GV25" s="88" t="str">
        <f aca="false">IF($B25=GV$12,$O25,"")</f>
        <v/>
      </c>
      <c r="GW25" s="88" t="str">
        <f aca="false">IF($B25=GW$12,$O25,"")</f>
        <v/>
      </c>
      <c r="GX25" s="88" t="str">
        <f aca="false">IF($B25=GX$12,$O25,"")</f>
        <v/>
      </c>
      <c r="GY25" s="88" t="str">
        <f aca="false">IF($B25=GY$12,$O25,"")</f>
        <v/>
      </c>
      <c r="GZ25" s="88" t="str">
        <f aca="false">IF($B25=GZ$12,$O25,"")</f>
        <v/>
      </c>
      <c r="HA25" s="88" t="str">
        <f aca="false">IF($B25=HA$12,$O25,"")</f>
        <v/>
      </c>
      <c r="HB25" s="88" t="str">
        <f aca="false">IF($B25=HB$12,$O25,"")</f>
        <v/>
      </c>
      <c r="HC25" s="88" t="str">
        <f aca="false">IF($B25=HC$12,$O25,"")</f>
        <v/>
      </c>
      <c r="HD25" s="88" t="str">
        <f aca="false">IF($B25=HD$12,$O25,"")</f>
        <v/>
      </c>
      <c r="HE25" s="88" t="str">
        <f aca="false">IF($B25=HE$12,$O25,"")</f>
        <v/>
      </c>
      <c r="HF25" s="88" t="str">
        <f aca="false">IF($B25=HF$12,$O25,"")</f>
        <v/>
      </c>
      <c r="HG25" s="88" t="str">
        <f aca="false">IF($B25=HG$12,$O25,"")</f>
        <v/>
      </c>
      <c r="HH25" s="88" t="str">
        <f aca="false">IF($B25=HH$12,$O25,"")</f>
        <v/>
      </c>
      <c r="HI25" s="88" t="str">
        <f aca="false">IF($B25=HI$12,$O25,"")</f>
        <v/>
      </c>
      <c r="HJ25" s="88" t="str">
        <f aca="false">IF($B25=HJ$12,$O25,"")</f>
        <v/>
      </c>
      <c r="HK25" s="88" t="str">
        <f aca="false">IF($B25=HK$12,$O25,"")</f>
        <v/>
      </c>
      <c r="HL25" s="88" t="str">
        <f aca="false">IF($B25=HL$12,$O25,"")</f>
        <v/>
      </c>
      <c r="HM25" s="88" t="str">
        <f aca="false">IF($B25=HM$12,$O25,"")</f>
        <v/>
      </c>
      <c r="HN25" s="88" t="str">
        <f aca="false">IF($B25=HN$12,$O25,"")</f>
        <v/>
      </c>
      <c r="HO25" s="88" t="str">
        <f aca="false">IF($B25=HO$12,$O25,"")</f>
        <v/>
      </c>
      <c r="HP25" s="88" t="str">
        <f aca="false">IF($B25=HP$12,$O25,"")</f>
        <v/>
      </c>
      <c r="HQ25" s="88" t="str">
        <f aca="false">IF($B25=HQ$12,$O25,"")</f>
        <v/>
      </c>
      <c r="HR25" s="89" t="str">
        <f aca="false">IF($B25=HR$12,$O25,"")</f>
        <v/>
      </c>
    </row>
    <row r="26" customFormat="false" ht="10.5" hidden="false" customHeight="true" outlineLevel="0" collapsed="false">
      <c r="A26" s="73"/>
      <c r="B26" s="74"/>
      <c r="C26" s="75" t="str">
        <f aca="false">IF(A26=0,"",VLOOKUP(A26,[3]CO!$A$3:$F$5311,2,0))</f>
        <v/>
      </c>
      <c r="D26" s="76"/>
      <c r="E26" s="76"/>
      <c r="F26" s="76"/>
      <c r="G26" s="77" t="str">
        <f aca="false">IF(A26=0,"",VLOOKUP(A26,[3]CO!$A$3:$F$5311,3,0))</f>
        <v/>
      </c>
      <c r="H26" s="76"/>
      <c r="I26" s="78"/>
      <c r="J26" s="78"/>
      <c r="K26" s="78"/>
      <c r="L26" s="79"/>
      <c r="M26" s="79" t="str">
        <f aca="false">IF(L26=0,"",PRODUCT(I26:L26))</f>
        <v/>
      </c>
      <c r="N26" s="79" t="str">
        <f aca="false">IF(B26=0,"",IF(H26="M",HLOOKUP(B26,$Y$12:$DT$13,2),IF(A26=0,"",VLOOKUP(A26,[3]CO!$A$3:$F$5311,4,0))))</f>
        <v/>
      </c>
      <c r="O26" s="79" t="str">
        <f aca="false">IF(L26=0,"",PRODUCT(M26:N26))</f>
        <v/>
      </c>
      <c r="P26" s="80"/>
      <c r="Q26" s="81" t="str">
        <f aca="false">IF(P26=0,"",(HLOOKUP(P26,$DW$12:$HR$13,2)))</f>
        <v/>
      </c>
      <c r="R26" s="82" t="str">
        <f aca="false"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RESIDENTE"),VLOOKUP(B26,P$14:Q$131,2),"")*S26)</f>
        <v/>
      </c>
      <c r="S26" s="5"/>
      <c r="T26" s="65" t="str">
        <f aca="false">IF(A26=0,"",VLOOKUP(A26,[3]CO!$A$3:$F$5302,5,0))</f>
        <v/>
      </c>
      <c r="U26" s="55" t="n">
        <f aca="false">IF(T26=1,O26*0.1,)</f>
        <v>0</v>
      </c>
      <c r="V26" s="66"/>
      <c r="W26" s="83"/>
      <c r="X26" s="83"/>
      <c r="Y26" s="84" t="str">
        <f aca="false">IF($B26=Y$12,$U26,"")</f>
        <v/>
      </c>
      <c r="Z26" s="85" t="str">
        <f aca="false">IF($B26=Z$12,$U26,"")</f>
        <v/>
      </c>
      <c r="AA26" s="85" t="str">
        <f aca="false">IF($B26=AA$12,$U26,"")</f>
        <v/>
      </c>
      <c r="AB26" s="85" t="str">
        <f aca="false">IF($B26=AB$12,$U26,"")</f>
        <v/>
      </c>
      <c r="AC26" s="85" t="str">
        <f aca="false">IF($B26=AC$12,$U26,"")</f>
        <v/>
      </c>
      <c r="AD26" s="85" t="str">
        <f aca="false">IF($B26=AD$12,$U26,"")</f>
        <v/>
      </c>
      <c r="AE26" s="85" t="str">
        <f aca="false">IF($B26=AE$12,$U26,"")</f>
        <v/>
      </c>
      <c r="AF26" s="85" t="str">
        <f aca="false">IF($B26=AF$12,$U26,"")</f>
        <v/>
      </c>
      <c r="AG26" s="85" t="str">
        <f aca="false">IF($B26=AG$12,$U26,"")</f>
        <v/>
      </c>
      <c r="AH26" s="85" t="str">
        <f aca="false">IF($B26=AH$12,$U26,"")</f>
        <v/>
      </c>
      <c r="AI26" s="85" t="str">
        <f aca="false">IF($B26=AI$12,$U26,"")</f>
        <v/>
      </c>
      <c r="AJ26" s="85" t="str">
        <f aca="false">IF($B26=AJ$12,$U26,"")</f>
        <v/>
      </c>
      <c r="AK26" s="85" t="str">
        <f aca="false">IF($B26=AK$12,$U26,"")</f>
        <v/>
      </c>
      <c r="AL26" s="85" t="str">
        <f aca="false">IF($B26=AL$12,$U26,"")</f>
        <v/>
      </c>
      <c r="AM26" s="85" t="str">
        <f aca="false">IF($B26=AM$12,$U26,"")</f>
        <v/>
      </c>
      <c r="AN26" s="85" t="str">
        <f aca="false">IF($B26=AN$12,$U26,"")</f>
        <v/>
      </c>
      <c r="AO26" s="85" t="str">
        <f aca="false">IF($B26=AO$12,$U26,"")</f>
        <v/>
      </c>
      <c r="AP26" s="85" t="str">
        <f aca="false">IF($B26=AP$12,$U26,"")</f>
        <v/>
      </c>
      <c r="AQ26" s="85" t="str">
        <f aca="false">IF($B26=AQ$12,$U26,"")</f>
        <v/>
      </c>
      <c r="AR26" s="85" t="str">
        <f aca="false">IF($B26=AR$12,$U26,"")</f>
        <v/>
      </c>
      <c r="AS26" s="85" t="str">
        <f aca="false">IF($B26=AS$12,$U26,"")</f>
        <v/>
      </c>
      <c r="AT26" s="85" t="str">
        <f aca="false">IF($B26=AT$12,$U26,"")</f>
        <v/>
      </c>
      <c r="AU26" s="85" t="str">
        <f aca="false">IF($B26=AU$12,$U26,"")</f>
        <v/>
      </c>
      <c r="AV26" s="85" t="str">
        <f aca="false">IF($B26=AV$12,$U26,"")</f>
        <v/>
      </c>
      <c r="AW26" s="85" t="str">
        <f aca="false">IF($B26=AW$12,$U26,"")</f>
        <v/>
      </c>
      <c r="AX26" s="85" t="str">
        <f aca="false">IF($B26=AX$12,$U26,"")</f>
        <v/>
      </c>
      <c r="AY26" s="85" t="str">
        <f aca="false">IF($B26=AY$12,$U26,"")</f>
        <v/>
      </c>
      <c r="AZ26" s="85" t="str">
        <f aca="false">IF($B26=AZ$12,$U26,"")</f>
        <v/>
      </c>
      <c r="BA26" s="85" t="str">
        <f aca="false">IF($B26=BA$12,$U26,"")</f>
        <v/>
      </c>
      <c r="BB26" s="85" t="str">
        <f aca="false">IF($B26=BB$12,$U26,"")</f>
        <v/>
      </c>
      <c r="BC26" s="85" t="str">
        <f aca="false">IF($B26=BC$12,$U26,"")</f>
        <v/>
      </c>
      <c r="BD26" s="85" t="str">
        <f aca="false">IF($B26=BD$12,$U26,"")</f>
        <v/>
      </c>
      <c r="BE26" s="85" t="str">
        <f aca="false">IF($B26=BE$12,$U26,"")</f>
        <v/>
      </c>
      <c r="BF26" s="85" t="str">
        <f aca="false">IF($B26=BF$12,$U26,"")</f>
        <v/>
      </c>
      <c r="BG26" s="85" t="str">
        <f aca="false">IF($B26=BG$12,$U26,"")</f>
        <v/>
      </c>
      <c r="BH26" s="85" t="str">
        <f aca="false">IF($B26=BH$12,$U26,"")</f>
        <v/>
      </c>
      <c r="BI26" s="85" t="str">
        <f aca="false">IF($B26=BI$12,$U26,"")</f>
        <v/>
      </c>
      <c r="BJ26" s="85" t="str">
        <f aca="false">IF($B26=BJ$12,$U26,"")</f>
        <v/>
      </c>
      <c r="BK26" s="85" t="str">
        <f aca="false">IF($B26=BK$12,$U26,"")</f>
        <v/>
      </c>
      <c r="BL26" s="85" t="str">
        <f aca="false">IF($B26=BL$12,$U26,"")</f>
        <v/>
      </c>
      <c r="BM26" s="85" t="str">
        <f aca="false">IF($B26=BM$12,$U26,"")</f>
        <v/>
      </c>
      <c r="BN26" s="85" t="str">
        <f aca="false">IF($B26=BN$12,$U26,"")</f>
        <v/>
      </c>
      <c r="BO26" s="85" t="str">
        <f aca="false">IF($B26=BO$12,$U26,"")</f>
        <v/>
      </c>
      <c r="BP26" s="85" t="str">
        <f aca="false">IF($B26=BP$12,$U26,"")</f>
        <v/>
      </c>
      <c r="BQ26" s="85" t="str">
        <f aca="false">IF($B26=BQ$12,$U26,"")</f>
        <v/>
      </c>
      <c r="BR26" s="85" t="str">
        <f aca="false">IF($B26=BR$12,$U26,"")</f>
        <v/>
      </c>
      <c r="BS26" s="85" t="str">
        <f aca="false">IF($B26=BS$12,$U26,"")</f>
        <v/>
      </c>
      <c r="BT26" s="85" t="str">
        <f aca="false">IF($B26=BT$12,$U26,"")</f>
        <v/>
      </c>
      <c r="BU26" s="85" t="str">
        <f aca="false">IF($B26=BU$12,$U26,"")</f>
        <v/>
      </c>
      <c r="BV26" s="85" t="str">
        <f aca="false">IF($B26=BV$12,$U26,"")</f>
        <v/>
      </c>
      <c r="BW26" s="85" t="str">
        <f aca="false">IF($B26=BW$12,$U26,"")</f>
        <v/>
      </c>
      <c r="BX26" s="85" t="str">
        <f aca="false">IF($B26=BX$12,$U26,"")</f>
        <v/>
      </c>
      <c r="BY26" s="85" t="str">
        <f aca="false">IF($B26=BY$12,$U26,"")</f>
        <v/>
      </c>
      <c r="BZ26" s="85" t="str">
        <f aca="false">IF($B26=BZ$12,$U26,"")</f>
        <v/>
      </c>
      <c r="CA26" s="85" t="str">
        <f aca="false">IF($B26=CA$12,$U26,"")</f>
        <v/>
      </c>
      <c r="CB26" s="85" t="str">
        <f aca="false">IF($B26=CB$12,$U26,"")</f>
        <v/>
      </c>
      <c r="CC26" s="85" t="str">
        <f aca="false">IF($B26=CC$12,$U26,"")</f>
        <v/>
      </c>
      <c r="CD26" s="85" t="str">
        <f aca="false">IF($B26=CD$12,$U26,"")</f>
        <v/>
      </c>
      <c r="CE26" s="85" t="str">
        <f aca="false">IF($B26=CE$12,$U26,"")</f>
        <v/>
      </c>
      <c r="CF26" s="85" t="str">
        <f aca="false">IF($B26=CF$12,$U26,"")</f>
        <v/>
      </c>
      <c r="CG26" s="85" t="str">
        <f aca="false">IF($B26=CG$12,$U26,"")</f>
        <v/>
      </c>
      <c r="CH26" s="85" t="str">
        <f aca="false">IF($B26=CH$12,$U26,"")</f>
        <v/>
      </c>
      <c r="CI26" s="85" t="str">
        <f aca="false">IF($B26=CI$12,$U26,"")</f>
        <v/>
      </c>
      <c r="CJ26" s="85" t="str">
        <f aca="false">IF($B26=CJ$12,$U26,"")</f>
        <v/>
      </c>
      <c r="CK26" s="85" t="str">
        <f aca="false">IF($B26=CK$12,$U26,"")</f>
        <v/>
      </c>
      <c r="CL26" s="85" t="str">
        <f aca="false">IF($B26=CL$12,$U26,"")</f>
        <v/>
      </c>
      <c r="CM26" s="85" t="str">
        <f aca="false">IF($B26=CM$12,$U26,"")</f>
        <v/>
      </c>
      <c r="CN26" s="85" t="str">
        <f aca="false">IF($B26=CN$12,$U26,"")</f>
        <v/>
      </c>
      <c r="CO26" s="85" t="str">
        <f aca="false">IF($B26=CO$12,$U26,"")</f>
        <v/>
      </c>
      <c r="CP26" s="85" t="str">
        <f aca="false">IF($B26=CP$12,$U26,"")</f>
        <v/>
      </c>
      <c r="CQ26" s="85" t="str">
        <f aca="false">IF($B26=CQ$12,$U26,"")</f>
        <v/>
      </c>
      <c r="CR26" s="85" t="str">
        <f aca="false">IF($B26=CR$12,$U26,"")</f>
        <v/>
      </c>
      <c r="CS26" s="85" t="str">
        <f aca="false">IF($B26=CS$12,$U26,"")</f>
        <v/>
      </c>
      <c r="CT26" s="85" t="str">
        <f aca="false">IF($B26=CT$12,$U26,"")</f>
        <v/>
      </c>
      <c r="CU26" s="85" t="str">
        <f aca="false">IF($B26=CU$12,$U26,"")</f>
        <v/>
      </c>
      <c r="CV26" s="85" t="str">
        <f aca="false">IF($B26=CV$12,$U26,"")</f>
        <v/>
      </c>
      <c r="CW26" s="85" t="str">
        <f aca="false">IF($B26=CW$12,$U26,"")</f>
        <v/>
      </c>
      <c r="CX26" s="85" t="str">
        <f aca="false">IF($B26=CX$12,$U26,"")</f>
        <v/>
      </c>
      <c r="CY26" s="85" t="str">
        <f aca="false">IF($B26=CY$12,$U26,"")</f>
        <v/>
      </c>
      <c r="CZ26" s="85" t="str">
        <f aca="false">IF($B26=CZ$12,$U26,"")</f>
        <v/>
      </c>
      <c r="DA26" s="85" t="str">
        <f aca="false">IF($B26=DA$12,$U26,"")</f>
        <v/>
      </c>
      <c r="DB26" s="85" t="str">
        <f aca="false">IF($B26=DB$12,$U26,"")</f>
        <v/>
      </c>
      <c r="DC26" s="85" t="str">
        <f aca="false">IF($B26=DC$12,$U26,"")</f>
        <v/>
      </c>
      <c r="DD26" s="85" t="str">
        <f aca="false">IF($B26=DD$12,$U26,"")</f>
        <v/>
      </c>
      <c r="DE26" s="85" t="str">
        <f aca="false">IF($B26=DE$12,$U26,"")</f>
        <v/>
      </c>
      <c r="DF26" s="85" t="str">
        <f aca="false">IF($B26=DF$12,$U26,"")</f>
        <v/>
      </c>
      <c r="DG26" s="85" t="str">
        <f aca="false">IF($B26=DG$12,$U26,"")</f>
        <v/>
      </c>
      <c r="DH26" s="85" t="str">
        <f aca="false">IF($B26=DH$12,$U26,"")</f>
        <v/>
      </c>
      <c r="DI26" s="85" t="str">
        <f aca="false">IF($B26=DI$12,$U26,"")</f>
        <v/>
      </c>
      <c r="DJ26" s="85" t="str">
        <f aca="false">IF($B26=DJ$12,$U26,"")</f>
        <v/>
      </c>
      <c r="DK26" s="85" t="str">
        <f aca="false">IF($B26=DK$12,$U26,"")</f>
        <v/>
      </c>
      <c r="DL26" s="85" t="str">
        <f aca="false">IF($B26=DL$12,$U26,"")</f>
        <v/>
      </c>
      <c r="DM26" s="85" t="str">
        <f aca="false">IF($B26=DM$12,$U26,"")</f>
        <v/>
      </c>
      <c r="DN26" s="85" t="str">
        <f aca="false">IF($B26=DN$12,$U26,"")</f>
        <v/>
      </c>
      <c r="DO26" s="85" t="str">
        <f aca="false">IF($B26=DO$12,$U26,"")</f>
        <v/>
      </c>
      <c r="DP26" s="85" t="str">
        <f aca="false">IF($B26=DP$12,$U26,"")</f>
        <v/>
      </c>
      <c r="DQ26" s="85" t="str">
        <f aca="false">IF($B26=DQ$12,$U26,"")</f>
        <v/>
      </c>
      <c r="DR26" s="85" t="str">
        <f aca="false">IF($B26=DR$12,$U26,"")</f>
        <v/>
      </c>
      <c r="DS26" s="85" t="str">
        <f aca="false">IF($B26=DS$12,$U26,"")</f>
        <v/>
      </c>
      <c r="DT26" s="86" t="str">
        <f aca="false">IF($B26=DT$12,$U26,"")</f>
        <v/>
      </c>
      <c r="DU26" s="55"/>
      <c r="DV26" s="83"/>
      <c r="DW26" s="87" t="str">
        <f aca="false">IF($B26=DW$12,$O26,"")</f>
        <v/>
      </c>
      <c r="DX26" s="88" t="str">
        <f aca="false">IF($B26=DX$12,$O26,"")</f>
        <v/>
      </c>
      <c r="DY26" s="88" t="str">
        <f aca="false">IF($B26=DY$12,$O26,"")</f>
        <v/>
      </c>
      <c r="DZ26" s="88" t="str">
        <f aca="false">IF($B26=DZ$12,$O26,"")</f>
        <v/>
      </c>
      <c r="EA26" s="88" t="str">
        <f aca="false">IF($B26=EA$12,$O26,"")</f>
        <v/>
      </c>
      <c r="EB26" s="88" t="str">
        <f aca="false">IF($B26=EB$12,$O26,"")</f>
        <v/>
      </c>
      <c r="EC26" s="88" t="str">
        <f aca="false">IF($B26=EC$12,$O26,"")</f>
        <v/>
      </c>
      <c r="ED26" s="88" t="str">
        <f aca="false">IF($B26=ED$12,$O26,"")</f>
        <v/>
      </c>
      <c r="EE26" s="88" t="str">
        <f aca="false">IF($B26=EE$12,$O26,"")</f>
        <v/>
      </c>
      <c r="EF26" s="88" t="str">
        <f aca="false">IF($B26=EF$12,$O26,"")</f>
        <v/>
      </c>
      <c r="EG26" s="88" t="str">
        <f aca="false">IF($B26=EG$12,$O26,"")</f>
        <v/>
      </c>
      <c r="EH26" s="88" t="str">
        <f aca="false">IF($B26=EH$12,$O26,"")</f>
        <v/>
      </c>
      <c r="EI26" s="88" t="str">
        <f aca="false">IF($B26=EI$12,$O26,"")</f>
        <v/>
      </c>
      <c r="EJ26" s="88" t="str">
        <f aca="false">IF($B26=EJ$12,$O26,"")</f>
        <v/>
      </c>
      <c r="EK26" s="88" t="str">
        <f aca="false">IF($B26=EK$12,$O26,"")</f>
        <v/>
      </c>
      <c r="EL26" s="88" t="str">
        <f aca="false">IF($B26=EL$12,$O26,"")</f>
        <v/>
      </c>
      <c r="EM26" s="88" t="str">
        <f aca="false">IF($B26=EM$12,$O26,"")</f>
        <v/>
      </c>
      <c r="EN26" s="88" t="str">
        <f aca="false">IF($B26=EN$12,$O26,"")</f>
        <v/>
      </c>
      <c r="EO26" s="88" t="str">
        <f aca="false">IF($B26=EO$12,$O26,"")</f>
        <v/>
      </c>
      <c r="EP26" s="88" t="str">
        <f aca="false">IF($B26=EP$12,$O26,"")</f>
        <v/>
      </c>
      <c r="EQ26" s="88" t="str">
        <f aca="false">IF($B26=EQ$12,$O26,"")</f>
        <v/>
      </c>
      <c r="ER26" s="88" t="str">
        <f aca="false">IF($B26=ER$12,$O26,"")</f>
        <v/>
      </c>
      <c r="ES26" s="88" t="str">
        <f aca="false">IF($B26=ES$12,$O26,"")</f>
        <v/>
      </c>
      <c r="ET26" s="88" t="str">
        <f aca="false">IF($B26=ET$12,$O26,"")</f>
        <v/>
      </c>
      <c r="EU26" s="88" t="str">
        <f aca="false">IF($B26=EU$12,$O26,"")</f>
        <v/>
      </c>
      <c r="EV26" s="88" t="str">
        <f aca="false">IF($B26=EV$12,$O26,"")</f>
        <v/>
      </c>
      <c r="EW26" s="88" t="str">
        <f aca="false">IF($B26=EW$12,$O26,"")</f>
        <v/>
      </c>
      <c r="EX26" s="88" t="str">
        <f aca="false">IF($B26=EX$12,$O26,"")</f>
        <v/>
      </c>
      <c r="EY26" s="88" t="str">
        <f aca="false">IF($B26=EY$12,$O26,"")</f>
        <v/>
      </c>
      <c r="EZ26" s="88" t="str">
        <f aca="false">IF($B26=EZ$12,$O26,"")</f>
        <v/>
      </c>
      <c r="FA26" s="88" t="str">
        <f aca="false">IF($B26=FA$12,$O26,"")</f>
        <v/>
      </c>
      <c r="FB26" s="88" t="str">
        <f aca="false">IF($B26=FB$12,$O26,"")</f>
        <v/>
      </c>
      <c r="FC26" s="88" t="str">
        <f aca="false">IF($B26=FC$12,$O26,"")</f>
        <v/>
      </c>
      <c r="FD26" s="88" t="str">
        <f aca="false">IF($B26=FD$12,$O26,"")</f>
        <v/>
      </c>
      <c r="FE26" s="88" t="str">
        <f aca="false">IF($B26=FE$12,$O26,"")</f>
        <v/>
      </c>
      <c r="FF26" s="88" t="str">
        <f aca="false">IF($B26=FF$12,$O26,"")</f>
        <v/>
      </c>
      <c r="FG26" s="88" t="str">
        <f aca="false">IF($B26=FG$12,$O26,"")</f>
        <v/>
      </c>
      <c r="FH26" s="88" t="str">
        <f aca="false">IF($B26=FH$12,$O26,"")</f>
        <v/>
      </c>
      <c r="FI26" s="88" t="str">
        <f aca="false">IF($B26=FI$12,$O26,"")</f>
        <v/>
      </c>
      <c r="FJ26" s="88" t="str">
        <f aca="false">IF($B26=FJ$12,$O26,"")</f>
        <v/>
      </c>
      <c r="FK26" s="88" t="str">
        <f aca="false">IF($B26=FK$12,$O26,"")</f>
        <v/>
      </c>
      <c r="FL26" s="88" t="str">
        <f aca="false">IF($B26=FL$12,$O26,"")</f>
        <v/>
      </c>
      <c r="FM26" s="88" t="str">
        <f aca="false">IF($B26=FM$12,$O26,"")</f>
        <v/>
      </c>
      <c r="FN26" s="88" t="str">
        <f aca="false">IF($B26=FN$12,$O26,"")</f>
        <v/>
      </c>
      <c r="FO26" s="88" t="str">
        <f aca="false">IF($B26=FO$12,$O26,"")</f>
        <v/>
      </c>
      <c r="FP26" s="88" t="str">
        <f aca="false">IF($B26=FP$12,$O26,"")</f>
        <v/>
      </c>
      <c r="FQ26" s="88" t="str">
        <f aca="false">IF($B26=FQ$12,$O26,"")</f>
        <v/>
      </c>
      <c r="FR26" s="88" t="str">
        <f aca="false">IF($B26=FR$12,$O26,"")</f>
        <v/>
      </c>
      <c r="FS26" s="88" t="str">
        <f aca="false">IF($B26=FS$12,$O26,"")</f>
        <v/>
      </c>
      <c r="FT26" s="88" t="str">
        <f aca="false">IF($B26=FT$12,$O26,"")</f>
        <v/>
      </c>
      <c r="FU26" s="88" t="str">
        <f aca="false">IF($B26=FU$12,$O26,"")</f>
        <v/>
      </c>
      <c r="FV26" s="88" t="str">
        <f aca="false">IF($B26=FV$12,$O26,"")</f>
        <v/>
      </c>
      <c r="FW26" s="88" t="str">
        <f aca="false">IF($B26=FW$12,$O26,"")</f>
        <v/>
      </c>
      <c r="FX26" s="88" t="str">
        <f aca="false">IF($B26=FX$12,$O26,"")</f>
        <v/>
      </c>
      <c r="FY26" s="88" t="str">
        <f aca="false">IF($B26=FY$12,$O26,"")</f>
        <v/>
      </c>
      <c r="FZ26" s="88" t="str">
        <f aca="false">IF($B26=FZ$12,$O26,"")</f>
        <v/>
      </c>
      <c r="GA26" s="88" t="str">
        <f aca="false">IF($B26=GA$12,$O26,"")</f>
        <v/>
      </c>
      <c r="GB26" s="88" t="str">
        <f aca="false">IF($B26=GB$12,$O26,"")</f>
        <v/>
      </c>
      <c r="GC26" s="88" t="str">
        <f aca="false">IF($B26=GC$12,$O26,"")</f>
        <v/>
      </c>
      <c r="GD26" s="88" t="str">
        <f aca="false">IF($B26=GD$12,$O26,"")</f>
        <v/>
      </c>
      <c r="GE26" s="88" t="str">
        <f aca="false">IF($B26=GE$12,$O26,"")</f>
        <v/>
      </c>
      <c r="GF26" s="88" t="str">
        <f aca="false">IF($B26=GF$12,$O26,"")</f>
        <v/>
      </c>
      <c r="GG26" s="88" t="str">
        <f aca="false">IF($B26=GG$12,$O26,"")</f>
        <v/>
      </c>
      <c r="GH26" s="88" t="str">
        <f aca="false">IF($B26=GH$12,$O26,"")</f>
        <v/>
      </c>
      <c r="GI26" s="88" t="str">
        <f aca="false">IF($B26=GI$12,$O26,"")</f>
        <v/>
      </c>
      <c r="GJ26" s="88" t="str">
        <f aca="false">IF($B26=GJ$12,$O26,"")</f>
        <v/>
      </c>
      <c r="GK26" s="88" t="str">
        <f aca="false">IF($B26=GK$12,$O26,"")</f>
        <v/>
      </c>
      <c r="GL26" s="88" t="str">
        <f aca="false">IF($B26=GL$12,$O26,"")</f>
        <v/>
      </c>
      <c r="GM26" s="88" t="str">
        <f aca="false">IF($B26=GM$12,$O26,"")</f>
        <v/>
      </c>
      <c r="GN26" s="88" t="str">
        <f aca="false">IF($B26=GN$12,$O26,"")</f>
        <v/>
      </c>
      <c r="GO26" s="88" t="str">
        <f aca="false">IF($B26=GO$12,$O26,"")</f>
        <v/>
      </c>
      <c r="GP26" s="88" t="str">
        <f aca="false">IF($B26=GP$12,$O26,"")</f>
        <v/>
      </c>
      <c r="GQ26" s="88" t="str">
        <f aca="false">IF($B26=GQ$12,$O26,"")</f>
        <v/>
      </c>
      <c r="GR26" s="88" t="str">
        <f aca="false">IF($B26=GR$12,$O26,"")</f>
        <v/>
      </c>
      <c r="GS26" s="88" t="str">
        <f aca="false">IF($B26=GS$12,$O26,"")</f>
        <v/>
      </c>
      <c r="GT26" s="88" t="str">
        <f aca="false">IF($B26=GT$12,$O26,"")</f>
        <v/>
      </c>
      <c r="GU26" s="88" t="str">
        <f aca="false">IF($B26=GU$12,$O26,"")</f>
        <v/>
      </c>
      <c r="GV26" s="88" t="str">
        <f aca="false">IF($B26=GV$12,$O26,"")</f>
        <v/>
      </c>
      <c r="GW26" s="88" t="str">
        <f aca="false">IF($B26=GW$12,$O26,"")</f>
        <v/>
      </c>
      <c r="GX26" s="88" t="str">
        <f aca="false">IF($B26=GX$12,$O26,"")</f>
        <v/>
      </c>
      <c r="GY26" s="88" t="str">
        <f aca="false">IF($B26=GY$12,$O26,"")</f>
        <v/>
      </c>
      <c r="GZ26" s="88" t="str">
        <f aca="false">IF($B26=GZ$12,$O26,"")</f>
        <v/>
      </c>
      <c r="HA26" s="88" t="str">
        <f aca="false">IF($B26=HA$12,$O26,"")</f>
        <v/>
      </c>
      <c r="HB26" s="88" t="str">
        <f aca="false">IF($B26=HB$12,$O26,"")</f>
        <v/>
      </c>
      <c r="HC26" s="88" t="str">
        <f aca="false">IF($B26=HC$12,$O26,"")</f>
        <v/>
      </c>
      <c r="HD26" s="88" t="str">
        <f aca="false">IF($B26=HD$12,$O26,"")</f>
        <v/>
      </c>
      <c r="HE26" s="88" t="str">
        <f aca="false">IF($B26=HE$12,$O26,"")</f>
        <v/>
      </c>
      <c r="HF26" s="88" t="str">
        <f aca="false">IF($B26=HF$12,$O26,"")</f>
        <v/>
      </c>
      <c r="HG26" s="88" t="str">
        <f aca="false">IF($B26=HG$12,$O26,"")</f>
        <v/>
      </c>
      <c r="HH26" s="88" t="str">
        <f aca="false">IF($B26=HH$12,$O26,"")</f>
        <v/>
      </c>
      <c r="HI26" s="88" t="str">
        <f aca="false">IF($B26=HI$12,$O26,"")</f>
        <v/>
      </c>
      <c r="HJ26" s="88" t="str">
        <f aca="false">IF($B26=HJ$12,$O26,"")</f>
        <v/>
      </c>
      <c r="HK26" s="88" t="str">
        <f aca="false">IF($B26=HK$12,$O26,"")</f>
        <v/>
      </c>
      <c r="HL26" s="88" t="str">
        <f aca="false">IF($B26=HL$12,$O26,"")</f>
        <v/>
      </c>
      <c r="HM26" s="88" t="str">
        <f aca="false">IF($B26=HM$12,$O26,"")</f>
        <v/>
      </c>
      <c r="HN26" s="88" t="str">
        <f aca="false">IF($B26=HN$12,$O26,"")</f>
        <v/>
      </c>
      <c r="HO26" s="88" t="str">
        <f aca="false">IF($B26=HO$12,$O26,"")</f>
        <v/>
      </c>
      <c r="HP26" s="88" t="str">
        <f aca="false">IF($B26=HP$12,$O26,"")</f>
        <v/>
      </c>
      <c r="HQ26" s="88" t="str">
        <f aca="false">IF($B26=HQ$12,$O26,"")</f>
        <v/>
      </c>
      <c r="HR26" s="89" t="str">
        <f aca="false">IF($B26=HR$12,$O26,"")</f>
        <v/>
      </c>
    </row>
    <row r="27" customFormat="false" ht="10.5" hidden="false" customHeight="true" outlineLevel="0" collapsed="false">
      <c r="A27" s="73"/>
      <c r="B27" s="74"/>
      <c r="C27" s="75" t="str">
        <f aca="false">IF(A27=0,"",VLOOKUP(A27,[3]CO!$A$3:$F$5311,2,0))</f>
        <v/>
      </c>
      <c r="D27" s="76"/>
      <c r="E27" s="76"/>
      <c r="F27" s="76"/>
      <c r="G27" s="77" t="str">
        <f aca="false">IF(A27=0,"",VLOOKUP(A27,[3]CO!$A$3:$F$5311,3,0))</f>
        <v/>
      </c>
      <c r="H27" s="76"/>
      <c r="I27" s="78"/>
      <c r="J27" s="78"/>
      <c r="K27" s="78"/>
      <c r="L27" s="79"/>
      <c r="M27" s="79" t="str">
        <f aca="false">IF(L27=0,"",PRODUCT(I27:L27))</f>
        <v/>
      </c>
      <c r="N27" s="79" t="str">
        <f aca="false">IF(B27=0,"",IF(H27="M",HLOOKUP(B27,$Y$12:$DT$13,2),IF(A27=0,"",VLOOKUP(A27,[3]CO!$A$3:$F$5311,4,0))))</f>
        <v/>
      </c>
      <c r="O27" s="79" t="str">
        <f aca="false">IF(L27=0,"",PRODUCT(M27:N27))</f>
        <v/>
      </c>
      <c r="P27" s="80"/>
      <c r="Q27" s="81" t="str">
        <f aca="false">IF(P27=0,"",(HLOOKUP(P27,$DW$12:$HR$13,2)))</f>
        <v/>
      </c>
      <c r="R27" s="82" t="str">
        <f aca="false"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RESIDENTE"),VLOOKUP(B27,P$14:Q$131,2),"")*S27)</f>
        <v/>
      </c>
      <c r="S27" s="5"/>
      <c r="T27" s="65" t="str">
        <f aca="false">IF(A27=0,"",VLOOKUP(A27,[3]CO!$A$3:$F$5302,5,0))</f>
        <v/>
      </c>
      <c r="U27" s="55" t="n">
        <f aca="false">IF(T27=1,O27*0.1,)</f>
        <v>0</v>
      </c>
      <c r="V27" s="66"/>
      <c r="W27" s="83"/>
      <c r="X27" s="83"/>
      <c r="Y27" s="84" t="str">
        <f aca="false">IF($B27=Y$12,$U27,"")</f>
        <v/>
      </c>
      <c r="Z27" s="85" t="str">
        <f aca="false">IF($B27=Z$12,$U27,"")</f>
        <v/>
      </c>
      <c r="AA27" s="85" t="str">
        <f aca="false">IF($B27=AA$12,$U27,"")</f>
        <v/>
      </c>
      <c r="AB27" s="85" t="str">
        <f aca="false">IF($B27=AB$12,$U27,"")</f>
        <v/>
      </c>
      <c r="AC27" s="85" t="str">
        <f aca="false">IF($B27=AC$12,$U27,"")</f>
        <v/>
      </c>
      <c r="AD27" s="85" t="str">
        <f aca="false">IF($B27=AD$12,$U27,"")</f>
        <v/>
      </c>
      <c r="AE27" s="85" t="str">
        <f aca="false">IF($B27=AE$12,$U27,"")</f>
        <v/>
      </c>
      <c r="AF27" s="85" t="str">
        <f aca="false">IF($B27=AF$12,$U27,"")</f>
        <v/>
      </c>
      <c r="AG27" s="85" t="str">
        <f aca="false">IF($B27=AG$12,$U27,"")</f>
        <v/>
      </c>
      <c r="AH27" s="85" t="str">
        <f aca="false">IF($B27=AH$12,$U27,"")</f>
        <v/>
      </c>
      <c r="AI27" s="85" t="str">
        <f aca="false">IF($B27=AI$12,$U27,"")</f>
        <v/>
      </c>
      <c r="AJ27" s="85" t="str">
        <f aca="false">IF($B27=AJ$12,$U27,"")</f>
        <v/>
      </c>
      <c r="AK27" s="85" t="str">
        <f aca="false">IF($B27=AK$12,$U27,"")</f>
        <v/>
      </c>
      <c r="AL27" s="85" t="str">
        <f aca="false">IF($B27=AL$12,$U27,"")</f>
        <v/>
      </c>
      <c r="AM27" s="85" t="str">
        <f aca="false">IF($B27=AM$12,$U27,"")</f>
        <v/>
      </c>
      <c r="AN27" s="85" t="str">
        <f aca="false">IF($B27=AN$12,$U27,"")</f>
        <v/>
      </c>
      <c r="AO27" s="85" t="str">
        <f aca="false">IF($B27=AO$12,$U27,"")</f>
        <v/>
      </c>
      <c r="AP27" s="85" t="str">
        <f aca="false">IF($B27=AP$12,$U27,"")</f>
        <v/>
      </c>
      <c r="AQ27" s="85" t="str">
        <f aca="false">IF($B27=AQ$12,$U27,"")</f>
        <v/>
      </c>
      <c r="AR27" s="85" t="str">
        <f aca="false">IF($B27=AR$12,$U27,"")</f>
        <v/>
      </c>
      <c r="AS27" s="85" t="str">
        <f aca="false">IF($B27=AS$12,$U27,"")</f>
        <v/>
      </c>
      <c r="AT27" s="85" t="str">
        <f aca="false">IF($B27=AT$12,$U27,"")</f>
        <v/>
      </c>
      <c r="AU27" s="85" t="str">
        <f aca="false">IF($B27=AU$12,$U27,"")</f>
        <v/>
      </c>
      <c r="AV27" s="85" t="str">
        <f aca="false">IF($B27=AV$12,$U27,"")</f>
        <v/>
      </c>
      <c r="AW27" s="85" t="str">
        <f aca="false">IF($B27=AW$12,$U27,"")</f>
        <v/>
      </c>
      <c r="AX27" s="85" t="str">
        <f aca="false">IF($B27=AX$12,$U27,"")</f>
        <v/>
      </c>
      <c r="AY27" s="85" t="str">
        <f aca="false">IF($B27=AY$12,$U27,"")</f>
        <v/>
      </c>
      <c r="AZ27" s="85" t="str">
        <f aca="false">IF($B27=AZ$12,$U27,"")</f>
        <v/>
      </c>
      <c r="BA27" s="85" t="str">
        <f aca="false">IF($B27=BA$12,$U27,"")</f>
        <v/>
      </c>
      <c r="BB27" s="85" t="str">
        <f aca="false">IF($B27=BB$12,$U27,"")</f>
        <v/>
      </c>
      <c r="BC27" s="85" t="str">
        <f aca="false">IF($B27=BC$12,$U27,"")</f>
        <v/>
      </c>
      <c r="BD27" s="85" t="str">
        <f aca="false">IF($B27=BD$12,$U27,"")</f>
        <v/>
      </c>
      <c r="BE27" s="85" t="str">
        <f aca="false">IF($B27=BE$12,$U27,"")</f>
        <v/>
      </c>
      <c r="BF27" s="85" t="str">
        <f aca="false">IF($B27=BF$12,$U27,"")</f>
        <v/>
      </c>
      <c r="BG27" s="85" t="str">
        <f aca="false">IF($B27=BG$12,$U27,"")</f>
        <v/>
      </c>
      <c r="BH27" s="85" t="str">
        <f aca="false">IF($B27=BH$12,$U27,"")</f>
        <v/>
      </c>
      <c r="BI27" s="85" t="str">
        <f aca="false">IF($B27=BI$12,$U27,"")</f>
        <v/>
      </c>
      <c r="BJ27" s="85" t="str">
        <f aca="false">IF($B27=BJ$12,$U27,"")</f>
        <v/>
      </c>
      <c r="BK27" s="85" t="str">
        <f aca="false">IF($B27=BK$12,$U27,"")</f>
        <v/>
      </c>
      <c r="BL27" s="85" t="str">
        <f aca="false">IF($B27=BL$12,$U27,"")</f>
        <v/>
      </c>
      <c r="BM27" s="85" t="str">
        <f aca="false">IF($B27=BM$12,$U27,"")</f>
        <v/>
      </c>
      <c r="BN27" s="85" t="str">
        <f aca="false">IF($B27=BN$12,$U27,"")</f>
        <v/>
      </c>
      <c r="BO27" s="85" t="str">
        <f aca="false">IF($B27=BO$12,$U27,"")</f>
        <v/>
      </c>
      <c r="BP27" s="85" t="str">
        <f aca="false">IF($B27=BP$12,$U27,"")</f>
        <v/>
      </c>
      <c r="BQ27" s="85" t="str">
        <f aca="false">IF($B27=BQ$12,$U27,"")</f>
        <v/>
      </c>
      <c r="BR27" s="85" t="str">
        <f aca="false">IF($B27=BR$12,$U27,"")</f>
        <v/>
      </c>
      <c r="BS27" s="85" t="str">
        <f aca="false">IF($B27=BS$12,$U27,"")</f>
        <v/>
      </c>
      <c r="BT27" s="85" t="str">
        <f aca="false">IF($B27=BT$12,$U27,"")</f>
        <v/>
      </c>
      <c r="BU27" s="85" t="str">
        <f aca="false">IF($B27=BU$12,$U27,"")</f>
        <v/>
      </c>
      <c r="BV27" s="85" t="str">
        <f aca="false">IF($B27=BV$12,$U27,"")</f>
        <v/>
      </c>
      <c r="BW27" s="85" t="str">
        <f aca="false">IF($B27=BW$12,$U27,"")</f>
        <v/>
      </c>
      <c r="BX27" s="85" t="str">
        <f aca="false">IF($B27=BX$12,$U27,"")</f>
        <v/>
      </c>
      <c r="BY27" s="85" t="str">
        <f aca="false">IF($B27=BY$12,$U27,"")</f>
        <v/>
      </c>
      <c r="BZ27" s="85" t="str">
        <f aca="false">IF($B27=BZ$12,$U27,"")</f>
        <v/>
      </c>
      <c r="CA27" s="85" t="str">
        <f aca="false">IF($B27=CA$12,$U27,"")</f>
        <v/>
      </c>
      <c r="CB27" s="85" t="str">
        <f aca="false">IF($B27=CB$12,$U27,"")</f>
        <v/>
      </c>
      <c r="CC27" s="85" t="str">
        <f aca="false">IF($B27=CC$12,$U27,"")</f>
        <v/>
      </c>
      <c r="CD27" s="85" t="str">
        <f aca="false">IF($B27=CD$12,$U27,"")</f>
        <v/>
      </c>
      <c r="CE27" s="85" t="str">
        <f aca="false">IF($B27=CE$12,$U27,"")</f>
        <v/>
      </c>
      <c r="CF27" s="85" t="str">
        <f aca="false">IF($B27=CF$12,$U27,"")</f>
        <v/>
      </c>
      <c r="CG27" s="85" t="str">
        <f aca="false">IF($B27=CG$12,$U27,"")</f>
        <v/>
      </c>
      <c r="CH27" s="85" t="str">
        <f aca="false">IF($B27=CH$12,$U27,"")</f>
        <v/>
      </c>
      <c r="CI27" s="85" t="str">
        <f aca="false">IF($B27=CI$12,$U27,"")</f>
        <v/>
      </c>
      <c r="CJ27" s="85" t="str">
        <f aca="false">IF($B27=CJ$12,$U27,"")</f>
        <v/>
      </c>
      <c r="CK27" s="85" t="str">
        <f aca="false">IF($B27=CK$12,$U27,"")</f>
        <v/>
      </c>
      <c r="CL27" s="85" t="str">
        <f aca="false">IF($B27=CL$12,$U27,"")</f>
        <v/>
      </c>
      <c r="CM27" s="85" t="str">
        <f aca="false">IF($B27=CM$12,$U27,"")</f>
        <v/>
      </c>
      <c r="CN27" s="85" t="str">
        <f aca="false">IF($B27=CN$12,$U27,"")</f>
        <v/>
      </c>
      <c r="CO27" s="85" t="str">
        <f aca="false">IF($B27=CO$12,$U27,"")</f>
        <v/>
      </c>
      <c r="CP27" s="85" t="str">
        <f aca="false">IF($B27=CP$12,$U27,"")</f>
        <v/>
      </c>
      <c r="CQ27" s="85" t="str">
        <f aca="false">IF($B27=CQ$12,$U27,"")</f>
        <v/>
      </c>
      <c r="CR27" s="85" t="str">
        <f aca="false">IF($B27=CR$12,$U27,"")</f>
        <v/>
      </c>
      <c r="CS27" s="85" t="str">
        <f aca="false">IF($B27=CS$12,$U27,"")</f>
        <v/>
      </c>
      <c r="CT27" s="85" t="str">
        <f aca="false">IF($B27=CT$12,$U27,"")</f>
        <v/>
      </c>
      <c r="CU27" s="85" t="str">
        <f aca="false">IF($B27=CU$12,$U27,"")</f>
        <v/>
      </c>
      <c r="CV27" s="85" t="str">
        <f aca="false">IF($B27=CV$12,$U27,"")</f>
        <v/>
      </c>
      <c r="CW27" s="85" t="str">
        <f aca="false">IF($B27=CW$12,$U27,"")</f>
        <v/>
      </c>
      <c r="CX27" s="85" t="str">
        <f aca="false">IF($B27=CX$12,$U27,"")</f>
        <v/>
      </c>
      <c r="CY27" s="85" t="str">
        <f aca="false">IF($B27=CY$12,$U27,"")</f>
        <v/>
      </c>
      <c r="CZ27" s="85" t="str">
        <f aca="false">IF($B27=CZ$12,$U27,"")</f>
        <v/>
      </c>
      <c r="DA27" s="85" t="str">
        <f aca="false">IF($B27=DA$12,$U27,"")</f>
        <v/>
      </c>
      <c r="DB27" s="85" t="str">
        <f aca="false">IF($B27=DB$12,$U27,"")</f>
        <v/>
      </c>
      <c r="DC27" s="85" t="str">
        <f aca="false">IF($B27=DC$12,$U27,"")</f>
        <v/>
      </c>
      <c r="DD27" s="85" t="str">
        <f aca="false">IF($B27=DD$12,$U27,"")</f>
        <v/>
      </c>
      <c r="DE27" s="85" t="str">
        <f aca="false">IF($B27=DE$12,$U27,"")</f>
        <v/>
      </c>
      <c r="DF27" s="85" t="str">
        <f aca="false">IF($B27=DF$12,$U27,"")</f>
        <v/>
      </c>
      <c r="DG27" s="85" t="str">
        <f aca="false">IF($B27=DG$12,$U27,"")</f>
        <v/>
      </c>
      <c r="DH27" s="85" t="str">
        <f aca="false">IF($B27=DH$12,$U27,"")</f>
        <v/>
      </c>
      <c r="DI27" s="85" t="str">
        <f aca="false">IF($B27=DI$12,$U27,"")</f>
        <v/>
      </c>
      <c r="DJ27" s="85" t="str">
        <f aca="false">IF($B27=DJ$12,$U27,"")</f>
        <v/>
      </c>
      <c r="DK27" s="85" t="str">
        <f aca="false">IF($B27=DK$12,$U27,"")</f>
        <v/>
      </c>
      <c r="DL27" s="85" t="str">
        <f aca="false">IF($B27=DL$12,$U27,"")</f>
        <v/>
      </c>
      <c r="DM27" s="85" t="str">
        <f aca="false">IF($B27=DM$12,$U27,"")</f>
        <v/>
      </c>
      <c r="DN27" s="85" t="str">
        <f aca="false">IF($B27=DN$12,$U27,"")</f>
        <v/>
      </c>
      <c r="DO27" s="85" t="str">
        <f aca="false">IF($B27=DO$12,$U27,"")</f>
        <v/>
      </c>
      <c r="DP27" s="85" t="str">
        <f aca="false">IF($B27=DP$12,$U27,"")</f>
        <v/>
      </c>
      <c r="DQ27" s="85" t="str">
        <f aca="false">IF($B27=DQ$12,$U27,"")</f>
        <v/>
      </c>
      <c r="DR27" s="85" t="str">
        <f aca="false">IF($B27=DR$12,$U27,"")</f>
        <v/>
      </c>
      <c r="DS27" s="85" t="str">
        <f aca="false">IF($B27=DS$12,$U27,"")</f>
        <v/>
      </c>
      <c r="DT27" s="86" t="str">
        <f aca="false">IF($B27=DT$12,$U27,"")</f>
        <v/>
      </c>
      <c r="DU27" s="55"/>
      <c r="DV27" s="83"/>
      <c r="DW27" s="87" t="str">
        <f aca="false">IF($B27=DW$12,$O27,"")</f>
        <v/>
      </c>
      <c r="DX27" s="88" t="str">
        <f aca="false">IF($B27=DX$12,$O27,"")</f>
        <v/>
      </c>
      <c r="DY27" s="88" t="str">
        <f aca="false">IF($B27=DY$12,$O27,"")</f>
        <v/>
      </c>
      <c r="DZ27" s="88" t="str">
        <f aca="false">IF($B27=DZ$12,$O27,"")</f>
        <v/>
      </c>
      <c r="EA27" s="88" t="str">
        <f aca="false">IF($B27=EA$12,$O27,"")</f>
        <v/>
      </c>
      <c r="EB27" s="88" t="str">
        <f aca="false">IF($B27=EB$12,$O27,"")</f>
        <v/>
      </c>
      <c r="EC27" s="88" t="str">
        <f aca="false">IF($B27=EC$12,$O27,"")</f>
        <v/>
      </c>
      <c r="ED27" s="88" t="str">
        <f aca="false">IF($B27=ED$12,$O27,"")</f>
        <v/>
      </c>
      <c r="EE27" s="88" t="str">
        <f aca="false">IF($B27=EE$12,$O27,"")</f>
        <v/>
      </c>
      <c r="EF27" s="88" t="str">
        <f aca="false">IF($B27=EF$12,$O27,"")</f>
        <v/>
      </c>
      <c r="EG27" s="88" t="str">
        <f aca="false">IF($B27=EG$12,$O27,"")</f>
        <v/>
      </c>
      <c r="EH27" s="88" t="str">
        <f aca="false">IF($B27=EH$12,$O27,"")</f>
        <v/>
      </c>
      <c r="EI27" s="88" t="str">
        <f aca="false">IF($B27=EI$12,$O27,"")</f>
        <v/>
      </c>
      <c r="EJ27" s="88" t="str">
        <f aca="false">IF($B27=EJ$12,$O27,"")</f>
        <v/>
      </c>
      <c r="EK27" s="88" t="str">
        <f aca="false">IF($B27=EK$12,$O27,"")</f>
        <v/>
      </c>
      <c r="EL27" s="88" t="str">
        <f aca="false">IF($B27=EL$12,$O27,"")</f>
        <v/>
      </c>
      <c r="EM27" s="88" t="str">
        <f aca="false">IF($B27=EM$12,$O27,"")</f>
        <v/>
      </c>
      <c r="EN27" s="88" t="str">
        <f aca="false">IF($B27=EN$12,$O27,"")</f>
        <v/>
      </c>
      <c r="EO27" s="88" t="str">
        <f aca="false">IF($B27=EO$12,$O27,"")</f>
        <v/>
      </c>
      <c r="EP27" s="88" t="str">
        <f aca="false">IF($B27=EP$12,$O27,"")</f>
        <v/>
      </c>
      <c r="EQ27" s="88" t="str">
        <f aca="false">IF($B27=EQ$12,$O27,"")</f>
        <v/>
      </c>
      <c r="ER27" s="88" t="str">
        <f aca="false">IF($B27=ER$12,$O27,"")</f>
        <v/>
      </c>
      <c r="ES27" s="88" t="str">
        <f aca="false">IF($B27=ES$12,$O27,"")</f>
        <v/>
      </c>
      <c r="ET27" s="88" t="str">
        <f aca="false">IF($B27=ET$12,$O27,"")</f>
        <v/>
      </c>
      <c r="EU27" s="88" t="str">
        <f aca="false">IF($B27=EU$12,$O27,"")</f>
        <v/>
      </c>
      <c r="EV27" s="88" t="str">
        <f aca="false">IF($B27=EV$12,$O27,"")</f>
        <v/>
      </c>
      <c r="EW27" s="88" t="str">
        <f aca="false">IF($B27=EW$12,$O27,"")</f>
        <v/>
      </c>
      <c r="EX27" s="88" t="str">
        <f aca="false">IF($B27=EX$12,$O27,"")</f>
        <v/>
      </c>
      <c r="EY27" s="88" t="str">
        <f aca="false">IF($B27=EY$12,$O27,"")</f>
        <v/>
      </c>
      <c r="EZ27" s="88" t="str">
        <f aca="false">IF($B27=EZ$12,$O27,"")</f>
        <v/>
      </c>
      <c r="FA27" s="88" t="str">
        <f aca="false">IF($B27=FA$12,$O27,"")</f>
        <v/>
      </c>
      <c r="FB27" s="88" t="str">
        <f aca="false">IF($B27=FB$12,$O27,"")</f>
        <v/>
      </c>
      <c r="FC27" s="88" t="str">
        <f aca="false">IF($B27=FC$12,$O27,"")</f>
        <v/>
      </c>
      <c r="FD27" s="88" t="str">
        <f aca="false">IF($B27=FD$12,$O27,"")</f>
        <v/>
      </c>
      <c r="FE27" s="88" t="str">
        <f aca="false">IF($B27=FE$12,$O27,"")</f>
        <v/>
      </c>
      <c r="FF27" s="88" t="str">
        <f aca="false">IF($B27=FF$12,$O27,"")</f>
        <v/>
      </c>
      <c r="FG27" s="88" t="str">
        <f aca="false">IF($B27=FG$12,$O27,"")</f>
        <v/>
      </c>
      <c r="FH27" s="88" t="str">
        <f aca="false">IF($B27=FH$12,$O27,"")</f>
        <v/>
      </c>
      <c r="FI27" s="88" t="str">
        <f aca="false">IF($B27=FI$12,$O27,"")</f>
        <v/>
      </c>
      <c r="FJ27" s="88" t="str">
        <f aca="false">IF($B27=FJ$12,$O27,"")</f>
        <v/>
      </c>
      <c r="FK27" s="88" t="str">
        <f aca="false">IF($B27=FK$12,$O27,"")</f>
        <v/>
      </c>
      <c r="FL27" s="88" t="str">
        <f aca="false">IF($B27=FL$12,$O27,"")</f>
        <v/>
      </c>
      <c r="FM27" s="88" t="str">
        <f aca="false">IF($B27=FM$12,$O27,"")</f>
        <v/>
      </c>
      <c r="FN27" s="88" t="str">
        <f aca="false">IF($B27=FN$12,$O27,"")</f>
        <v/>
      </c>
      <c r="FO27" s="88" t="str">
        <f aca="false">IF($B27=FO$12,$O27,"")</f>
        <v/>
      </c>
      <c r="FP27" s="88" t="str">
        <f aca="false">IF($B27=FP$12,$O27,"")</f>
        <v/>
      </c>
      <c r="FQ27" s="88" t="str">
        <f aca="false">IF($B27=FQ$12,$O27,"")</f>
        <v/>
      </c>
      <c r="FR27" s="88" t="str">
        <f aca="false">IF($B27=FR$12,$O27,"")</f>
        <v/>
      </c>
      <c r="FS27" s="88" t="str">
        <f aca="false">IF($B27=FS$12,$O27,"")</f>
        <v/>
      </c>
      <c r="FT27" s="88" t="str">
        <f aca="false">IF($B27=FT$12,$O27,"")</f>
        <v/>
      </c>
      <c r="FU27" s="88" t="str">
        <f aca="false">IF($B27=FU$12,$O27,"")</f>
        <v/>
      </c>
      <c r="FV27" s="88" t="str">
        <f aca="false">IF($B27=FV$12,$O27,"")</f>
        <v/>
      </c>
      <c r="FW27" s="88" t="str">
        <f aca="false">IF($B27=FW$12,$O27,"")</f>
        <v/>
      </c>
      <c r="FX27" s="88" t="str">
        <f aca="false">IF($B27=FX$12,$O27,"")</f>
        <v/>
      </c>
      <c r="FY27" s="88" t="str">
        <f aca="false">IF($B27=FY$12,$O27,"")</f>
        <v/>
      </c>
      <c r="FZ27" s="88" t="str">
        <f aca="false">IF($B27=FZ$12,$O27,"")</f>
        <v/>
      </c>
      <c r="GA27" s="88" t="str">
        <f aca="false">IF($B27=GA$12,$O27,"")</f>
        <v/>
      </c>
      <c r="GB27" s="88" t="str">
        <f aca="false">IF($B27=GB$12,$O27,"")</f>
        <v/>
      </c>
      <c r="GC27" s="88" t="str">
        <f aca="false">IF($B27=GC$12,$O27,"")</f>
        <v/>
      </c>
      <c r="GD27" s="88" t="str">
        <f aca="false">IF($B27=GD$12,$O27,"")</f>
        <v/>
      </c>
      <c r="GE27" s="88" t="str">
        <f aca="false">IF($B27=GE$12,$O27,"")</f>
        <v/>
      </c>
      <c r="GF27" s="88" t="str">
        <f aca="false">IF($B27=GF$12,$O27,"")</f>
        <v/>
      </c>
      <c r="GG27" s="88" t="str">
        <f aca="false">IF($B27=GG$12,$O27,"")</f>
        <v/>
      </c>
      <c r="GH27" s="88" t="str">
        <f aca="false">IF($B27=GH$12,$O27,"")</f>
        <v/>
      </c>
      <c r="GI27" s="88" t="str">
        <f aca="false">IF($B27=GI$12,$O27,"")</f>
        <v/>
      </c>
      <c r="GJ27" s="88" t="str">
        <f aca="false">IF($B27=GJ$12,$O27,"")</f>
        <v/>
      </c>
      <c r="GK27" s="88" t="str">
        <f aca="false">IF($B27=GK$12,$O27,"")</f>
        <v/>
      </c>
      <c r="GL27" s="88" t="str">
        <f aca="false">IF($B27=GL$12,$O27,"")</f>
        <v/>
      </c>
      <c r="GM27" s="88" t="str">
        <f aca="false">IF($B27=GM$12,$O27,"")</f>
        <v/>
      </c>
      <c r="GN27" s="88" t="str">
        <f aca="false">IF($B27=GN$12,$O27,"")</f>
        <v/>
      </c>
      <c r="GO27" s="88" t="str">
        <f aca="false">IF($B27=GO$12,$O27,"")</f>
        <v/>
      </c>
      <c r="GP27" s="88" t="str">
        <f aca="false">IF($B27=GP$12,$O27,"")</f>
        <v/>
      </c>
      <c r="GQ27" s="88" t="str">
        <f aca="false">IF($B27=GQ$12,$O27,"")</f>
        <v/>
      </c>
      <c r="GR27" s="88" t="str">
        <f aca="false">IF($B27=GR$12,$O27,"")</f>
        <v/>
      </c>
      <c r="GS27" s="88" t="str">
        <f aca="false">IF($B27=GS$12,$O27,"")</f>
        <v/>
      </c>
      <c r="GT27" s="88" t="str">
        <f aca="false">IF($B27=GT$12,$O27,"")</f>
        <v/>
      </c>
      <c r="GU27" s="88" t="str">
        <f aca="false">IF($B27=GU$12,$O27,"")</f>
        <v/>
      </c>
      <c r="GV27" s="88" t="str">
        <f aca="false">IF($B27=GV$12,$O27,"")</f>
        <v/>
      </c>
      <c r="GW27" s="88" t="str">
        <f aca="false">IF($B27=GW$12,$O27,"")</f>
        <v/>
      </c>
      <c r="GX27" s="88" t="str">
        <f aca="false">IF($B27=GX$12,$O27,"")</f>
        <v/>
      </c>
      <c r="GY27" s="88" t="str">
        <f aca="false">IF($B27=GY$12,$O27,"")</f>
        <v/>
      </c>
      <c r="GZ27" s="88" t="str">
        <f aca="false">IF($B27=GZ$12,$O27,"")</f>
        <v/>
      </c>
      <c r="HA27" s="88" t="str">
        <f aca="false">IF($B27=HA$12,$O27,"")</f>
        <v/>
      </c>
      <c r="HB27" s="88" t="str">
        <f aca="false">IF($B27=HB$12,$O27,"")</f>
        <v/>
      </c>
      <c r="HC27" s="88" t="str">
        <f aca="false">IF($B27=HC$12,$O27,"")</f>
        <v/>
      </c>
      <c r="HD27" s="88" t="str">
        <f aca="false">IF($B27=HD$12,$O27,"")</f>
        <v/>
      </c>
      <c r="HE27" s="88" t="str">
        <f aca="false">IF($B27=HE$12,$O27,"")</f>
        <v/>
      </c>
      <c r="HF27" s="88" t="str">
        <f aca="false">IF($B27=HF$12,$O27,"")</f>
        <v/>
      </c>
      <c r="HG27" s="88" t="str">
        <f aca="false">IF($B27=HG$12,$O27,"")</f>
        <v/>
      </c>
      <c r="HH27" s="88" t="str">
        <f aca="false">IF($B27=HH$12,$O27,"")</f>
        <v/>
      </c>
      <c r="HI27" s="88" t="str">
        <f aca="false">IF($B27=HI$12,$O27,"")</f>
        <v/>
      </c>
      <c r="HJ27" s="88" t="str">
        <f aca="false">IF($B27=HJ$12,$O27,"")</f>
        <v/>
      </c>
      <c r="HK27" s="88" t="str">
        <f aca="false">IF($B27=HK$12,$O27,"")</f>
        <v/>
      </c>
      <c r="HL27" s="88" t="str">
        <f aca="false">IF($B27=HL$12,$O27,"")</f>
        <v/>
      </c>
      <c r="HM27" s="88" t="str">
        <f aca="false">IF($B27=HM$12,$O27,"")</f>
        <v/>
      </c>
      <c r="HN27" s="88" t="str">
        <f aca="false">IF($B27=HN$12,$O27,"")</f>
        <v/>
      </c>
      <c r="HO27" s="88" t="str">
        <f aca="false">IF($B27=HO$12,$O27,"")</f>
        <v/>
      </c>
      <c r="HP27" s="88" t="str">
        <f aca="false">IF($B27=HP$12,$O27,"")</f>
        <v/>
      </c>
      <c r="HQ27" s="88" t="str">
        <f aca="false">IF($B27=HQ$12,$O27,"")</f>
        <v/>
      </c>
      <c r="HR27" s="89" t="str">
        <f aca="false">IF($B27=HR$12,$O27,"")</f>
        <v/>
      </c>
    </row>
    <row r="28" customFormat="false" ht="10.5" hidden="false" customHeight="true" outlineLevel="0" collapsed="false">
      <c r="A28" s="73"/>
      <c r="B28" s="74"/>
      <c r="C28" s="75" t="str">
        <f aca="false">IF(A28=0,"",VLOOKUP(A28,[3]CO!$A$3:$F$5311,2,0))</f>
        <v/>
      </c>
      <c r="D28" s="76"/>
      <c r="E28" s="76"/>
      <c r="F28" s="76"/>
      <c r="G28" s="77" t="str">
        <f aca="false">IF(A28=0,"",VLOOKUP(A28,[3]CO!$A$3:$F$5311,3,0))</f>
        <v/>
      </c>
      <c r="H28" s="76"/>
      <c r="I28" s="78"/>
      <c r="J28" s="78"/>
      <c r="K28" s="78"/>
      <c r="L28" s="79"/>
      <c r="M28" s="79" t="str">
        <f aca="false">IF(L28=0,"",PRODUCT(I28:L28))</f>
        <v/>
      </c>
      <c r="N28" s="79" t="str">
        <f aca="false">IF(B28=0,"",IF(H28="M",HLOOKUP(B28,$Y$12:$DT$13,2),IF(A28=0,"",VLOOKUP(A28,[3]CO!$A$3:$F$5311,4,0))))</f>
        <v/>
      </c>
      <c r="O28" s="79" t="str">
        <f aca="false">IF(L28=0,"",PRODUCT(M28:N28))</f>
        <v/>
      </c>
      <c r="P28" s="80"/>
      <c r="Q28" s="81" t="str">
        <f aca="false">IF(P28=0,"",(HLOOKUP(P28,$DW$12:$HR$13,2)))</f>
        <v/>
      </c>
      <c r="R28" s="82" t="str">
        <f aca="false"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RESIDENTE"),VLOOKUP(B28,P$14:Q$131,2),"")*S28)</f>
        <v/>
      </c>
      <c r="S28" s="5"/>
      <c r="T28" s="65" t="str">
        <f aca="false">IF(A28=0,"",VLOOKUP(A28,[3]CO!$A$3:$F$5302,5,0))</f>
        <v/>
      </c>
      <c r="U28" s="55" t="n">
        <f aca="false">IF(T28=1,O28*0.1,)</f>
        <v>0</v>
      </c>
      <c r="V28" s="66"/>
      <c r="W28" s="83"/>
      <c r="X28" s="83"/>
      <c r="Y28" s="84" t="str">
        <f aca="false">IF($B28=Y$12,$U28,"")</f>
        <v/>
      </c>
      <c r="Z28" s="85" t="str">
        <f aca="false">IF($B28=Z$12,$U28,"")</f>
        <v/>
      </c>
      <c r="AA28" s="85" t="str">
        <f aca="false">IF($B28=AA$12,$U28,"")</f>
        <v/>
      </c>
      <c r="AB28" s="85" t="str">
        <f aca="false">IF($B28=AB$12,$U28,"")</f>
        <v/>
      </c>
      <c r="AC28" s="85" t="str">
        <f aca="false">IF($B28=AC$12,$U28,"")</f>
        <v/>
      </c>
      <c r="AD28" s="85" t="str">
        <f aca="false">IF($B28=AD$12,$U28,"")</f>
        <v/>
      </c>
      <c r="AE28" s="85" t="str">
        <f aca="false">IF($B28=AE$12,$U28,"")</f>
        <v/>
      </c>
      <c r="AF28" s="85" t="str">
        <f aca="false">IF($B28=AF$12,$U28,"")</f>
        <v/>
      </c>
      <c r="AG28" s="85" t="str">
        <f aca="false">IF($B28=AG$12,$U28,"")</f>
        <v/>
      </c>
      <c r="AH28" s="85" t="str">
        <f aca="false">IF($B28=AH$12,$U28,"")</f>
        <v/>
      </c>
      <c r="AI28" s="85" t="str">
        <f aca="false">IF($B28=AI$12,$U28,"")</f>
        <v/>
      </c>
      <c r="AJ28" s="85" t="str">
        <f aca="false">IF($B28=AJ$12,$U28,"")</f>
        <v/>
      </c>
      <c r="AK28" s="85" t="str">
        <f aca="false">IF($B28=AK$12,$U28,"")</f>
        <v/>
      </c>
      <c r="AL28" s="85" t="str">
        <f aca="false">IF($B28=AL$12,$U28,"")</f>
        <v/>
      </c>
      <c r="AM28" s="85" t="str">
        <f aca="false">IF($B28=AM$12,$U28,"")</f>
        <v/>
      </c>
      <c r="AN28" s="85" t="str">
        <f aca="false">IF($B28=AN$12,$U28,"")</f>
        <v/>
      </c>
      <c r="AO28" s="85" t="str">
        <f aca="false">IF($B28=AO$12,$U28,"")</f>
        <v/>
      </c>
      <c r="AP28" s="85" t="str">
        <f aca="false">IF($B28=AP$12,$U28,"")</f>
        <v/>
      </c>
      <c r="AQ28" s="85" t="str">
        <f aca="false">IF($B28=AQ$12,$U28,"")</f>
        <v/>
      </c>
      <c r="AR28" s="85" t="str">
        <f aca="false">IF($B28=AR$12,$U28,"")</f>
        <v/>
      </c>
      <c r="AS28" s="85" t="str">
        <f aca="false">IF($B28=AS$12,$U28,"")</f>
        <v/>
      </c>
      <c r="AT28" s="85" t="str">
        <f aca="false">IF($B28=AT$12,$U28,"")</f>
        <v/>
      </c>
      <c r="AU28" s="85" t="str">
        <f aca="false">IF($B28=AU$12,$U28,"")</f>
        <v/>
      </c>
      <c r="AV28" s="85" t="str">
        <f aca="false">IF($B28=AV$12,$U28,"")</f>
        <v/>
      </c>
      <c r="AW28" s="85" t="str">
        <f aca="false">IF($B28=AW$12,$U28,"")</f>
        <v/>
      </c>
      <c r="AX28" s="85" t="str">
        <f aca="false">IF($B28=AX$12,$U28,"")</f>
        <v/>
      </c>
      <c r="AY28" s="85" t="str">
        <f aca="false">IF($B28=AY$12,$U28,"")</f>
        <v/>
      </c>
      <c r="AZ28" s="85" t="str">
        <f aca="false">IF($B28=AZ$12,$U28,"")</f>
        <v/>
      </c>
      <c r="BA28" s="85" t="str">
        <f aca="false">IF($B28=BA$12,$U28,"")</f>
        <v/>
      </c>
      <c r="BB28" s="85" t="str">
        <f aca="false">IF($B28=BB$12,$U28,"")</f>
        <v/>
      </c>
      <c r="BC28" s="85" t="str">
        <f aca="false">IF($B28=BC$12,$U28,"")</f>
        <v/>
      </c>
      <c r="BD28" s="85" t="str">
        <f aca="false">IF($B28=BD$12,$U28,"")</f>
        <v/>
      </c>
      <c r="BE28" s="85" t="str">
        <f aca="false">IF($B28=BE$12,$U28,"")</f>
        <v/>
      </c>
      <c r="BF28" s="85" t="str">
        <f aca="false">IF($B28=BF$12,$U28,"")</f>
        <v/>
      </c>
      <c r="BG28" s="85" t="str">
        <f aca="false">IF($B28=BG$12,$U28,"")</f>
        <v/>
      </c>
      <c r="BH28" s="85" t="str">
        <f aca="false">IF($B28=BH$12,$U28,"")</f>
        <v/>
      </c>
      <c r="BI28" s="85" t="str">
        <f aca="false">IF($B28=BI$12,$U28,"")</f>
        <v/>
      </c>
      <c r="BJ28" s="85" t="str">
        <f aca="false">IF($B28=BJ$12,$U28,"")</f>
        <v/>
      </c>
      <c r="BK28" s="85" t="str">
        <f aca="false">IF($B28=BK$12,$U28,"")</f>
        <v/>
      </c>
      <c r="BL28" s="85" t="str">
        <f aca="false">IF($B28=BL$12,$U28,"")</f>
        <v/>
      </c>
      <c r="BM28" s="85" t="str">
        <f aca="false">IF($B28=BM$12,$U28,"")</f>
        <v/>
      </c>
      <c r="BN28" s="85" t="str">
        <f aca="false">IF($B28=BN$12,$U28,"")</f>
        <v/>
      </c>
      <c r="BO28" s="85" t="str">
        <f aca="false">IF($B28=BO$12,$U28,"")</f>
        <v/>
      </c>
      <c r="BP28" s="85" t="str">
        <f aca="false">IF($B28=BP$12,$U28,"")</f>
        <v/>
      </c>
      <c r="BQ28" s="85" t="str">
        <f aca="false">IF($B28=BQ$12,$U28,"")</f>
        <v/>
      </c>
      <c r="BR28" s="85" t="str">
        <f aca="false">IF($B28=BR$12,$U28,"")</f>
        <v/>
      </c>
      <c r="BS28" s="85" t="str">
        <f aca="false">IF($B28=BS$12,$U28,"")</f>
        <v/>
      </c>
      <c r="BT28" s="85" t="str">
        <f aca="false">IF($B28=BT$12,$U28,"")</f>
        <v/>
      </c>
      <c r="BU28" s="85" t="str">
        <f aca="false">IF($B28=BU$12,$U28,"")</f>
        <v/>
      </c>
      <c r="BV28" s="85" t="str">
        <f aca="false">IF($B28=BV$12,$U28,"")</f>
        <v/>
      </c>
      <c r="BW28" s="85" t="str">
        <f aca="false">IF($B28=BW$12,$U28,"")</f>
        <v/>
      </c>
      <c r="BX28" s="85" t="str">
        <f aca="false">IF($B28=BX$12,$U28,"")</f>
        <v/>
      </c>
      <c r="BY28" s="85" t="str">
        <f aca="false">IF($B28=BY$12,$U28,"")</f>
        <v/>
      </c>
      <c r="BZ28" s="85" t="str">
        <f aca="false">IF($B28=BZ$12,$U28,"")</f>
        <v/>
      </c>
      <c r="CA28" s="85" t="str">
        <f aca="false">IF($B28=CA$12,$U28,"")</f>
        <v/>
      </c>
      <c r="CB28" s="85" t="str">
        <f aca="false">IF($B28=CB$12,$U28,"")</f>
        <v/>
      </c>
      <c r="CC28" s="85" t="str">
        <f aca="false">IF($B28=CC$12,$U28,"")</f>
        <v/>
      </c>
      <c r="CD28" s="85" t="str">
        <f aca="false">IF($B28=CD$12,$U28,"")</f>
        <v/>
      </c>
      <c r="CE28" s="85" t="str">
        <f aca="false">IF($B28=CE$12,$U28,"")</f>
        <v/>
      </c>
      <c r="CF28" s="85" t="str">
        <f aca="false">IF($B28=CF$12,$U28,"")</f>
        <v/>
      </c>
      <c r="CG28" s="85" t="str">
        <f aca="false">IF($B28=CG$12,$U28,"")</f>
        <v/>
      </c>
      <c r="CH28" s="85" t="str">
        <f aca="false">IF($B28=CH$12,$U28,"")</f>
        <v/>
      </c>
      <c r="CI28" s="85" t="str">
        <f aca="false">IF($B28=CI$12,$U28,"")</f>
        <v/>
      </c>
      <c r="CJ28" s="85" t="str">
        <f aca="false">IF($B28=CJ$12,$U28,"")</f>
        <v/>
      </c>
      <c r="CK28" s="85" t="str">
        <f aca="false">IF($B28=CK$12,$U28,"")</f>
        <v/>
      </c>
      <c r="CL28" s="85" t="str">
        <f aca="false">IF($B28=CL$12,$U28,"")</f>
        <v/>
      </c>
      <c r="CM28" s="85" t="str">
        <f aca="false">IF($B28=CM$12,$U28,"")</f>
        <v/>
      </c>
      <c r="CN28" s="85" t="str">
        <f aca="false">IF($B28=CN$12,$U28,"")</f>
        <v/>
      </c>
      <c r="CO28" s="85" t="str">
        <f aca="false">IF($B28=CO$12,$U28,"")</f>
        <v/>
      </c>
      <c r="CP28" s="85" t="str">
        <f aca="false">IF($B28=CP$12,$U28,"")</f>
        <v/>
      </c>
      <c r="CQ28" s="85" t="str">
        <f aca="false">IF($B28=CQ$12,$U28,"")</f>
        <v/>
      </c>
      <c r="CR28" s="85" t="str">
        <f aca="false">IF($B28=CR$12,$U28,"")</f>
        <v/>
      </c>
      <c r="CS28" s="85" t="str">
        <f aca="false">IF($B28=CS$12,$U28,"")</f>
        <v/>
      </c>
      <c r="CT28" s="85" t="str">
        <f aca="false">IF($B28=CT$12,$U28,"")</f>
        <v/>
      </c>
      <c r="CU28" s="85" t="str">
        <f aca="false">IF($B28=CU$12,$U28,"")</f>
        <v/>
      </c>
      <c r="CV28" s="85" t="str">
        <f aca="false">IF($B28=CV$12,$U28,"")</f>
        <v/>
      </c>
      <c r="CW28" s="85" t="str">
        <f aca="false">IF($B28=CW$12,$U28,"")</f>
        <v/>
      </c>
      <c r="CX28" s="85" t="str">
        <f aca="false">IF($B28=CX$12,$U28,"")</f>
        <v/>
      </c>
      <c r="CY28" s="85" t="str">
        <f aca="false">IF($B28=CY$12,$U28,"")</f>
        <v/>
      </c>
      <c r="CZ28" s="85" t="str">
        <f aca="false">IF($B28=CZ$12,$U28,"")</f>
        <v/>
      </c>
      <c r="DA28" s="85" t="str">
        <f aca="false">IF($B28=DA$12,$U28,"")</f>
        <v/>
      </c>
      <c r="DB28" s="85" t="str">
        <f aca="false">IF($B28=DB$12,$U28,"")</f>
        <v/>
      </c>
      <c r="DC28" s="85" t="str">
        <f aca="false">IF($B28=DC$12,$U28,"")</f>
        <v/>
      </c>
      <c r="DD28" s="85" t="str">
        <f aca="false">IF($B28=DD$12,$U28,"")</f>
        <v/>
      </c>
      <c r="DE28" s="85" t="str">
        <f aca="false">IF($B28=DE$12,$U28,"")</f>
        <v/>
      </c>
      <c r="DF28" s="85" t="str">
        <f aca="false">IF($B28=DF$12,$U28,"")</f>
        <v/>
      </c>
      <c r="DG28" s="85" t="str">
        <f aca="false">IF($B28=DG$12,$U28,"")</f>
        <v/>
      </c>
      <c r="DH28" s="85" t="str">
        <f aca="false">IF($B28=DH$12,$U28,"")</f>
        <v/>
      </c>
      <c r="DI28" s="85" t="str">
        <f aca="false">IF($B28=DI$12,$U28,"")</f>
        <v/>
      </c>
      <c r="DJ28" s="85" t="str">
        <f aca="false">IF($B28=DJ$12,$U28,"")</f>
        <v/>
      </c>
      <c r="DK28" s="85" t="str">
        <f aca="false">IF($B28=DK$12,$U28,"")</f>
        <v/>
      </c>
      <c r="DL28" s="85" t="str">
        <f aca="false">IF($B28=DL$12,$U28,"")</f>
        <v/>
      </c>
      <c r="DM28" s="85" t="str">
        <f aca="false">IF($B28=DM$12,$U28,"")</f>
        <v/>
      </c>
      <c r="DN28" s="85" t="str">
        <f aca="false">IF($B28=DN$12,$U28,"")</f>
        <v/>
      </c>
      <c r="DO28" s="85" t="str">
        <f aca="false">IF($B28=DO$12,$U28,"")</f>
        <v/>
      </c>
      <c r="DP28" s="85" t="str">
        <f aca="false">IF($B28=DP$12,$U28,"")</f>
        <v/>
      </c>
      <c r="DQ28" s="85" t="str">
        <f aca="false">IF($B28=DQ$12,$U28,"")</f>
        <v/>
      </c>
      <c r="DR28" s="85" t="str">
        <f aca="false">IF($B28=DR$12,$U28,"")</f>
        <v/>
      </c>
      <c r="DS28" s="85" t="str">
        <f aca="false">IF($B28=DS$12,$U28,"")</f>
        <v/>
      </c>
      <c r="DT28" s="86" t="str">
        <f aca="false">IF($B28=DT$12,$U28,"")</f>
        <v/>
      </c>
      <c r="DU28" s="55"/>
      <c r="DV28" s="83"/>
      <c r="DW28" s="87" t="str">
        <f aca="false">IF($B28=DW$12,$O28,"")</f>
        <v/>
      </c>
      <c r="DX28" s="88" t="str">
        <f aca="false">IF($B28=DX$12,$O28,"")</f>
        <v/>
      </c>
      <c r="DY28" s="88" t="str">
        <f aca="false">IF($B28=DY$12,$O28,"")</f>
        <v/>
      </c>
      <c r="DZ28" s="88" t="str">
        <f aca="false">IF($B28=DZ$12,$O28,"")</f>
        <v/>
      </c>
      <c r="EA28" s="88" t="str">
        <f aca="false">IF($B28=EA$12,$O28,"")</f>
        <v/>
      </c>
      <c r="EB28" s="88" t="str">
        <f aca="false">IF($B28=EB$12,$O28,"")</f>
        <v/>
      </c>
      <c r="EC28" s="88" t="str">
        <f aca="false">IF($B28=EC$12,$O28,"")</f>
        <v/>
      </c>
      <c r="ED28" s="88" t="str">
        <f aca="false">IF($B28=ED$12,$O28,"")</f>
        <v/>
      </c>
      <c r="EE28" s="88" t="str">
        <f aca="false">IF($B28=EE$12,$O28,"")</f>
        <v/>
      </c>
      <c r="EF28" s="88" t="str">
        <f aca="false">IF($B28=EF$12,$O28,"")</f>
        <v/>
      </c>
      <c r="EG28" s="88" t="str">
        <f aca="false">IF($B28=EG$12,$O28,"")</f>
        <v/>
      </c>
      <c r="EH28" s="88" t="str">
        <f aca="false">IF($B28=EH$12,$O28,"")</f>
        <v/>
      </c>
      <c r="EI28" s="88" t="str">
        <f aca="false">IF($B28=EI$12,$O28,"")</f>
        <v/>
      </c>
      <c r="EJ28" s="88" t="str">
        <f aca="false">IF($B28=EJ$12,$O28,"")</f>
        <v/>
      </c>
      <c r="EK28" s="88" t="str">
        <f aca="false">IF($B28=EK$12,$O28,"")</f>
        <v/>
      </c>
      <c r="EL28" s="88" t="str">
        <f aca="false">IF($B28=EL$12,$O28,"")</f>
        <v/>
      </c>
      <c r="EM28" s="88" t="str">
        <f aca="false">IF($B28=EM$12,$O28,"")</f>
        <v/>
      </c>
      <c r="EN28" s="88" t="str">
        <f aca="false">IF($B28=EN$12,$O28,"")</f>
        <v/>
      </c>
      <c r="EO28" s="88" t="str">
        <f aca="false">IF($B28=EO$12,$O28,"")</f>
        <v/>
      </c>
      <c r="EP28" s="88" t="str">
        <f aca="false">IF($B28=EP$12,$O28,"")</f>
        <v/>
      </c>
      <c r="EQ28" s="88" t="str">
        <f aca="false">IF($B28=EQ$12,$O28,"")</f>
        <v/>
      </c>
      <c r="ER28" s="88" t="str">
        <f aca="false">IF($B28=ER$12,$O28,"")</f>
        <v/>
      </c>
      <c r="ES28" s="88" t="str">
        <f aca="false">IF($B28=ES$12,$O28,"")</f>
        <v/>
      </c>
      <c r="ET28" s="88" t="str">
        <f aca="false">IF($B28=ET$12,$O28,"")</f>
        <v/>
      </c>
      <c r="EU28" s="88" t="str">
        <f aca="false">IF($B28=EU$12,$O28,"")</f>
        <v/>
      </c>
      <c r="EV28" s="88" t="str">
        <f aca="false">IF($B28=EV$12,$O28,"")</f>
        <v/>
      </c>
      <c r="EW28" s="88" t="str">
        <f aca="false">IF($B28=EW$12,$O28,"")</f>
        <v/>
      </c>
      <c r="EX28" s="88" t="str">
        <f aca="false">IF($B28=EX$12,$O28,"")</f>
        <v/>
      </c>
      <c r="EY28" s="88" t="str">
        <f aca="false">IF($B28=EY$12,$O28,"")</f>
        <v/>
      </c>
      <c r="EZ28" s="88" t="str">
        <f aca="false">IF($B28=EZ$12,$O28,"")</f>
        <v/>
      </c>
      <c r="FA28" s="88" t="str">
        <f aca="false">IF($B28=FA$12,$O28,"")</f>
        <v/>
      </c>
      <c r="FB28" s="88" t="str">
        <f aca="false">IF($B28=FB$12,$O28,"")</f>
        <v/>
      </c>
      <c r="FC28" s="88" t="str">
        <f aca="false">IF($B28=FC$12,$O28,"")</f>
        <v/>
      </c>
      <c r="FD28" s="88" t="str">
        <f aca="false">IF($B28=FD$12,$O28,"")</f>
        <v/>
      </c>
      <c r="FE28" s="88" t="str">
        <f aca="false">IF($B28=FE$12,$O28,"")</f>
        <v/>
      </c>
      <c r="FF28" s="88" t="str">
        <f aca="false">IF($B28=FF$12,$O28,"")</f>
        <v/>
      </c>
      <c r="FG28" s="88" t="str">
        <f aca="false">IF($B28=FG$12,$O28,"")</f>
        <v/>
      </c>
      <c r="FH28" s="88" t="str">
        <f aca="false">IF($B28=FH$12,$O28,"")</f>
        <v/>
      </c>
      <c r="FI28" s="88" t="str">
        <f aca="false">IF($B28=FI$12,$O28,"")</f>
        <v/>
      </c>
      <c r="FJ28" s="88" t="str">
        <f aca="false">IF($B28=FJ$12,$O28,"")</f>
        <v/>
      </c>
      <c r="FK28" s="88" t="str">
        <f aca="false">IF($B28=FK$12,$O28,"")</f>
        <v/>
      </c>
      <c r="FL28" s="88" t="str">
        <f aca="false">IF($B28=FL$12,$O28,"")</f>
        <v/>
      </c>
      <c r="FM28" s="88" t="str">
        <f aca="false">IF($B28=FM$12,$O28,"")</f>
        <v/>
      </c>
      <c r="FN28" s="88" t="str">
        <f aca="false">IF($B28=FN$12,$O28,"")</f>
        <v/>
      </c>
      <c r="FO28" s="88" t="str">
        <f aca="false">IF($B28=FO$12,$O28,"")</f>
        <v/>
      </c>
      <c r="FP28" s="88" t="str">
        <f aca="false">IF($B28=FP$12,$O28,"")</f>
        <v/>
      </c>
      <c r="FQ28" s="88" t="str">
        <f aca="false">IF($B28=FQ$12,$O28,"")</f>
        <v/>
      </c>
      <c r="FR28" s="88" t="str">
        <f aca="false">IF($B28=FR$12,$O28,"")</f>
        <v/>
      </c>
      <c r="FS28" s="88" t="str">
        <f aca="false">IF($B28=FS$12,$O28,"")</f>
        <v/>
      </c>
      <c r="FT28" s="88" t="str">
        <f aca="false">IF($B28=FT$12,$O28,"")</f>
        <v/>
      </c>
      <c r="FU28" s="88" t="str">
        <f aca="false">IF($B28=FU$12,$O28,"")</f>
        <v/>
      </c>
      <c r="FV28" s="88" t="str">
        <f aca="false">IF($B28=FV$12,$O28,"")</f>
        <v/>
      </c>
      <c r="FW28" s="88" t="str">
        <f aca="false">IF($B28=FW$12,$O28,"")</f>
        <v/>
      </c>
      <c r="FX28" s="88" t="str">
        <f aca="false">IF($B28=FX$12,$O28,"")</f>
        <v/>
      </c>
      <c r="FY28" s="88" t="str">
        <f aca="false">IF($B28=FY$12,$O28,"")</f>
        <v/>
      </c>
      <c r="FZ28" s="88" t="str">
        <f aca="false">IF($B28=FZ$12,$O28,"")</f>
        <v/>
      </c>
      <c r="GA28" s="88" t="str">
        <f aca="false">IF($B28=GA$12,$O28,"")</f>
        <v/>
      </c>
      <c r="GB28" s="88" t="str">
        <f aca="false">IF($B28=GB$12,$O28,"")</f>
        <v/>
      </c>
      <c r="GC28" s="88" t="str">
        <f aca="false">IF($B28=GC$12,$O28,"")</f>
        <v/>
      </c>
      <c r="GD28" s="88" t="str">
        <f aca="false">IF($B28=GD$12,$O28,"")</f>
        <v/>
      </c>
      <c r="GE28" s="88" t="str">
        <f aca="false">IF($B28=GE$12,$O28,"")</f>
        <v/>
      </c>
      <c r="GF28" s="88" t="str">
        <f aca="false">IF($B28=GF$12,$O28,"")</f>
        <v/>
      </c>
      <c r="GG28" s="88" t="str">
        <f aca="false">IF($B28=GG$12,$O28,"")</f>
        <v/>
      </c>
      <c r="GH28" s="88" t="str">
        <f aca="false">IF($B28=GH$12,$O28,"")</f>
        <v/>
      </c>
      <c r="GI28" s="88" t="str">
        <f aca="false">IF($B28=GI$12,$O28,"")</f>
        <v/>
      </c>
      <c r="GJ28" s="88" t="str">
        <f aca="false">IF($B28=GJ$12,$O28,"")</f>
        <v/>
      </c>
      <c r="GK28" s="88" t="str">
        <f aca="false">IF($B28=GK$12,$O28,"")</f>
        <v/>
      </c>
      <c r="GL28" s="88" t="str">
        <f aca="false">IF($B28=GL$12,$O28,"")</f>
        <v/>
      </c>
      <c r="GM28" s="88" t="str">
        <f aca="false">IF($B28=GM$12,$O28,"")</f>
        <v/>
      </c>
      <c r="GN28" s="88" t="str">
        <f aca="false">IF($B28=GN$12,$O28,"")</f>
        <v/>
      </c>
      <c r="GO28" s="88" t="str">
        <f aca="false">IF($B28=GO$12,$O28,"")</f>
        <v/>
      </c>
      <c r="GP28" s="88" t="str">
        <f aca="false">IF($B28=GP$12,$O28,"")</f>
        <v/>
      </c>
      <c r="GQ28" s="88" t="str">
        <f aca="false">IF($B28=GQ$12,$O28,"")</f>
        <v/>
      </c>
      <c r="GR28" s="88" t="str">
        <f aca="false">IF($B28=GR$12,$O28,"")</f>
        <v/>
      </c>
      <c r="GS28" s="88" t="str">
        <f aca="false">IF($B28=GS$12,$O28,"")</f>
        <v/>
      </c>
      <c r="GT28" s="88" t="str">
        <f aca="false">IF($B28=GT$12,$O28,"")</f>
        <v/>
      </c>
      <c r="GU28" s="88" t="str">
        <f aca="false">IF($B28=GU$12,$O28,"")</f>
        <v/>
      </c>
      <c r="GV28" s="88" t="str">
        <f aca="false">IF($B28=GV$12,$O28,"")</f>
        <v/>
      </c>
      <c r="GW28" s="88" t="str">
        <f aca="false">IF($B28=GW$12,$O28,"")</f>
        <v/>
      </c>
      <c r="GX28" s="88" t="str">
        <f aca="false">IF($B28=GX$12,$O28,"")</f>
        <v/>
      </c>
      <c r="GY28" s="88" t="str">
        <f aca="false">IF($B28=GY$12,$O28,"")</f>
        <v/>
      </c>
      <c r="GZ28" s="88" t="str">
        <f aca="false">IF($B28=GZ$12,$O28,"")</f>
        <v/>
      </c>
      <c r="HA28" s="88" t="str">
        <f aca="false">IF($B28=HA$12,$O28,"")</f>
        <v/>
      </c>
      <c r="HB28" s="88" t="str">
        <f aca="false">IF($B28=HB$12,$O28,"")</f>
        <v/>
      </c>
      <c r="HC28" s="88" t="str">
        <f aca="false">IF($B28=HC$12,$O28,"")</f>
        <v/>
      </c>
      <c r="HD28" s="88" t="str">
        <f aca="false">IF($B28=HD$12,$O28,"")</f>
        <v/>
      </c>
      <c r="HE28" s="88" t="str">
        <f aca="false">IF($B28=HE$12,$O28,"")</f>
        <v/>
      </c>
      <c r="HF28" s="88" t="str">
        <f aca="false">IF($B28=HF$12,$O28,"")</f>
        <v/>
      </c>
      <c r="HG28" s="88" t="str">
        <f aca="false">IF($B28=HG$12,$O28,"")</f>
        <v/>
      </c>
      <c r="HH28" s="88" t="str">
        <f aca="false">IF($B28=HH$12,$O28,"")</f>
        <v/>
      </c>
      <c r="HI28" s="88" t="str">
        <f aca="false">IF($B28=HI$12,$O28,"")</f>
        <v/>
      </c>
      <c r="HJ28" s="88" t="str">
        <f aca="false">IF($B28=HJ$12,$O28,"")</f>
        <v/>
      </c>
      <c r="HK28" s="88" t="str">
        <f aca="false">IF($B28=HK$12,$O28,"")</f>
        <v/>
      </c>
      <c r="HL28" s="88" t="str">
        <f aca="false">IF($B28=HL$12,$O28,"")</f>
        <v/>
      </c>
      <c r="HM28" s="88" t="str">
        <f aca="false">IF($B28=HM$12,$O28,"")</f>
        <v/>
      </c>
      <c r="HN28" s="88" t="str">
        <f aca="false">IF($B28=HN$12,$O28,"")</f>
        <v/>
      </c>
      <c r="HO28" s="88" t="str">
        <f aca="false">IF($B28=HO$12,$O28,"")</f>
        <v/>
      </c>
      <c r="HP28" s="88" t="str">
        <f aca="false">IF($B28=HP$12,$O28,"")</f>
        <v/>
      </c>
      <c r="HQ28" s="88" t="str">
        <f aca="false">IF($B28=HQ$12,$O28,"")</f>
        <v/>
      </c>
      <c r="HR28" s="89" t="str">
        <f aca="false">IF($B28=HR$12,$O28,"")</f>
        <v/>
      </c>
    </row>
    <row r="29" customFormat="false" ht="10.5" hidden="false" customHeight="true" outlineLevel="0" collapsed="false">
      <c r="A29" s="73"/>
      <c r="B29" s="74"/>
      <c r="C29" s="75" t="str">
        <f aca="false">IF(A29=0,"",VLOOKUP(A29,[3]CO!$A$3:$F$5311,2,0))</f>
        <v/>
      </c>
      <c r="D29" s="76"/>
      <c r="E29" s="76"/>
      <c r="F29" s="76"/>
      <c r="G29" s="77" t="str">
        <f aca="false">IF(A29=0,"",VLOOKUP(A29,[3]CO!$A$3:$F$5311,3,0))</f>
        <v/>
      </c>
      <c r="H29" s="76"/>
      <c r="I29" s="78"/>
      <c r="J29" s="78"/>
      <c r="K29" s="78"/>
      <c r="L29" s="79"/>
      <c r="M29" s="79" t="str">
        <f aca="false">IF(L29=0,"",PRODUCT(I29:L29))</f>
        <v/>
      </c>
      <c r="N29" s="79" t="str">
        <f aca="false">IF(B29=0,"",IF(H29="M",HLOOKUP(B29,$Y$12:$DT$13,2),IF(A29=0,"",VLOOKUP(A29,[3]CO!$A$3:$F$5311,4,0))))</f>
        <v/>
      </c>
      <c r="O29" s="79" t="str">
        <f aca="false">IF(L29=0,"",PRODUCT(M29:N29))</f>
        <v/>
      </c>
      <c r="P29" s="80"/>
      <c r="Q29" s="81" t="str">
        <f aca="false">IF(P29=0,"",(HLOOKUP(P29,$DW$12:$HR$13,2)))</f>
        <v/>
      </c>
      <c r="R29" s="82" t="str">
        <f aca="false"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RESIDENTE"),VLOOKUP(B29,P$14:Q$131,2),"")*S29)</f>
        <v/>
      </c>
      <c r="S29" s="5"/>
      <c r="T29" s="65" t="str">
        <f aca="false">IF(A29=0,"",VLOOKUP(A29,[3]CO!$A$3:$F$5302,5,0))</f>
        <v/>
      </c>
      <c r="U29" s="55" t="n">
        <f aca="false">IF(T29=1,O29*0.1,)</f>
        <v>0</v>
      </c>
      <c r="V29" s="66"/>
      <c r="W29" s="83"/>
      <c r="X29" s="83"/>
      <c r="Y29" s="84" t="str">
        <f aca="false">IF($B29=Y$12,$U29,"")</f>
        <v/>
      </c>
      <c r="Z29" s="85" t="str">
        <f aca="false">IF($B29=Z$12,$U29,"")</f>
        <v/>
      </c>
      <c r="AA29" s="85" t="str">
        <f aca="false">IF($B29=AA$12,$U29,"")</f>
        <v/>
      </c>
      <c r="AB29" s="85" t="str">
        <f aca="false">IF($B29=AB$12,$U29,"")</f>
        <v/>
      </c>
      <c r="AC29" s="85" t="str">
        <f aca="false">IF($B29=AC$12,$U29,"")</f>
        <v/>
      </c>
      <c r="AD29" s="85" t="str">
        <f aca="false">IF($B29=AD$12,$U29,"")</f>
        <v/>
      </c>
      <c r="AE29" s="85" t="str">
        <f aca="false">IF($B29=AE$12,$U29,"")</f>
        <v/>
      </c>
      <c r="AF29" s="85" t="str">
        <f aca="false">IF($B29=AF$12,$U29,"")</f>
        <v/>
      </c>
      <c r="AG29" s="85" t="str">
        <f aca="false">IF($B29=AG$12,$U29,"")</f>
        <v/>
      </c>
      <c r="AH29" s="85" t="str">
        <f aca="false">IF($B29=AH$12,$U29,"")</f>
        <v/>
      </c>
      <c r="AI29" s="85" t="str">
        <f aca="false">IF($B29=AI$12,$U29,"")</f>
        <v/>
      </c>
      <c r="AJ29" s="85" t="str">
        <f aca="false">IF($B29=AJ$12,$U29,"")</f>
        <v/>
      </c>
      <c r="AK29" s="85" t="str">
        <f aca="false">IF($B29=AK$12,$U29,"")</f>
        <v/>
      </c>
      <c r="AL29" s="85" t="str">
        <f aca="false">IF($B29=AL$12,$U29,"")</f>
        <v/>
      </c>
      <c r="AM29" s="85" t="str">
        <f aca="false">IF($B29=AM$12,$U29,"")</f>
        <v/>
      </c>
      <c r="AN29" s="85" t="str">
        <f aca="false">IF($B29=AN$12,$U29,"")</f>
        <v/>
      </c>
      <c r="AO29" s="85" t="str">
        <f aca="false">IF($B29=AO$12,$U29,"")</f>
        <v/>
      </c>
      <c r="AP29" s="85" t="str">
        <f aca="false">IF($B29=AP$12,$U29,"")</f>
        <v/>
      </c>
      <c r="AQ29" s="85" t="str">
        <f aca="false">IF($B29=AQ$12,$U29,"")</f>
        <v/>
      </c>
      <c r="AR29" s="85" t="str">
        <f aca="false">IF($B29=AR$12,$U29,"")</f>
        <v/>
      </c>
      <c r="AS29" s="85" t="str">
        <f aca="false">IF($B29=AS$12,$U29,"")</f>
        <v/>
      </c>
      <c r="AT29" s="85" t="str">
        <f aca="false">IF($B29=AT$12,$U29,"")</f>
        <v/>
      </c>
      <c r="AU29" s="85" t="str">
        <f aca="false">IF($B29=AU$12,$U29,"")</f>
        <v/>
      </c>
      <c r="AV29" s="85" t="str">
        <f aca="false">IF($B29=AV$12,$U29,"")</f>
        <v/>
      </c>
      <c r="AW29" s="85" t="str">
        <f aca="false">IF($B29=AW$12,$U29,"")</f>
        <v/>
      </c>
      <c r="AX29" s="85" t="str">
        <f aca="false">IF($B29=AX$12,$U29,"")</f>
        <v/>
      </c>
      <c r="AY29" s="85" t="str">
        <f aca="false">IF($B29=AY$12,$U29,"")</f>
        <v/>
      </c>
      <c r="AZ29" s="85" t="str">
        <f aca="false">IF($B29=AZ$12,$U29,"")</f>
        <v/>
      </c>
      <c r="BA29" s="85" t="str">
        <f aca="false">IF($B29=BA$12,$U29,"")</f>
        <v/>
      </c>
      <c r="BB29" s="85" t="str">
        <f aca="false">IF($B29=BB$12,$U29,"")</f>
        <v/>
      </c>
      <c r="BC29" s="85" t="str">
        <f aca="false">IF($B29=BC$12,$U29,"")</f>
        <v/>
      </c>
      <c r="BD29" s="85" t="str">
        <f aca="false">IF($B29=BD$12,$U29,"")</f>
        <v/>
      </c>
      <c r="BE29" s="85" t="str">
        <f aca="false">IF($B29=BE$12,$U29,"")</f>
        <v/>
      </c>
      <c r="BF29" s="85" t="str">
        <f aca="false">IF($B29=BF$12,$U29,"")</f>
        <v/>
      </c>
      <c r="BG29" s="85" t="str">
        <f aca="false">IF($B29=BG$12,$U29,"")</f>
        <v/>
      </c>
      <c r="BH29" s="85" t="str">
        <f aca="false">IF($B29=BH$12,$U29,"")</f>
        <v/>
      </c>
      <c r="BI29" s="85" t="str">
        <f aca="false">IF($B29=BI$12,$U29,"")</f>
        <v/>
      </c>
      <c r="BJ29" s="85" t="str">
        <f aca="false">IF($B29=BJ$12,$U29,"")</f>
        <v/>
      </c>
      <c r="BK29" s="85" t="str">
        <f aca="false">IF($B29=BK$12,$U29,"")</f>
        <v/>
      </c>
      <c r="BL29" s="85" t="str">
        <f aca="false">IF($B29=BL$12,$U29,"")</f>
        <v/>
      </c>
      <c r="BM29" s="85" t="str">
        <f aca="false">IF($B29=BM$12,$U29,"")</f>
        <v/>
      </c>
      <c r="BN29" s="85" t="str">
        <f aca="false">IF($B29=BN$12,$U29,"")</f>
        <v/>
      </c>
      <c r="BO29" s="85" t="str">
        <f aca="false">IF($B29=BO$12,$U29,"")</f>
        <v/>
      </c>
      <c r="BP29" s="85" t="str">
        <f aca="false">IF($B29=BP$12,$U29,"")</f>
        <v/>
      </c>
      <c r="BQ29" s="85" t="str">
        <f aca="false">IF($B29=BQ$12,$U29,"")</f>
        <v/>
      </c>
      <c r="BR29" s="85" t="str">
        <f aca="false">IF($B29=BR$12,$U29,"")</f>
        <v/>
      </c>
      <c r="BS29" s="85" t="str">
        <f aca="false">IF($B29=BS$12,$U29,"")</f>
        <v/>
      </c>
      <c r="BT29" s="85" t="str">
        <f aca="false">IF($B29=BT$12,$U29,"")</f>
        <v/>
      </c>
      <c r="BU29" s="85" t="str">
        <f aca="false">IF($B29=BU$12,$U29,"")</f>
        <v/>
      </c>
      <c r="BV29" s="85" t="str">
        <f aca="false">IF($B29=BV$12,$U29,"")</f>
        <v/>
      </c>
      <c r="BW29" s="85" t="str">
        <f aca="false">IF($B29=BW$12,$U29,"")</f>
        <v/>
      </c>
      <c r="BX29" s="85" t="str">
        <f aca="false">IF($B29=BX$12,$U29,"")</f>
        <v/>
      </c>
      <c r="BY29" s="85" t="str">
        <f aca="false">IF($B29=BY$12,$U29,"")</f>
        <v/>
      </c>
      <c r="BZ29" s="85" t="str">
        <f aca="false">IF($B29=BZ$12,$U29,"")</f>
        <v/>
      </c>
      <c r="CA29" s="85" t="str">
        <f aca="false">IF($B29=CA$12,$U29,"")</f>
        <v/>
      </c>
      <c r="CB29" s="85" t="str">
        <f aca="false">IF($B29=CB$12,$U29,"")</f>
        <v/>
      </c>
      <c r="CC29" s="85" t="str">
        <f aca="false">IF($B29=CC$12,$U29,"")</f>
        <v/>
      </c>
      <c r="CD29" s="85" t="str">
        <f aca="false">IF($B29=CD$12,$U29,"")</f>
        <v/>
      </c>
      <c r="CE29" s="85" t="str">
        <f aca="false">IF($B29=CE$12,$U29,"")</f>
        <v/>
      </c>
      <c r="CF29" s="85" t="str">
        <f aca="false">IF($B29=CF$12,$U29,"")</f>
        <v/>
      </c>
      <c r="CG29" s="85" t="str">
        <f aca="false">IF($B29=CG$12,$U29,"")</f>
        <v/>
      </c>
      <c r="CH29" s="85" t="str">
        <f aca="false">IF($B29=CH$12,$U29,"")</f>
        <v/>
      </c>
      <c r="CI29" s="85" t="str">
        <f aca="false">IF($B29=CI$12,$U29,"")</f>
        <v/>
      </c>
      <c r="CJ29" s="85" t="str">
        <f aca="false">IF($B29=CJ$12,$U29,"")</f>
        <v/>
      </c>
      <c r="CK29" s="85" t="str">
        <f aca="false">IF($B29=CK$12,$U29,"")</f>
        <v/>
      </c>
      <c r="CL29" s="85" t="str">
        <f aca="false">IF($B29=CL$12,$U29,"")</f>
        <v/>
      </c>
      <c r="CM29" s="85" t="str">
        <f aca="false">IF($B29=CM$12,$U29,"")</f>
        <v/>
      </c>
      <c r="CN29" s="85" t="str">
        <f aca="false">IF($B29=CN$12,$U29,"")</f>
        <v/>
      </c>
      <c r="CO29" s="85" t="str">
        <f aca="false">IF($B29=CO$12,$U29,"")</f>
        <v/>
      </c>
      <c r="CP29" s="85" t="str">
        <f aca="false">IF($B29=CP$12,$U29,"")</f>
        <v/>
      </c>
      <c r="CQ29" s="85" t="str">
        <f aca="false">IF($B29=CQ$12,$U29,"")</f>
        <v/>
      </c>
      <c r="CR29" s="85" t="str">
        <f aca="false">IF($B29=CR$12,$U29,"")</f>
        <v/>
      </c>
      <c r="CS29" s="85" t="str">
        <f aca="false">IF($B29=CS$12,$U29,"")</f>
        <v/>
      </c>
      <c r="CT29" s="85" t="str">
        <f aca="false">IF($B29=CT$12,$U29,"")</f>
        <v/>
      </c>
      <c r="CU29" s="85" t="str">
        <f aca="false">IF($B29=CU$12,$U29,"")</f>
        <v/>
      </c>
      <c r="CV29" s="85" t="str">
        <f aca="false">IF($B29=CV$12,$U29,"")</f>
        <v/>
      </c>
      <c r="CW29" s="85" t="str">
        <f aca="false">IF($B29=CW$12,$U29,"")</f>
        <v/>
      </c>
      <c r="CX29" s="85" t="str">
        <f aca="false">IF($B29=CX$12,$U29,"")</f>
        <v/>
      </c>
      <c r="CY29" s="85" t="str">
        <f aca="false">IF($B29=CY$12,$U29,"")</f>
        <v/>
      </c>
      <c r="CZ29" s="85" t="str">
        <f aca="false">IF($B29=CZ$12,$U29,"")</f>
        <v/>
      </c>
      <c r="DA29" s="85" t="str">
        <f aca="false">IF($B29=DA$12,$U29,"")</f>
        <v/>
      </c>
      <c r="DB29" s="85" t="str">
        <f aca="false">IF($B29=DB$12,$U29,"")</f>
        <v/>
      </c>
      <c r="DC29" s="85" t="str">
        <f aca="false">IF($B29=DC$12,$U29,"")</f>
        <v/>
      </c>
      <c r="DD29" s="85" t="str">
        <f aca="false">IF($B29=DD$12,$U29,"")</f>
        <v/>
      </c>
      <c r="DE29" s="85" t="str">
        <f aca="false">IF($B29=DE$12,$U29,"")</f>
        <v/>
      </c>
      <c r="DF29" s="85" t="str">
        <f aca="false">IF($B29=DF$12,$U29,"")</f>
        <v/>
      </c>
      <c r="DG29" s="85" t="str">
        <f aca="false">IF($B29=DG$12,$U29,"")</f>
        <v/>
      </c>
      <c r="DH29" s="85" t="str">
        <f aca="false">IF($B29=DH$12,$U29,"")</f>
        <v/>
      </c>
      <c r="DI29" s="85" t="str">
        <f aca="false">IF($B29=DI$12,$U29,"")</f>
        <v/>
      </c>
      <c r="DJ29" s="85" t="str">
        <f aca="false">IF($B29=DJ$12,$U29,"")</f>
        <v/>
      </c>
      <c r="DK29" s="85" t="str">
        <f aca="false">IF($B29=DK$12,$U29,"")</f>
        <v/>
      </c>
      <c r="DL29" s="85" t="str">
        <f aca="false">IF($B29=DL$12,$U29,"")</f>
        <v/>
      </c>
      <c r="DM29" s="85" t="str">
        <f aca="false">IF($B29=DM$12,$U29,"")</f>
        <v/>
      </c>
      <c r="DN29" s="85" t="str">
        <f aca="false">IF($B29=DN$12,$U29,"")</f>
        <v/>
      </c>
      <c r="DO29" s="85" t="str">
        <f aca="false">IF($B29=DO$12,$U29,"")</f>
        <v/>
      </c>
      <c r="DP29" s="85" t="str">
        <f aca="false">IF($B29=DP$12,$U29,"")</f>
        <v/>
      </c>
      <c r="DQ29" s="85" t="str">
        <f aca="false">IF($B29=DQ$12,$U29,"")</f>
        <v/>
      </c>
      <c r="DR29" s="85" t="str">
        <f aca="false">IF($B29=DR$12,$U29,"")</f>
        <v/>
      </c>
      <c r="DS29" s="85" t="str">
        <f aca="false">IF($B29=DS$12,$U29,"")</f>
        <v/>
      </c>
      <c r="DT29" s="86" t="str">
        <f aca="false">IF($B29=DT$12,$U29,"")</f>
        <v/>
      </c>
      <c r="DU29" s="55"/>
      <c r="DV29" s="83"/>
      <c r="DW29" s="87" t="str">
        <f aca="false">IF($B29=DW$12,$O29,"")</f>
        <v/>
      </c>
      <c r="DX29" s="88" t="str">
        <f aca="false">IF($B29=DX$12,$O29,"")</f>
        <v/>
      </c>
      <c r="DY29" s="88" t="str">
        <f aca="false">IF($B29=DY$12,$O29,"")</f>
        <v/>
      </c>
      <c r="DZ29" s="88" t="str">
        <f aca="false">IF($B29=DZ$12,$O29,"")</f>
        <v/>
      </c>
      <c r="EA29" s="88" t="str">
        <f aca="false">IF($B29=EA$12,$O29,"")</f>
        <v/>
      </c>
      <c r="EB29" s="88" t="str">
        <f aca="false">IF($B29=EB$12,$O29,"")</f>
        <v/>
      </c>
      <c r="EC29" s="88" t="str">
        <f aca="false">IF($B29=EC$12,$O29,"")</f>
        <v/>
      </c>
      <c r="ED29" s="88" t="str">
        <f aca="false">IF($B29=ED$12,$O29,"")</f>
        <v/>
      </c>
      <c r="EE29" s="88" t="str">
        <f aca="false">IF($B29=EE$12,$O29,"")</f>
        <v/>
      </c>
      <c r="EF29" s="88" t="str">
        <f aca="false">IF($B29=EF$12,$O29,"")</f>
        <v/>
      </c>
      <c r="EG29" s="88" t="str">
        <f aca="false">IF($B29=EG$12,$O29,"")</f>
        <v/>
      </c>
      <c r="EH29" s="88" t="str">
        <f aca="false">IF($B29=EH$12,$O29,"")</f>
        <v/>
      </c>
      <c r="EI29" s="88" t="str">
        <f aca="false">IF($B29=EI$12,$O29,"")</f>
        <v/>
      </c>
      <c r="EJ29" s="88" t="str">
        <f aca="false">IF($B29=EJ$12,$O29,"")</f>
        <v/>
      </c>
      <c r="EK29" s="88" t="str">
        <f aca="false">IF($B29=EK$12,$O29,"")</f>
        <v/>
      </c>
      <c r="EL29" s="88" t="str">
        <f aca="false">IF($B29=EL$12,$O29,"")</f>
        <v/>
      </c>
      <c r="EM29" s="88" t="str">
        <f aca="false">IF($B29=EM$12,$O29,"")</f>
        <v/>
      </c>
      <c r="EN29" s="88" t="str">
        <f aca="false">IF($B29=EN$12,$O29,"")</f>
        <v/>
      </c>
      <c r="EO29" s="88" t="str">
        <f aca="false">IF($B29=EO$12,$O29,"")</f>
        <v/>
      </c>
      <c r="EP29" s="88" t="str">
        <f aca="false">IF($B29=EP$12,$O29,"")</f>
        <v/>
      </c>
      <c r="EQ29" s="88" t="str">
        <f aca="false">IF($B29=EQ$12,$O29,"")</f>
        <v/>
      </c>
      <c r="ER29" s="88" t="str">
        <f aca="false">IF($B29=ER$12,$O29,"")</f>
        <v/>
      </c>
      <c r="ES29" s="88" t="str">
        <f aca="false">IF($B29=ES$12,$O29,"")</f>
        <v/>
      </c>
      <c r="ET29" s="88" t="str">
        <f aca="false">IF($B29=ET$12,$O29,"")</f>
        <v/>
      </c>
      <c r="EU29" s="88" t="str">
        <f aca="false">IF($B29=EU$12,$O29,"")</f>
        <v/>
      </c>
      <c r="EV29" s="88" t="str">
        <f aca="false">IF($B29=EV$12,$O29,"")</f>
        <v/>
      </c>
      <c r="EW29" s="88" t="str">
        <f aca="false">IF($B29=EW$12,$O29,"")</f>
        <v/>
      </c>
      <c r="EX29" s="88" t="str">
        <f aca="false">IF($B29=EX$12,$O29,"")</f>
        <v/>
      </c>
      <c r="EY29" s="88" t="str">
        <f aca="false">IF($B29=EY$12,$O29,"")</f>
        <v/>
      </c>
      <c r="EZ29" s="88" t="str">
        <f aca="false">IF($B29=EZ$12,$O29,"")</f>
        <v/>
      </c>
      <c r="FA29" s="88" t="str">
        <f aca="false">IF($B29=FA$12,$O29,"")</f>
        <v/>
      </c>
      <c r="FB29" s="88" t="str">
        <f aca="false">IF($B29=FB$12,$O29,"")</f>
        <v/>
      </c>
      <c r="FC29" s="88" t="str">
        <f aca="false">IF($B29=FC$12,$O29,"")</f>
        <v/>
      </c>
      <c r="FD29" s="88" t="str">
        <f aca="false">IF($B29=FD$12,$O29,"")</f>
        <v/>
      </c>
      <c r="FE29" s="88" t="str">
        <f aca="false">IF($B29=FE$12,$O29,"")</f>
        <v/>
      </c>
      <c r="FF29" s="88" t="str">
        <f aca="false">IF($B29=FF$12,$O29,"")</f>
        <v/>
      </c>
      <c r="FG29" s="88" t="str">
        <f aca="false">IF($B29=FG$12,$O29,"")</f>
        <v/>
      </c>
      <c r="FH29" s="88" t="str">
        <f aca="false">IF($B29=FH$12,$O29,"")</f>
        <v/>
      </c>
      <c r="FI29" s="88" t="str">
        <f aca="false">IF($B29=FI$12,$O29,"")</f>
        <v/>
      </c>
      <c r="FJ29" s="88" t="str">
        <f aca="false">IF($B29=FJ$12,$O29,"")</f>
        <v/>
      </c>
      <c r="FK29" s="88" t="str">
        <f aca="false">IF($B29=FK$12,$O29,"")</f>
        <v/>
      </c>
      <c r="FL29" s="88" t="str">
        <f aca="false">IF($B29=FL$12,$O29,"")</f>
        <v/>
      </c>
      <c r="FM29" s="88" t="str">
        <f aca="false">IF($B29=FM$12,$O29,"")</f>
        <v/>
      </c>
      <c r="FN29" s="88" t="str">
        <f aca="false">IF($B29=FN$12,$O29,"")</f>
        <v/>
      </c>
      <c r="FO29" s="88" t="str">
        <f aca="false">IF($B29=FO$12,$O29,"")</f>
        <v/>
      </c>
      <c r="FP29" s="88" t="str">
        <f aca="false">IF($B29=FP$12,$O29,"")</f>
        <v/>
      </c>
      <c r="FQ29" s="88" t="str">
        <f aca="false">IF($B29=FQ$12,$O29,"")</f>
        <v/>
      </c>
      <c r="FR29" s="88" t="str">
        <f aca="false">IF($B29=FR$12,$O29,"")</f>
        <v/>
      </c>
      <c r="FS29" s="88" t="str">
        <f aca="false">IF($B29=FS$12,$O29,"")</f>
        <v/>
      </c>
      <c r="FT29" s="88" t="str">
        <f aca="false">IF($B29=FT$12,$O29,"")</f>
        <v/>
      </c>
      <c r="FU29" s="88" t="str">
        <f aca="false">IF($B29=FU$12,$O29,"")</f>
        <v/>
      </c>
      <c r="FV29" s="88" t="str">
        <f aca="false">IF($B29=FV$12,$O29,"")</f>
        <v/>
      </c>
      <c r="FW29" s="88" t="str">
        <f aca="false">IF($B29=FW$12,$O29,"")</f>
        <v/>
      </c>
      <c r="FX29" s="88" t="str">
        <f aca="false">IF($B29=FX$12,$O29,"")</f>
        <v/>
      </c>
      <c r="FY29" s="88" t="str">
        <f aca="false">IF($B29=FY$12,$O29,"")</f>
        <v/>
      </c>
      <c r="FZ29" s="88" t="str">
        <f aca="false">IF($B29=FZ$12,$O29,"")</f>
        <v/>
      </c>
      <c r="GA29" s="88" t="str">
        <f aca="false">IF($B29=GA$12,$O29,"")</f>
        <v/>
      </c>
      <c r="GB29" s="88" t="str">
        <f aca="false">IF($B29=GB$12,$O29,"")</f>
        <v/>
      </c>
      <c r="GC29" s="88" t="str">
        <f aca="false">IF($B29=GC$12,$O29,"")</f>
        <v/>
      </c>
      <c r="GD29" s="88" t="str">
        <f aca="false">IF($B29=GD$12,$O29,"")</f>
        <v/>
      </c>
      <c r="GE29" s="88" t="str">
        <f aca="false">IF($B29=GE$12,$O29,"")</f>
        <v/>
      </c>
      <c r="GF29" s="88" t="str">
        <f aca="false">IF($B29=GF$12,$O29,"")</f>
        <v/>
      </c>
      <c r="GG29" s="88" t="str">
        <f aca="false">IF($B29=GG$12,$O29,"")</f>
        <v/>
      </c>
      <c r="GH29" s="88" t="str">
        <f aca="false">IF($B29=GH$12,$O29,"")</f>
        <v/>
      </c>
      <c r="GI29" s="88" t="str">
        <f aca="false">IF($B29=GI$12,$O29,"")</f>
        <v/>
      </c>
      <c r="GJ29" s="88" t="str">
        <f aca="false">IF($B29=GJ$12,$O29,"")</f>
        <v/>
      </c>
      <c r="GK29" s="88" t="str">
        <f aca="false">IF($B29=GK$12,$O29,"")</f>
        <v/>
      </c>
      <c r="GL29" s="88" t="str">
        <f aca="false">IF($B29=GL$12,$O29,"")</f>
        <v/>
      </c>
      <c r="GM29" s="88" t="str">
        <f aca="false">IF($B29=GM$12,$O29,"")</f>
        <v/>
      </c>
      <c r="GN29" s="88" t="str">
        <f aca="false">IF($B29=GN$12,$O29,"")</f>
        <v/>
      </c>
      <c r="GO29" s="88" t="str">
        <f aca="false">IF($B29=GO$12,$O29,"")</f>
        <v/>
      </c>
      <c r="GP29" s="88" t="str">
        <f aca="false">IF($B29=GP$12,$O29,"")</f>
        <v/>
      </c>
      <c r="GQ29" s="88" t="str">
        <f aca="false">IF($B29=GQ$12,$O29,"")</f>
        <v/>
      </c>
      <c r="GR29" s="88" t="str">
        <f aca="false">IF($B29=GR$12,$O29,"")</f>
        <v/>
      </c>
      <c r="GS29" s="88" t="str">
        <f aca="false">IF($B29=GS$12,$O29,"")</f>
        <v/>
      </c>
      <c r="GT29" s="88" t="str">
        <f aca="false">IF($B29=GT$12,$O29,"")</f>
        <v/>
      </c>
      <c r="GU29" s="88" t="str">
        <f aca="false">IF($B29=GU$12,$O29,"")</f>
        <v/>
      </c>
      <c r="GV29" s="88" t="str">
        <f aca="false">IF($B29=GV$12,$O29,"")</f>
        <v/>
      </c>
      <c r="GW29" s="88" t="str">
        <f aca="false">IF($B29=GW$12,$O29,"")</f>
        <v/>
      </c>
      <c r="GX29" s="88" t="str">
        <f aca="false">IF($B29=GX$12,$O29,"")</f>
        <v/>
      </c>
      <c r="GY29" s="88" t="str">
        <f aca="false">IF($B29=GY$12,$O29,"")</f>
        <v/>
      </c>
      <c r="GZ29" s="88" t="str">
        <f aca="false">IF($B29=GZ$12,$O29,"")</f>
        <v/>
      </c>
      <c r="HA29" s="88" t="str">
        <f aca="false">IF($B29=HA$12,$O29,"")</f>
        <v/>
      </c>
      <c r="HB29" s="88" t="str">
        <f aca="false">IF($B29=HB$12,$O29,"")</f>
        <v/>
      </c>
      <c r="HC29" s="88" t="str">
        <f aca="false">IF($B29=HC$12,$O29,"")</f>
        <v/>
      </c>
      <c r="HD29" s="88" t="str">
        <f aca="false">IF($B29=HD$12,$O29,"")</f>
        <v/>
      </c>
      <c r="HE29" s="88" t="str">
        <f aca="false">IF($B29=HE$12,$O29,"")</f>
        <v/>
      </c>
      <c r="HF29" s="88" t="str">
        <f aca="false">IF($B29=HF$12,$O29,"")</f>
        <v/>
      </c>
      <c r="HG29" s="88" t="str">
        <f aca="false">IF($B29=HG$12,$O29,"")</f>
        <v/>
      </c>
      <c r="HH29" s="88" t="str">
        <f aca="false">IF($B29=HH$12,$O29,"")</f>
        <v/>
      </c>
      <c r="HI29" s="88" t="str">
        <f aca="false">IF($B29=HI$12,$O29,"")</f>
        <v/>
      </c>
      <c r="HJ29" s="88" t="str">
        <f aca="false">IF($B29=HJ$12,$O29,"")</f>
        <v/>
      </c>
      <c r="HK29" s="88" t="str">
        <f aca="false">IF($B29=HK$12,$O29,"")</f>
        <v/>
      </c>
      <c r="HL29" s="88" t="str">
        <f aca="false">IF($B29=HL$12,$O29,"")</f>
        <v/>
      </c>
      <c r="HM29" s="88" t="str">
        <f aca="false">IF($B29=HM$12,$O29,"")</f>
        <v/>
      </c>
      <c r="HN29" s="88" t="str">
        <f aca="false">IF($B29=HN$12,$O29,"")</f>
        <v/>
      </c>
      <c r="HO29" s="88" t="str">
        <f aca="false">IF($B29=HO$12,$O29,"")</f>
        <v/>
      </c>
      <c r="HP29" s="88" t="str">
        <f aca="false">IF($B29=HP$12,$O29,"")</f>
        <v/>
      </c>
      <c r="HQ29" s="88" t="str">
        <f aca="false">IF($B29=HQ$12,$O29,"")</f>
        <v/>
      </c>
      <c r="HR29" s="89" t="str">
        <f aca="false">IF($B29=HR$12,$O29,"")</f>
        <v/>
      </c>
    </row>
    <row r="30" customFormat="false" ht="10.5" hidden="false" customHeight="true" outlineLevel="0" collapsed="false">
      <c r="A30" s="73"/>
      <c r="B30" s="74"/>
      <c r="C30" s="75" t="str">
        <f aca="false">IF(A30=0,"",VLOOKUP(A30,[3]CO!$A$3:$F$5311,2,0))</f>
        <v/>
      </c>
      <c r="D30" s="76"/>
      <c r="E30" s="76"/>
      <c r="F30" s="76"/>
      <c r="G30" s="77" t="str">
        <f aca="false">IF(A30=0,"",VLOOKUP(A30,[3]CO!$A$3:$F$5311,3,0))</f>
        <v/>
      </c>
      <c r="H30" s="76"/>
      <c r="I30" s="78"/>
      <c r="J30" s="78"/>
      <c r="K30" s="78"/>
      <c r="L30" s="79"/>
      <c r="M30" s="79" t="str">
        <f aca="false">IF(L30=0,"",PRODUCT(I30:L30))</f>
        <v/>
      </c>
      <c r="N30" s="79" t="str">
        <f aca="false">IF(B30=0,"",IF(H30="M",HLOOKUP(B30,$Y$12:$DT$13,2),IF(A30=0,"",VLOOKUP(A30,[3]CO!$A$3:$F$5311,4,0))))</f>
        <v/>
      </c>
      <c r="O30" s="79" t="str">
        <f aca="false">IF(L30=0,"",PRODUCT(M30:N30))</f>
        <v/>
      </c>
      <c r="P30" s="80"/>
      <c r="Q30" s="81" t="str">
        <f aca="false">IF(P30=0,"",(HLOOKUP(P30,$DW$12:$HR$13,2)))</f>
        <v/>
      </c>
      <c r="R30" s="82" t="str">
        <f aca="false"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RESIDENTE"),VLOOKUP(B30,P$14:Q$131,2),"")*S30)</f>
        <v/>
      </c>
      <c r="S30" s="5"/>
      <c r="T30" s="65" t="str">
        <f aca="false">IF(A30=0,"",VLOOKUP(A30,[3]CO!$A$3:$F$5302,5,0))</f>
        <v/>
      </c>
      <c r="U30" s="55" t="n">
        <f aca="false">IF(T30=1,O30*0.1,)</f>
        <v>0</v>
      </c>
      <c r="V30" s="66"/>
      <c r="W30" s="83"/>
      <c r="X30" s="83"/>
      <c r="Y30" s="84" t="str">
        <f aca="false">IF($B30=Y$12,$U30,"")</f>
        <v/>
      </c>
      <c r="Z30" s="85" t="str">
        <f aca="false">IF($B30=Z$12,$U30,"")</f>
        <v/>
      </c>
      <c r="AA30" s="85" t="str">
        <f aca="false">IF($B30=AA$12,$U30,"")</f>
        <v/>
      </c>
      <c r="AB30" s="85" t="str">
        <f aca="false">IF($B30=AB$12,$U30,"")</f>
        <v/>
      </c>
      <c r="AC30" s="85" t="str">
        <f aca="false">IF($B30=AC$12,$U30,"")</f>
        <v/>
      </c>
      <c r="AD30" s="85" t="str">
        <f aca="false">IF($B30=AD$12,$U30,"")</f>
        <v/>
      </c>
      <c r="AE30" s="85" t="str">
        <f aca="false">IF($B30=AE$12,$U30,"")</f>
        <v/>
      </c>
      <c r="AF30" s="85" t="str">
        <f aca="false">IF($B30=AF$12,$U30,"")</f>
        <v/>
      </c>
      <c r="AG30" s="85" t="str">
        <f aca="false">IF($B30=AG$12,$U30,"")</f>
        <v/>
      </c>
      <c r="AH30" s="85" t="str">
        <f aca="false">IF($B30=AH$12,$U30,"")</f>
        <v/>
      </c>
      <c r="AI30" s="85" t="str">
        <f aca="false">IF($B30=AI$12,$U30,"")</f>
        <v/>
      </c>
      <c r="AJ30" s="85" t="str">
        <f aca="false">IF($B30=AJ$12,$U30,"")</f>
        <v/>
      </c>
      <c r="AK30" s="85" t="str">
        <f aca="false">IF($B30=AK$12,$U30,"")</f>
        <v/>
      </c>
      <c r="AL30" s="85" t="str">
        <f aca="false">IF($B30=AL$12,$U30,"")</f>
        <v/>
      </c>
      <c r="AM30" s="85" t="str">
        <f aca="false">IF($B30=AM$12,$U30,"")</f>
        <v/>
      </c>
      <c r="AN30" s="85" t="str">
        <f aca="false">IF($B30=AN$12,$U30,"")</f>
        <v/>
      </c>
      <c r="AO30" s="85" t="str">
        <f aca="false">IF($B30=AO$12,$U30,"")</f>
        <v/>
      </c>
      <c r="AP30" s="85" t="str">
        <f aca="false">IF($B30=AP$12,$U30,"")</f>
        <v/>
      </c>
      <c r="AQ30" s="85" t="str">
        <f aca="false">IF($B30=AQ$12,$U30,"")</f>
        <v/>
      </c>
      <c r="AR30" s="85" t="str">
        <f aca="false">IF($B30=AR$12,$U30,"")</f>
        <v/>
      </c>
      <c r="AS30" s="85" t="str">
        <f aca="false">IF($B30=AS$12,$U30,"")</f>
        <v/>
      </c>
      <c r="AT30" s="85" t="str">
        <f aca="false">IF($B30=AT$12,$U30,"")</f>
        <v/>
      </c>
      <c r="AU30" s="85" t="str">
        <f aca="false">IF($B30=AU$12,$U30,"")</f>
        <v/>
      </c>
      <c r="AV30" s="85" t="str">
        <f aca="false">IF($B30=AV$12,$U30,"")</f>
        <v/>
      </c>
      <c r="AW30" s="85" t="str">
        <f aca="false">IF($B30=AW$12,$U30,"")</f>
        <v/>
      </c>
      <c r="AX30" s="85" t="str">
        <f aca="false">IF($B30=AX$12,$U30,"")</f>
        <v/>
      </c>
      <c r="AY30" s="85" t="str">
        <f aca="false">IF($B30=AY$12,$U30,"")</f>
        <v/>
      </c>
      <c r="AZ30" s="85" t="str">
        <f aca="false">IF($B30=AZ$12,$U30,"")</f>
        <v/>
      </c>
      <c r="BA30" s="85" t="str">
        <f aca="false">IF($B30=BA$12,$U30,"")</f>
        <v/>
      </c>
      <c r="BB30" s="85" t="str">
        <f aca="false">IF($B30=BB$12,$U30,"")</f>
        <v/>
      </c>
      <c r="BC30" s="85" t="str">
        <f aca="false">IF($B30=BC$12,$U30,"")</f>
        <v/>
      </c>
      <c r="BD30" s="85" t="str">
        <f aca="false">IF($B30=BD$12,$U30,"")</f>
        <v/>
      </c>
      <c r="BE30" s="85" t="str">
        <f aca="false">IF($B30=BE$12,$U30,"")</f>
        <v/>
      </c>
      <c r="BF30" s="85" t="str">
        <f aca="false">IF($B30=BF$12,$U30,"")</f>
        <v/>
      </c>
      <c r="BG30" s="85" t="str">
        <f aca="false">IF($B30=BG$12,$U30,"")</f>
        <v/>
      </c>
      <c r="BH30" s="85" t="str">
        <f aca="false">IF($B30=BH$12,$U30,"")</f>
        <v/>
      </c>
      <c r="BI30" s="85" t="str">
        <f aca="false">IF($B30=BI$12,$U30,"")</f>
        <v/>
      </c>
      <c r="BJ30" s="85" t="str">
        <f aca="false">IF($B30=BJ$12,$U30,"")</f>
        <v/>
      </c>
      <c r="BK30" s="85" t="str">
        <f aca="false">IF($B30=BK$12,$U30,"")</f>
        <v/>
      </c>
      <c r="BL30" s="85" t="str">
        <f aca="false">IF($B30=BL$12,$U30,"")</f>
        <v/>
      </c>
      <c r="BM30" s="85" t="str">
        <f aca="false">IF($B30=BM$12,$U30,"")</f>
        <v/>
      </c>
      <c r="BN30" s="85" t="str">
        <f aca="false">IF($B30=BN$12,$U30,"")</f>
        <v/>
      </c>
      <c r="BO30" s="85" t="str">
        <f aca="false">IF($B30=BO$12,$U30,"")</f>
        <v/>
      </c>
      <c r="BP30" s="85" t="str">
        <f aca="false">IF($B30=BP$12,$U30,"")</f>
        <v/>
      </c>
      <c r="BQ30" s="85" t="str">
        <f aca="false">IF($B30=BQ$12,$U30,"")</f>
        <v/>
      </c>
      <c r="BR30" s="85" t="str">
        <f aca="false">IF($B30=BR$12,$U30,"")</f>
        <v/>
      </c>
      <c r="BS30" s="85" t="str">
        <f aca="false">IF($B30=BS$12,$U30,"")</f>
        <v/>
      </c>
      <c r="BT30" s="85" t="str">
        <f aca="false">IF($B30=BT$12,$U30,"")</f>
        <v/>
      </c>
      <c r="BU30" s="85" t="str">
        <f aca="false">IF($B30=BU$12,$U30,"")</f>
        <v/>
      </c>
      <c r="BV30" s="85" t="str">
        <f aca="false">IF($B30=BV$12,$U30,"")</f>
        <v/>
      </c>
      <c r="BW30" s="85" t="str">
        <f aca="false">IF($B30=BW$12,$U30,"")</f>
        <v/>
      </c>
      <c r="BX30" s="85" t="str">
        <f aca="false">IF($B30=BX$12,$U30,"")</f>
        <v/>
      </c>
      <c r="BY30" s="85" t="str">
        <f aca="false">IF($B30=BY$12,$U30,"")</f>
        <v/>
      </c>
      <c r="BZ30" s="85" t="str">
        <f aca="false">IF($B30=BZ$12,$U30,"")</f>
        <v/>
      </c>
      <c r="CA30" s="85" t="str">
        <f aca="false">IF($B30=CA$12,$U30,"")</f>
        <v/>
      </c>
      <c r="CB30" s="85" t="str">
        <f aca="false">IF($B30=CB$12,$U30,"")</f>
        <v/>
      </c>
      <c r="CC30" s="85" t="str">
        <f aca="false">IF($B30=CC$12,$U30,"")</f>
        <v/>
      </c>
      <c r="CD30" s="85" t="str">
        <f aca="false">IF($B30=CD$12,$U30,"")</f>
        <v/>
      </c>
      <c r="CE30" s="85" t="str">
        <f aca="false">IF($B30=CE$12,$U30,"")</f>
        <v/>
      </c>
      <c r="CF30" s="85" t="str">
        <f aca="false">IF($B30=CF$12,$U30,"")</f>
        <v/>
      </c>
      <c r="CG30" s="85" t="str">
        <f aca="false">IF($B30=CG$12,$U30,"")</f>
        <v/>
      </c>
      <c r="CH30" s="85" t="str">
        <f aca="false">IF($B30=CH$12,$U30,"")</f>
        <v/>
      </c>
      <c r="CI30" s="85" t="str">
        <f aca="false">IF($B30=CI$12,$U30,"")</f>
        <v/>
      </c>
      <c r="CJ30" s="85" t="str">
        <f aca="false">IF($B30=CJ$12,$U30,"")</f>
        <v/>
      </c>
      <c r="CK30" s="85" t="str">
        <f aca="false">IF($B30=CK$12,$U30,"")</f>
        <v/>
      </c>
      <c r="CL30" s="85" t="str">
        <f aca="false">IF($B30=CL$12,$U30,"")</f>
        <v/>
      </c>
      <c r="CM30" s="85" t="str">
        <f aca="false">IF($B30=CM$12,$U30,"")</f>
        <v/>
      </c>
      <c r="CN30" s="85" t="str">
        <f aca="false">IF($B30=CN$12,$U30,"")</f>
        <v/>
      </c>
      <c r="CO30" s="85" t="str">
        <f aca="false">IF($B30=CO$12,$U30,"")</f>
        <v/>
      </c>
      <c r="CP30" s="85" t="str">
        <f aca="false">IF($B30=CP$12,$U30,"")</f>
        <v/>
      </c>
      <c r="CQ30" s="85" t="str">
        <f aca="false">IF($B30=CQ$12,$U30,"")</f>
        <v/>
      </c>
      <c r="CR30" s="85" t="str">
        <f aca="false">IF($B30=CR$12,$U30,"")</f>
        <v/>
      </c>
      <c r="CS30" s="85" t="str">
        <f aca="false">IF($B30=CS$12,$U30,"")</f>
        <v/>
      </c>
      <c r="CT30" s="85" t="str">
        <f aca="false">IF($B30=CT$12,$U30,"")</f>
        <v/>
      </c>
      <c r="CU30" s="85" t="str">
        <f aca="false">IF($B30=CU$12,$U30,"")</f>
        <v/>
      </c>
      <c r="CV30" s="85" t="str">
        <f aca="false">IF($B30=CV$12,$U30,"")</f>
        <v/>
      </c>
      <c r="CW30" s="85" t="str">
        <f aca="false">IF($B30=CW$12,$U30,"")</f>
        <v/>
      </c>
      <c r="CX30" s="85" t="str">
        <f aca="false">IF($B30=CX$12,$U30,"")</f>
        <v/>
      </c>
      <c r="CY30" s="85" t="str">
        <f aca="false">IF($B30=CY$12,$U30,"")</f>
        <v/>
      </c>
      <c r="CZ30" s="85" t="str">
        <f aca="false">IF($B30=CZ$12,$U30,"")</f>
        <v/>
      </c>
      <c r="DA30" s="85" t="str">
        <f aca="false">IF($B30=DA$12,$U30,"")</f>
        <v/>
      </c>
      <c r="DB30" s="85" t="str">
        <f aca="false">IF($B30=DB$12,$U30,"")</f>
        <v/>
      </c>
      <c r="DC30" s="85" t="str">
        <f aca="false">IF($B30=DC$12,$U30,"")</f>
        <v/>
      </c>
      <c r="DD30" s="85" t="str">
        <f aca="false">IF($B30=DD$12,$U30,"")</f>
        <v/>
      </c>
      <c r="DE30" s="85" t="str">
        <f aca="false">IF($B30=DE$12,$U30,"")</f>
        <v/>
      </c>
      <c r="DF30" s="85" t="str">
        <f aca="false">IF($B30=DF$12,$U30,"")</f>
        <v/>
      </c>
      <c r="DG30" s="85" t="str">
        <f aca="false">IF($B30=DG$12,$U30,"")</f>
        <v/>
      </c>
      <c r="DH30" s="85" t="str">
        <f aca="false">IF($B30=DH$12,$U30,"")</f>
        <v/>
      </c>
      <c r="DI30" s="85" t="str">
        <f aca="false">IF($B30=DI$12,$U30,"")</f>
        <v/>
      </c>
      <c r="DJ30" s="85" t="str">
        <f aca="false">IF($B30=DJ$12,$U30,"")</f>
        <v/>
      </c>
      <c r="DK30" s="85" t="str">
        <f aca="false">IF($B30=DK$12,$U30,"")</f>
        <v/>
      </c>
      <c r="DL30" s="85" t="str">
        <f aca="false">IF($B30=DL$12,$U30,"")</f>
        <v/>
      </c>
      <c r="DM30" s="85" t="str">
        <f aca="false">IF($B30=DM$12,$U30,"")</f>
        <v/>
      </c>
      <c r="DN30" s="85" t="str">
        <f aca="false">IF($B30=DN$12,$U30,"")</f>
        <v/>
      </c>
      <c r="DO30" s="85" t="str">
        <f aca="false">IF($B30=DO$12,$U30,"")</f>
        <v/>
      </c>
      <c r="DP30" s="85" t="str">
        <f aca="false">IF($B30=DP$12,$U30,"")</f>
        <v/>
      </c>
      <c r="DQ30" s="85" t="str">
        <f aca="false">IF($B30=DQ$12,$U30,"")</f>
        <v/>
      </c>
      <c r="DR30" s="85" t="str">
        <f aca="false">IF($B30=DR$12,$U30,"")</f>
        <v/>
      </c>
      <c r="DS30" s="85" t="str">
        <f aca="false">IF($B30=DS$12,$U30,"")</f>
        <v/>
      </c>
      <c r="DT30" s="86" t="str">
        <f aca="false">IF($B30=DT$12,$U30,"")</f>
        <v/>
      </c>
      <c r="DU30" s="55"/>
      <c r="DV30" s="83"/>
      <c r="DW30" s="87" t="str">
        <f aca="false">IF($B30=DW$12,$O30,"")</f>
        <v/>
      </c>
      <c r="DX30" s="88" t="str">
        <f aca="false">IF($B30=DX$12,$O30,"")</f>
        <v/>
      </c>
      <c r="DY30" s="88" t="str">
        <f aca="false">IF($B30=DY$12,$O30,"")</f>
        <v/>
      </c>
      <c r="DZ30" s="88" t="str">
        <f aca="false">IF($B30=DZ$12,$O30,"")</f>
        <v/>
      </c>
      <c r="EA30" s="88" t="str">
        <f aca="false">IF($B30=EA$12,$O30,"")</f>
        <v/>
      </c>
      <c r="EB30" s="88" t="str">
        <f aca="false">IF($B30=EB$12,$O30,"")</f>
        <v/>
      </c>
      <c r="EC30" s="88" t="str">
        <f aca="false">IF($B30=EC$12,$O30,"")</f>
        <v/>
      </c>
      <c r="ED30" s="88" t="str">
        <f aca="false">IF($B30=ED$12,$O30,"")</f>
        <v/>
      </c>
      <c r="EE30" s="88" t="str">
        <f aca="false">IF($B30=EE$12,$O30,"")</f>
        <v/>
      </c>
      <c r="EF30" s="88" t="str">
        <f aca="false">IF($B30=EF$12,$O30,"")</f>
        <v/>
      </c>
      <c r="EG30" s="88" t="str">
        <f aca="false">IF($B30=EG$12,$O30,"")</f>
        <v/>
      </c>
      <c r="EH30" s="88" t="str">
        <f aca="false">IF($B30=EH$12,$O30,"")</f>
        <v/>
      </c>
      <c r="EI30" s="88" t="str">
        <f aca="false">IF($B30=EI$12,$O30,"")</f>
        <v/>
      </c>
      <c r="EJ30" s="88" t="str">
        <f aca="false">IF($B30=EJ$12,$O30,"")</f>
        <v/>
      </c>
      <c r="EK30" s="88" t="str">
        <f aca="false">IF($B30=EK$12,$O30,"")</f>
        <v/>
      </c>
      <c r="EL30" s="88" t="str">
        <f aca="false">IF($B30=EL$12,$O30,"")</f>
        <v/>
      </c>
      <c r="EM30" s="88" t="str">
        <f aca="false">IF($B30=EM$12,$O30,"")</f>
        <v/>
      </c>
      <c r="EN30" s="88" t="str">
        <f aca="false">IF($B30=EN$12,$O30,"")</f>
        <v/>
      </c>
      <c r="EO30" s="88" t="str">
        <f aca="false">IF($B30=EO$12,$O30,"")</f>
        <v/>
      </c>
      <c r="EP30" s="88" t="str">
        <f aca="false">IF($B30=EP$12,$O30,"")</f>
        <v/>
      </c>
      <c r="EQ30" s="88" t="str">
        <f aca="false">IF($B30=EQ$12,$O30,"")</f>
        <v/>
      </c>
      <c r="ER30" s="88" t="str">
        <f aca="false">IF($B30=ER$12,$O30,"")</f>
        <v/>
      </c>
      <c r="ES30" s="88" t="str">
        <f aca="false">IF($B30=ES$12,$O30,"")</f>
        <v/>
      </c>
      <c r="ET30" s="88" t="str">
        <f aca="false">IF($B30=ET$12,$O30,"")</f>
        <v/>
      </c>
      <c r="EU30" s="88" t="str">
        <f aca="false">IF($B30=EU$12,$O30,"")</f>
        <v/>
      </c>
      <c r="EV30" s="88" t="str">
        <f aca="false">IF($B30=EV$12,$O30,"")</f>
        <v/>
      </c>
      <c r="EW30" s="88" t="str">
        <f aca="false">IF($B30=EW$12,$O30,"")</f>
        <v/>
      </c>
      <c r="EX30" s="88" t="str">
        <f aca="false">IF($B30=EX$12,$O30,"")</f>
        <v/>
      </c>
      <c r="EY30" s="88" t="str">
        <f aca="false">IF($B30=EY$12,$O30,"")</f>
        <v/>
      </c>
      <c r="EZ30" s="88" t="str">
        <f aca="false">IF($B30=EZ$12,$O30,"")</f>
        <v/>
      </c>
      <c r="FA30" s="88" t="str">
        <f aca="false">IF($B30=FA$12,$O30,"")</f>
        <v/>
      </c>
      <c r="FB30" s="88" t="str">
        <f aca="false">IF($B30=FB$12,$O30,"")</f>
        <v/>
      </c>
      <c r="FC30" s="88" t="str">
        <f aca="false">IF($B30=FC$12,$O30,"")</f>
        <v/>
      </c>
      <c r="FD30" s="88" t="str">
        <f aca="false">IF($B30=FD$12,$O30,"")</f>
        <v/>
      </c>
      <c r="FE30" s="88" t="str">
        <f aca="false">IF($B30=FE$12,$O30,"")</f>
        <v/>
      </c>
      <c r="FF30" s="88" t="str">
        <f aca="false">IF($B30=FF$12,$O30,"")</f>
        <v/>
      </c>
      <c r="FG30" s="88" t="str">
        <f aca="false">IF($B30=FG$12,$O30,"")</f>
        <v/>
      </c>
      <c r="FH30" s="88" t="str">
        <f aca="false">IF($B30=FH$12,$O30,"")</f>
        <v/>
      </c>
      <c r="FI30" s="88" t="str">
        <f aca="false">IF($B30=FI$12,$O30,"")</f>
        <v/>
      </c>
      <c r="FJ30" s="88" t="str">
        <f aca="false">IF($B30=FJ$12,$O30,"")</f>
        <v/>
      </c>
      <c r="FK30" s="88" t="str">
        <f aca="false">IF($B30=FK$12,$O30,"")</f>
        <v/>
      </c>
      <c r="FL30" s="88" t="str">
        <f aca="false">IF($B30=FL$12,$O30,"")</f>
        <v/>
      </c>
      <c r="FM30" s="88" t="str">
        <f aca="false">IF($B30=FM$12,$O30,"")</f>
        <v/>
      </c>
      <c r="FN30" s="88" t="str">
        <f aca="false">IF($B30=FN$12,$O30,"")</f>
        <v/>
      </c>
      <c r="FO30" s="88" t="str">
        <f aca="false">IF($B30=FO$12,$O30,"")</f>
        <v/>
      </c>
      <c r="FP30" s="88" t="str">
        <f aca="false">IF($B30=FP$12,$O30,"")</f>
        <v/>
      </c>
      <c r="FQ30" s="88" t="str">
        <f aca="false">IF($B30=FQ$12,$O30,"")</f>
        <v/>
      </c>
      <c r="FR30" s="88" t="str">
        <f aca="false">IF($B30=FR$12,$O30,"")</f>
        <v/>
      </c>
      <c r="FS30" s="88" t="str">
        <f aca="false">IF($B30=FS$12,$O30,"")</f>
        <v/>
      </c>
      <c r="FT30" s="88" t="str">
        <f aca="false">IF($B30=FT$12,$O30,"")</f>
        <v/>
      </c>
      <c r="FU30" s="88" t="str">
        <f aca="false">IF($B30=FU$12,$O30,"")</f>
        <v/>
      </c>
      <c r="FV30" s="88" t="str">
        <f aca="false">IF($B30=FV$12,$O30,"")</f>
        <v/>
      </c>
      <c r="FW30" s="88" t="str">
        <f aca="false">IF($B30=FW$12,$O30,"")</f>
        <v/>
      </c>
      <c r="FX30" s="88" t="str">
        <f aca="false">IF($B30=FX$12,$O30,"")</f>
        <v/>
      </c>
      <c r="FY30" s="88" t="str">
        <f aca="false">IF($B30=FY$12,$O30,"")</f>
        <v/>
      </c>
      <c r="FZ30" s="88" t="str">
        <f aca="false">IF($B30=FZ$12,$O30,"")</f>
        <v/>
      </c>
      <c r="GA30" s="88" t="str">
        <f aca="false">IF($B30=GA$12,$O30,"")</f>
        <v/>
      </c>
      <c r="GB30" s="88" t="str">
        <f aca="false">IF($B30=GB$12,$O30,"")</f>
        <v/>
      </c>
      <c r="GC30" s="88" t="str">
        <f aca="false">IF($B30=GC$12,$O30,"")</f>
        <v/>
      </c>
      <c r="GD30" s="88" t="str">
        <f aca="false">IF($B30=GD$12,$O30,"")</f>
        <v/>
      </c>
      <c r="GE30" s="88" t="str">
        <f aca="false">IF($B30=GE$12,$O30,"")</f>
        <v/>
      </c>
      <c r="GF30" s="88" t="str">
        <f aca="false">IF($B30=GF$12,$O30,"")</f>
        <v/>
      </c>
      <c r="GG30" s="88" t="str">
        <f aca="false">IF($B30=GG$12,$O30,"")</f>
        <v/>
      </c>
      <c r="GH30" s="88" t="str">
        <f aca="false">IF($B30=GH$12,$O30,"")</f>
        <v/>
      </c>
      <c r="GI30" s="88" t="str">
        <f aca="false">IF($B30=GI$12,$O30,"")</f>
        <v/>
      </c>
      <c r="GJ30" s="88" t="str">
        <f aca="false">IF($B30=GJ$12,$O30,"")</f>
        <v/>
      </c>
      <c r="GK30" s="88" t="str">
        <f aca="false">IF($B30=GK$12,$O30,"")</f>
        <v/>
      </c>
      <c r="GL30" s="88" t="str">
        <f aca="false">IF($B30=GL$12,$O30,"")</f>
        <v/>
      </c>
      <c r="GM30" s="88" t="str">
        <f aca="false">IF($B30=GM$12,$O30,"")</f>
        <v/>
      </c>
      <c r="GN30" s="88" t="str">
        <f aca="false">IF($B30=GN$12,$O30,"")</f>
        <v/>
      </c>
      <c r="GO30" s="88" t="str">
        <f aca="false">IF($B30=GO$12,$O30,"")</f>
        <v/>
      </c>
      <c r="GP30" s="88" t="str">
        <f aca="false">IF($B30=GP$12,$O30,"")</f>
        <v/>
      </c>
      <c r="GQ30" s="88" t="str">
        <f aca="false">IF($B30=GQ$12,$O30,"")</f>
        <v/>
      </c>
      <c r="GR30" s="88" t="str">
        <f aca="false">IF($B30=GR$12,$O30,"")</f>
        <v/>
      </c>
      <c r="GS30" s="88" t="str">
        <f aca="false">IF($B30=GS$12,$O30,"")</f>
        <v/>
      </c>
      <c r="GT30" s="88" t="str">
        <f aca="false">IF($B30=GT$12,$O30,"")</f>
        <v/>
      </c>
      <c r="GU30" s="88" t="str">
        <f aca="false">IF($B30=GU$12,$O30,"")</f>
        <v/>
      </c>
      <c r="GV30" s="88" t="str">
        <f aca="false">IF($B30=GV$12,$O30,"")</f>
        <v/>
      </c>
      <c r="GW30" s="88" t="str">
        <f aca="false">IF($B30=GW$12,$O30,"")</f>
        <v/>
      </c>
      <c r="GX30" s="88" t="str">
        <f aca="false">IF($B30=GX$12,$O30,"")</f>
        <v/>
      </c>
      <c r="GY30" s="88" t="str">
        <f aca="false">IF($B30=GY$12,$O30,"")</f>
        <v/>
      </c>
      <c r="GZ30" s="88" t="str">
        <f aca="false">IF($B30=GZ$12,$O30,"")</f>
        <v/>
      </c>
      <c r="HA30" s="88" t="str">
        <f aca="false">IF($B30=HA$12,$O30,"")</f>
        <v/>
      </c>
      <c r="HB30" s="88" t="str">
        <f aca="false">IF($B30=HB$12,$O30,"")</f>
        <v/>
      </c>
      <c r="HC30" s="88" t="str">
        <f aca="false">IF($B30=HC$12,$O30,"")</f>
        <v/>
      </c>
      <c r="HD30" s="88" t="str">
        <f aca="false">IF($B30=HD$12,$O30,"")</f>
        <v/>
      </c>
      <c r="HE30" s="88" t="str">
        <f aca="false">IF($B30=HE$12,$O30,"")</f>
        <v/>
      </c>
      <c r="HF30" s="88" t="str">
        <f aca="false">IF($B30=HF$12,$O30,"")</f>
        <v/>
      </c>
      <c r="HG30" s="88" t="str">
        <f aca="false">IF($B30=HG$12,$O30,"")</f>
        <v/>
      </c>
      <c r="HH30" s="88" t="str">
        <f aca="false">IF($B30=HH$12,$O30,"")</f>
        <v/>
      </c>
      <c r="HI30" s="88" t="str">
        <f aca="false">IF($B30=HI$12,$O30,"")</f>
        <v/>
      </c>
      <c r="HJ30" s="88" t="str">
        <f aca="false">IF($B30=HJ$12,$O30,"")</f>
        <v/>
      </c>
      <c r="HK30" s="88" t="str">
        <f aca="false">IF($B30=HK$12,$O30,"")</f>
        <v/>
      </c>
      <c r="HL30" s="88" t="str">
        <f aca="false">IF($B30=HL$12,$O30,"")</f>
        <v/>
      </c>
      <c r="HM30" s="88" t="str">
        <f aca="false">IF($B30=HM$12,$O30,"")</f>
        <v/>
      </c>
      <c r="HN30" s="88" t="str">
        <f aca="false">IF($B30=HN$12,$O30,"")</f>
        <v/>
      </c>
      <c r="HO30" s="88" t="str">
        <f aca="false">IF($B30=HO$12,$O30,"")</f>
        <v/>
      </c>
      <c r="HP30" s="88" t="str">
        <f aca="false">IF($B30=HP$12,$O30,"")</f>
        <v/>
      </c>
      <c r="HQ30" s="88" t="str">
        <f aca="false">IF($B30=HQ$12,$O30,"")</f>
        <v/>
      </c>
      <c r="HR30" s="89" t="str">
        <f aca="false">IF($B30=HR$12,$O30,"")</f>
        <v/>
      </c>
    </row>
    <row r="31" customFormat="false" ht="10.5" hidden="false" customHeight="true" outlineLevel="0" collapsed="false">
      <c r="A31" s="73"/>
      <c r="B31" s="74"/>
      <c r="C31" s="75" t="str">
        <f aca="false">IF(A31=0,"",VLOOKUP(A31,[3]CO!$A$3:$F$5311,2,0))</f>
        <v/>
      </c>
      <c r="D31" s="76"/>
      <c r="E31" s="76"/>
      <c r="F31" s="76"/>
      <c r="G31" s="77" t="str">
        <f aca="false">IF(A31=0,"",VLOOKUP(A31,[3]CO!$A$3:$F$5311,3,0))</f>
        <v/>
      </c>
      <c r="H31" s="76"/>
      <c r="I31" s="78"/>
      <c r="J31" s="78"/>
      <c r="K31" s="78"/>
      <c r="L31" s="79"/>
      <c r="M31" s="79" t="str">
        <f aca="false">IF(L31=0,"",PRODUCT(I31:L31))</f>
        <v/>
      </c>
      <c r="N31" s="79" t="str">
        <f aca="false">IF(B31=0,"",IF(H31="M",HLOOKUP(B31,$Y$12:$DT$13,2),IF(A31=0,"",VLOOKUP(A31,[3]CO!$A$3:$F$5311,4,0))))</f>
        <v/>
      </c>
      <c r="O31" s="79" t="str">
        <f aca="false">IF(L31=0,"",PRODUCT(M31:N31))</f>
        <v/>
      </c>
      <c r="P31" s="80"/>
      <c r="Q31" s="81" t="str">
        <f aca="false">IF(P31=0,"",(HLOOKUP(P31,$DW$12:$HR$13,2)))</f>
        <v/>
      </c>
      <c r="R31" s="82" t="str">
        <f aca="false"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RESIDENTE"),VLOOKUP(B31,P$14:Q$131,2),"")*S31)</f>
        <v/>
      </c>
      <c r="S31" s="5"/>
      <c r="T31" s="65" t="str">
        <f aca="false">IF(A31=0,"",VLOOKUP(A31,[3]CO!$A$3:$F$5302,5,0))</f>
        <v/>
      </c>
      <c r="U31" s="55" t="n">
        <f aca="false">IF(T31=1,O31*0.1,)</f>
        <v>0</v>
      </c>
      <c r="V31" s="66"/>
      <c r="W31" s="83"/>
      <c r="X31" s="83"/>
      <c r="Y31" s="84" t="str">
        <f aca="false">IF($B31=Y$12,$U31,"")</f>
        <v/>
      </c>
      <c r="Z31" s="85" t="str">
        <f aca="false">IF($B31=Z$12,$U31,"")</f>
        <v/>
      </c>
      <c r="AA31" s="85" t="str">
        <f aca="false">IF($B31=AA$12,$U31,"")</f>
        <v/>
      </c>
      <c r="AB31" s="85" t="str">
        <f aca="false">IF($B31=AB$12,$U31,"")</f>
        <v/>
      </c>
      <c r="AC31" s="85" t="str">
        <f aca="false">IF($B31=AC$12,$U31,"")</f>
        <v/>
      </c>
      <c r="AD31" s="85" t="str">
        <f aca="false">IF($B31=AD$12,$U31,"")</f>
        <v/>
      </c>
      <c r="AE31" s="85" t="str">
        <f aca="false">IF($B31=AE$12,$U31,"")</f>
        <v/>
      </c>
      <c r="AF31" s="85" t="str">
        <f aca="false">IF($B31=AF$12,$U31,"")</f>
        <v/>
      </c>
      <c r="AG31" s="85" t="str">
        <f aca="false">IF($B31=AG$12,$U31,"")</f>
        <v/>
      </c>
      <c r="AH31" s="85" t="str">
        <f aca="false">IF($B31=AH$12,$U31,"")</f>
        <v/>
      </c>
      <c r="AI31" s="85" t="str">
        <f aca="false">IF($B31=AI$12,$U31,"")</f>
        <v/>
      </c>
      <c r="AJ31" s="85" t="str">
        <f aca="false">IF($B31=AJ$12,$U31,"")</f>
        <v/>
      </c>
      <c r="AK31" s="85" t="str">
        <f aca="false">IF($B31=AK$12,$U31,"")</f>
        <v/>
      </c>
      <c r="AL31" s="85" t="str">
        <f aca="false">IF($B31=AL$12,$U31,"")</f>
        <v/>
      </c>
      <c r="AM31" s="85" t="str">
        <f aca="false">IF($B31=AM$12,$U31,"")</f>
        <v/>
      </c>
      <c r="AN31" s="85" t="str">
        <f aca="false">IF($B31=AN$12,$U31,"")</f>
        <v/>
      </c>
      <c r="AO31" s="85" t="str">
        <f aca="false">IF($B31=AO$12,$U31,"")</f>
        <v/>
      </c>
      <c r="AP31" s="85" t="str">
        <f aca="false">IF($B31=AP$12,$U31,"")</f>
        <v/>
      </c>
      <c r="AQ31" s="85" t="str">
        <f aca="false">IF($B31=AQ$12,$U31,"")</f>
        <v/>
      </c>
      <c r="AR31" s="85" t="str">
        <f aca="false">IF($B31=AR$12,$U31,"")</f>
        <v/>
      </c>
      <c r="AS31" s="85" t="str">
        <f aca="false">IF($B31=AS$12,$U31,"")</f>
        <v/>
      </c>
      <c r="AT31" s="85" t="str">
        <f aca="false">IF($B31=AT$12,$U31,"")</f>
        <v/>
      </c>
      <c r="AU31" s="85" t="str">
        <f aca="false">IF($B31=AU$12,$U31,"")</f>
        <v/>
      </c>
      <c r="AV31" s="85" t="str">
        <f aca="false">IF($B31=AV$12,$U31,"")</f>
        <v/>
      </c>
      <c r="AW31" s="85" t="str">
        <f aca="false">IF($B31=AW$12,$U31,"")</f>
        <v/>
      </c>
      <c r="AX31" s="85" t="str">
        <f aca="false">IF($B31=AX$12,$U31,"")</f>
        <v/>
      </c>
      <c r="AY31" s="85" t="str">
        <f aca="false">IF($B31=AY$12,$U31,"")</f>
        <v/>
      </c>
      <c r="AZ31" s="85" t="str">
        <f aca="false">IF($B31=AZ$12,$U31,"")</f>
        <v/>
      </c>
      <c r="BA31" s="85" t="str">
        <f aca="false">IF($B31=BA$12,$U31,"")</f>
        <v/>
      </c>
      <c r="BB31" s="85" t="str">
        <f aca="false">IF($B31=BB$12,$U31,"")</f>
        <v/>
      </c>
      <c r="BC31" s="85" t="str">
        <f aca="false">IF($B31=BC$12,$U31,"")</f>
        <v/>
      </c>
      <c r="BD31" s="85" t="str">
        <f aca="false">IF($B31=BD$12,$U31,"")</f>
        <v/>
      </c>
      <c r="BE31" s="85" t="str">
        <f aca="false">IF($B31=BE$12,$U31,"")</f>
        <v/>
      </c>
      <c r="BF31" s="85" t="str">
        <f aca="false">IF($B31=BF$12,$U31,"")</f>
        <v/>
      </c>
      <c r="BG31" s="85" t="str">
        <f aca="false">IF($B31=BG$12,$U31,"")</f>
        <v/>
      </c>
      <c r="BH31" s="85" t="str">
        <f aca="false">IF($B31=BH$12,$U31,"")</f>
        <v/>
      </c>
      <c r="BI31" s="85" t="str">
        <f aca="false">IF($B31=BI$12,$U31,"")</f>
        <v/>
      </c>
      <c r="BJ31" s="85" t="str">
        <f aca="false">IF($B31=BJ$12,$U31,"")</f>
        <v/>
      </c>
      <c r="BK31" s="85" t="str">
        <f aca="false">IF($B31=BK$12,$U31,"")</f>
        <v/>
      </c>
      <c r="BL31" s="85" t="str">
        <f aca="false">IF($B31=BL$12,$U31,"")</f>
        <v/>
      </c>
      <c r="BM31" s="85" t="str">
        <f aca="false">IF($B31=BM$12,$U31,"")</f>
        <v/>
      </c>
      <c r="BN31" s="85" t="str">
        <f aca="false">IF($B31=BN$12,$U31,"")</f>
        <v/>
      </c>
      <c r="BO31" s="85" t="str">
        <f aca="false">IF($B31=BO$12,$U31,"")</f>
        <v/>
      </c>
      <c r="BP31" s="85" t="str">
        <f aca="false">IF($B31=BP$12,$U31,"")</f>
        <v/>
      </c>
      <c r="BQ31" s="85" t="str">
        <f aca="false">IF($B31=BQ$12,$U31,"")</f>
        <v/>
      </c>
      <c r="BR31" s="85" t="str">
        <f aca="false">IF($B31=BR$12,$U31,"")</f>
        <v/>
      </c>
      <c r="BS31" s="85" t="str">
        <f aca="false">IF($B31=BS$12,$U31,"")</f>
        <v/>
      </c>
      <c r="BT31" s="85" t="str">
        <f aca="false">IF($B31=BT$12,$U31,"")</f>
        <v/>
      </c>
      <c r="BU31" s="85" t="str">
        <f aca="false">IF($B31=BU$12,$U31,"")</f>
        <v/>
      </c>
      <c r="BV31" s="85" t="str">
        <f aca="false">IF($B31=BV$12,$U31,"")</f>
        <v/>
      </c>
      <c r="BW31" s="85" t="str">
        <f aca="false">IF($B31=BW$12,$U31,"")</f>
        <v/>
      </c>
      <c r="BX31" s="85" t="str">
        <f aca="false">IF($B31=BX$12,$U31,"")</f>
        <v/>
      </c>
      <c r="BY31" s="85" t="str">
        <f aca="false">IF($B31=BY$12,$U31,"")</f>
        <v/>
      </c>
      <c r="BZ31" s="85" t="str">
        <f aca="false">IF($B31=BZ$12,$U31,"")</f>
        <v/>
      </c>
      <c r="CA31" s="85" t="str">
        <f aca="false">IF($B31=CA$12,$U31,"")</f>
        <v/>
      </c>
      <c r="CB31" s="85" t="str">
        <f aca="false">IF($B31=CB$12,$U31,"")</f>
        <v/>
      </c>
      <c r="CC31" s="85" t="str">
        <f aca="false">IF($B31=CC$12,$U31,"")</f>
        <v/>
      </c>
      <c r="CD31" s="85" t="str">
        <f aca="false">IF($B31=CD$12,$U31,"")</f>
        <v/>
      </c>
      <c r="CE31" s="85" t="str">
        <f aca="false">IF($B31=CE$12,$U31,"")</f>
        <v/>
      </c>
      <c r="CF31" s="85" t="str">
        <f aca="false">IF($B31=CF$12,$U31,"")</f>
        <v/>
      </c>
      <c r="CG31" s="85" t="str">
        <f aca="false">IF($B31=CG$12,$U31,"")</f>
        <v/>
      </c>
      <c r="CH31" s="85" t="str">
        <f aca="false">IF($B31=CH$12,$U31,"")</f>
        <v/>
      </c>
      <c r="CI31" s="85" t="str">
        <f aca="false">IF($B31=CI$12,$U31,"")</f>
        <v/>
      </c>
      <c r="CJ31" s="85" t="str">
        <f aca="false">IF($B31=CJ$12,$U31,"")</f>
        <v/>
      </c>
      <c r="CK31" s="85" t="str">
        <f aca="false">IF($B31=CK$12,$U31,"")</f>
        <v/>
      </c>
      <c r="CL31" s="85" t="str">
        <f aca="false">IF($B31=CL$12,$U31,"")</f>
        <v/>
      </c>
      <c r="CM31" s="85" t="str">
        <f aca="false">IF($B31=CM$12,$U31,"")</f>
        <v/>
      </c>
      <c r="CN31" s="85" t="str">
        <f aca="false">IF($B31=CN$12,$U31,"")</f>
        <v/>
      </c>
      <c r="CO31" s="85" t="str">
        <f aca="false">IF($B31=CO$12,$U31,"")</f>
        <v/>
      </c>
      <c r="CP31" s="85" t="str">
        <f aca="false">IF($B31=CP$12,$U31,"")</f>
        <v/>
      </c>
      <c r="CQ31" s="85" t="str">
        <f aca="false">IF($B31=CQ$12,$U31,"")</f>
        <v/>
      </c>
      <c r="CR31" s="85" t="str">
        <f aca="false">IF($B31=CR$12,$U31,"")</f>
        <v/>
      </c>
      <c r="CS31" s="85" t="str">
        <f aca="false">IF($B31=CS$12,$U31,"")</f>
        <v/>
      </c>
      <c r="CT31" s="85" t="str">
        <f aca="false">IF($B31=CT$12,$U31,"")</f>
        <v/>
      </c>
      <c r="CU31" s="85" t="str">
        <f aca="false">IF($B31=CU$12,$U31,"")</f>
        <v/>
      </c>
      <c r="CV31" s="85" t="str">
        <f aca="false">IF($B31=CV$12,$U31,"")</f>
        <v/>
      </c>
      <c r="CW31" s="85" t="str">
        <f aca="false">IF($B31=CW$12,$U31,"")</f>
        <v/>
      </c>
      <c r="CX31" s="85" t="str">
        <f aca="false">IF($B31=CX$12,$U31,"")</f>
        <v/>
      </c>
      <c r="CY31" s="85" t="str">
        <f aca="false">IF($B31=CY$12,$U31,"")</f>
        <v/>
      </c>
      <c r="CZ31" s="85" t="str">
        <f aca="false">IF($B31=CZ$12,$U31,"")</f>
        <v/>
      </c>
      <c r="DA31" s="85" t="str">
        <f aca="false">IF($B31=DA$12,$U31,"")</f>
        <v/>
      </c>
      <c r="DB31" s="85" t="str">
        <f aca="false">IF($B31=DB$12,$U31,"")</f>
        <v/>
      </c>
      <c r="DC31" s="85" t="str">
        <f aca="false">IF($B31=DC$12,$U31,"")</f>
        <v/>
      </c>
      <c r="DD31" s="85" t="str">
        <f aca="false">IF($B31=DD$12,$U31,"")</f>
        <v/>
      </c>
      <c r="DE31" s="85" t="str">
        <f aca="false">IF($B31=DE$12,$U31,"")</f>
        <v/>
      </c>
      <c r="DF31" s="85" t="str">
        <f aca="false">IF($B31=DF$12,$U31,"")</f>
        <v/>
      </c>
      <c r="DG31" s="85" t="str">
        <f aca="false">IF($B31=DG$12,$U31,"")</f>
        <v/>
      </c>
      <c r="DH31" s="85" t="str">
        <f aca="false">IF($B31=DH$12,$U31,"")</f>
        <v/>
      </c>
      <c r="DI31" s="85" t="str">
        <f aca="false">IF($B31=DI$12,$U31,"")</f>
        <v/>
      </c>
      <c r="DJ31" s="85" t="str">
        <f aca="false">IF($B31=DJ$12,$U31,"")</f>
        <v/>
      </c>
      <c r="DK31" s="85" t="str">
        <f aca="false">IF($B31=DK$12,$U31,"")</f>
        <v/>
      </c>
      <c r="DL31" s="85" t="str">
        <f aca="false">IF($B31=DL$12,$U31,"")</f>
        <v/>
      </c>
      <c r="DM31" s="85" t="str">
        <f aca="false">IF($B31=DM$12,$U31,"")</f>
        <v/>
      </c>
      <c r="DN31" s="85" t="str">
        <f aca="false">IF($B31=DN$12,$U31,"")</f>
        <v/>
      </c>
      <c r="DO31" s="85" t="str">
        <f aca="false">IF($B31=DO$12,$U31,"")</f>
        <v/>
      </c>
      <c r="DP31" s="85" t="str">
        <f aca="false">IF($B31=DP$12,$U31,"")</f>
        <v/>
      </c>
      <c r="DQ31" s="85" t="str">
        <f aca="false">IF($B31=DQ$12,$U31,"")</f>
        <v/>
      </c>
      <c r="DR31" s="85" t="str">
        <f aca="false">IF($B31=DR$12,$U31,"")</f>
        <v/>
      </c>
      <c r="DS31" s="85" t="str">
        <f aca="false">IF($B31=DS$12,$U31,"")</f>
        <v/>
      </c>
      <c r="DT31" s="86" t="str">
        <f aca="false">IF($B31=DT$12,$U31,"")</f>
        <v/>
      </c>
      <c r="DU31" s="55"/>
      <c r="DV31" s="83"/>
      <c r="DW31" s="87" t="str">
        <f aca="false">IF($B31=DW$12,$O31,"")</f>
        <v/>
      </c>
      <c r="DX31" s="88" t="str">
        <f aca="false">IF($B31=DX$12,$O31,"")</f>
        <v/>
      </c>
      <c r="DY31" s="88" t="str">
        <f aca="false">IF($B31=DY$12,$O31,"")</f>
        <v/>
      </c>
      <c r="DZ31" s="88" t="str">
        <f aca="false">IF($B31=DZ$12,$O31,"")</f>
        <v/>
      </c>
      <c r="EA31" s="88" t="str">
        <f aca="false">IF($B31=EA$12,$O31,"")</f>
        <v/>
      </c>
      <c r="EB31" s="88" t="str">
        <f aca="false">IF($B31=EB$12,$O31,"")</f>
        <v/>
      </c>
      <c r="EC31" s="88" t="str">
        <f aca="false">IF($B31=EC$12,$O31,"")</f>
        <v/>
      </c>
      <c r="ED31" s="88" t="str">
        <f aca="false">IF($B31=ED$12,$O31,"")</f>
        <v/>
      </c>
      <c r="EE31" s="88" t="str">
        <f aca="false">IF($B31=EE$12,$O31,"")</f>
        <v/>
      </c>
      <c r="EF31" s="88" t="str">
        <f aca="false">IF($B31=EF$12,$O31,"")</f>
        <v/>
      </c>
      <c r="EG31" s="88" t="str">
        <f aca="false">IF($B31=EG$12,$O31,"")</f>
        <v/>
      </c>
      <c r="EH31" s="88" t="str">
        <f aca="false">IF($B31=EH$12,$O31,"")</f>
        <v/>
      </c>
      <c r="EI31" s="88" t="str">
        <f aca="false">IF($B31=EI$12,$O31,"")</f>
        <v/>
      </c>
      <c r="EJ31" s="88" t="str">
        <f aca="false">IF($B31=EJ$12,$O31,"")</f>
        <v/>
      </c>
      <c r="EK31" s="88" t="str">
        <f aca="false">IF($B31=EK$12,$O31,"")</f>
        <v/>
      </c>
      <c r="EL31" s="88" t="str">
        <f aca="false">IF($B31=EL$12,$O31,"")</f>
        <v/>
      </c>
      <c r="EM31" s="88" t="str">
        <f aca="false">IF($B31=EM$12,$O31,"")</f>
        <v/>
      </c>
      <c r="EN31" s="88" t="str">
        <f aca="false">IF($B31=EN$12,$O31,"")</f>
        <v/>
      </c>
      <c r="EO31" s="88" t="str">
        <f aca="false">IF($B31=EO$12,$O31,"")</f>
        <v/>
      </c>
      <c r="EP31" s="88" t="str">
        <f aca="false">IF($B31=EP$12,$O31,"")</f>
        <v/>
      </c>
      <c r="EQ31" s="88" t="str">
        <f aca="false">IF($B31=EQ$12,$O31,"")</f>
        <v/>
      </c>
      <c r="ER31" s="88" t="str">
        <f aca="false">IF($B31=ER$12,$O31,"")</f>
        <v/>
      </c>
      <c r="ES31" s="88" t="str">
        <f aca="false">IF($B31=ES$12,$O31,"")</f>
        <v/>
      </c>
      <c r="ET31" s="88" t="str">
        <f aca="false">IF($B31=ET$12,$O31,"")</f>
        <v/>
      </c>
      <c r="EU31" s="88" t="str">
        <f aca="false">IF($B31=EU$12,$O31,"")</f>
        <v/>
      </c>
      <c r="EV31" s="88" t="str">
        <f aca="false">IF($B31=EV$12,$O31,"")</f>
        <v/>
      </c>
      <c r="EW31" s="88" t="str">
        <f aca="false">IF($B31=EW$12,$O31,"")</f>
        <v/>
      </c>
      <c r="EX31" s="88" t="str">
        <f aca="false">IF($B31=EX$12,$O31,"")</f>
        <v/>
      </c>
      <c r="EY31" s="88" t="str">
        <f aca="false">IF($B31=EY$12,$O31,"")</f>
        <v/>
      </c>
      <c r="EZ31" s="88" t="str">
        <f aca="false">IF($B31=EZ$12,$O31,"")</f>
        <v/>
      </c>
      <c r="FA31" s="88" t="str">
        <f aca="false">IF($B31=FA$12,$O31,"")</f>
        <v/>
      </c>
      <c r="FB31" s="88" t="str">
        <f aca="false">IF($B31=FB$12,$O31,"")</f>
        <v/>
      </c>
      <c r="FC31" s="88" t="str">
        <f aca="false">IF($B31=FC$12,$O31,"")</f>
        <v/>
      </c>
      <c r="FD31" s="88" t="str">
        <f aca="false">IF($B31=FD$12,$O31,"")</f>
        <v/>
      </c>
      <c r="FE31" s="88" t="str">
        <f aca="false">IF($B31=FE$12,$O31,"")</f>
        <v/>
      </c>
      <c r="FF31" s="88" t="str">
        <f aca="false">IF($B31=FF$12,$O31,"")</f>
        <v/>
      </c>
      <c r="FG31" s="88" t="str">
        <f aca="false">IF($B31=FG$12,$O31,"")</f>
        <v/>
      </c>
      <c r="FH31" s="88" t="str">
        <f aca="false">IF($B31=FH$12,$O31,"")</f>
        <v/>
      </c>
      <c r="FI31" s="88" t="str">
        <f aca="false">IF($B31=FI$12,$O31,"")</f>
        <v/>
      </c>
      <c r="FJ31" s="88" t="str">
        <f aca="false">IF($B31=FJ$12,$O31,"")</f>
        <v/>
      </c>
      <c r="FK31" s="88" t="str">
        <f aca="false">IF($B31=FK$12,$O31,"")</f>
        <v/>
      </c>
      <c r="FL31" s="88" t="str">
        <f aca="false">IF($B31=FL$12,$O31,"")</f>
        <v/>
      </c>
      <c r="FM31" s="88" t="str">
        <f aca="false">IF($B31=FM$12,$O31,"")</f>
        <v/>
      </c>
      <c r="FN31" s="88" t="str">
        <f aca="false">IF($B31=FN$12,$O31,"")</f>
        <v/>
      </c>
      <c r="FO31" s="88" t="str">
        <f aca="false">IF($B31=FO$12,$O31,"")</f>
        <v/>
      </c>
      <c r="FP31" s="88" t="str">
        <f aca="false">IF($B31=FP$12,$O31,"")</f>
        <v/>
      </c>
      <c r="FQ31" s="88" t="str">
        <f aca="false">IF($B31=FQ$12,$O31,"")</f>
        <v/>
      </c>
      <c r="FR31" s="88" t="str">
        <f aca="false">IF($B31=FR$12,$O31,"")</f>
        <v/>
      </c>
      <c r="FS31" s="88" t="str">
        <f aca="false">IF($B31=FS$12,$O31,"")</f>
        <v/>
      </c>
      <c r="FT31" s="88" t="str">
        <f aca="false">IF($B31=FT$12,$O31,"")</f>
        <v/>
      </c>
      <c r="FU31" s="88" t="str">
        <f aca="false">IF($B31=FU$12,$O31,"")</f>
        <v/>
      </c>
      <c r="FV31" s="88" t="str">
        <f aca="false">IF($B31=FV$12,$O31,"")</f>
        <v/>
      </c>
      <c r="FW31" s="88" t="str">
        <f aca="false">IF($B31=FW$12,$O31,"")</f>
        <v/>
      </c>
      <c r="FX31" s="88" t="str">
        <f aca="false">IF($B31=FX$12,$O31,"")</f>
        <v/>
      </c>
      <c r="FY31" s="88" t="str">
        <f aca="false">IF($B31=FY$12,$O31,"")</f>
        <v/>
      </c>
      <c r="FZ31" s="88" t="str">
        <f aca="false">IF($B31=FZ$12,$O31,"")</f>
        <v/>
      </c>
      <c r="GA31" s="88" t="str">
        <f aca="false">IF($B31=GA$12,$O31,"")</f>
        <v/>
      </c>
      <c r="GB31" s="88" t="str">
        <f aca="false">IF($B31=GB$12,$O31,"")</f>
        <v/>
      </c>
      <c r="GC31" s="88" t="str">
        <f aca="false">IF($B31=GC$12,$O31,"")</f>
        <v/>
      </c>
      <c r="GD31" s="88" t="str">
        <f aca="false">IF($B31=GD$12,$O31,"")</f>
        <v/>
      </c>
      <c r="GE31" s="88" t="str">
        <f aca="false">IF($B31=GE$12,$O31,"")</f>
        <v/>
      </c>
      <c r="GF31" s="88" t="str">
        <f aca="false">IF($B31=GF$12,$O31,"")</f>
        <v/>
      </c>
      <c r="GG31" s="88" t="str">
        <f aca="false">IF($B31=GG$12,$O31,"")</f>
        <v/>
      </c>
      <c r="GH31" s="88" t="str">
        <f aca="false">IF($B31=GH$12,$O31,"")</f>
        <v/>
      </c>
      <c r="GI31" s="88" t="str">
        <f aca="false">IF($B31=GI$12,$O31,"")</f>
        <v/>
      </c>
      <c r="GJ31" s="88" t="str">
        <f aca="false">IF($B31=GJ$12,$O31,"")</f>
        <v/>
      </c>
      <c r="GK31" s="88" t="str">
        <f aca="false">IF($B31=GK$12,$O31,"")</f>
        <v/>
      </c>
      <c r="GL31" s="88" t="str">
        <f aca="false">IF($B31=GL$12,$O31,"")</f>
        <v/>
      </c>
      <c r="GM31" s="88" t="str">
        <f aca="false">IF($B31=GM$12,$O31,"")</f>
        <v/>
      </c>
      <c r="GN31" s="88" t="str">
        <f aca="false">IF($B31=GN$12,$O31,"")</f>
        <v/>
      </c>
      <c r="GO31" s="88" t="str">
        <f aca="false">IF($B31=GO$12,$O31,"")</f>
        <v/>
      </c>
      <c r="GP31" s="88" t="str">
        <f aca="false">IF($B31=GP$12,$O31,"")</f>
        <v/>
      </c>
      <c r="GQ31" s="88" t="str">
        <f aca="false">IF($B31=GQ$12,$O31,"")</f>
        <v/>
      </c>
      <c r="GR31" s="88" t="str">
        <f aca="false">IF($B31=GR$12,$O31,"")</f>
        <v/>
      </c>
      <c r="GS31" s="88" t="str">
        <f aca="false">IF($B31=GS$12,$O31,"")</f>
        <v/>
      </c>
      <c r="GT31" s="88" t="str">
        <f aca="false">IF($B31=GT$12,$O31,"")</f>
        <v/>
      </c>
      <c r="GU31" s="88" t="str">
        <f aca="false">IF($B31=GU$12,$O31,"")</f>
        <v/>
      </c>
      <c r="GV31" s="88" t="str">
        <f aca="false">IF($B31=GV$12,$O31,"")</f>
        <v/>
      </c>
      <c r="GW31" s="88" t="str">
        <f aca="false">IF($B31=GW$12,$O31,"")</f>
        <v/>
      </c>
      <c r="GX31" s="88" t="str">
        <f aca="false">IF($B31=GX$12,$O31,"")</f>
        <v/>
      </c>
      <c r="GY31" s="88" t="str">
        <f aca="false">IF($B31=GY$12,$O31,"")</f>
        <v/>
      </c>
      <c r="GZ31" s="88" t="str">
        <f aca="false">IF($B31=GZ$12,$O31,"")</f>
        <v/>
      </c>
      <c r="HA31" s="88" t="str">
        <f aca="false">IF($B31=HA$12,$O31,"")</f>
        <v/>
      </c>
      <c r="HB31" s="88" t="str">
        <f aca="false">IF($B31=HB$12,$O31,"")</f>
        <v/>
      </c>
      <c r="HC31" s="88" t="str">
        <f aca="false">IF($B31=HC$12,$O31,"")</f>
        <v/>
      </c>
      <c r="HD31" s="88" t="str">
        <f aca="false">IF($B31=HD$12,$O31,"")</f>
        <v/>
      </c>
      <c r="HE31" s="88" t="str">
        <f aca="false">IF($B31=HE$12,$O31,"")</f>
        <v/>
      </c>
      <c r="HF31" s="88" t="str">
        <f aca="false">IF($B31=HF$12,$O31,"")</f>
        <v/>
      </c>
      <c r="HG31" s="88" t="str">
        <f aca="false">IF($B31=HG$12,$O31,"")</f>
        <v/>
      </c>
      <c r="HH31" s="88" t="str">
        <f aca="false">IF($B31=HH$12,$O31,"")</f>
        <v/>
      </c>
      <c r="HI31" s="88" t="str">
        <f aca="false">IF($B31=HI$12,$O31,"")</f>
        <v/>
      </c>
      <c r="HJ31" s="88" t="str">
        <f aca="false">IF($B31=HJ$12,$O31,"")</f>
        <v/>
      </c>
      <c r="HK31" s="88" t="str">
        <f aca="false">IF($B31=HK$12,$O31,"")</f>
        <v/>
      </c>
      <c r="HL31" s="88" t="str">
        <f aca="false">IF($B31=HL$12,$O31,"")</f>
        <v/>
      </c>
      <c r="HM31" s="88" t="str">
        <f aca="false">IF($B31=HM$12,$O31,"")</f>
        <v/>
      </c>
      <c r="HN31" s="88" t="str">
        <f aca="false">IF($B31=HN$12,$O31,"")</f>
        <v/>
      </c>
      <c r="HO31" s="88" t="str">
        <f aca="false">IF($B31=HO$12,$O31,"")</f>
        <v/>
      </c>
      <c r="HP31" s="88" t="str">
        <f aca="false">IF($B31=HP$12,$O31,"")</f>
        <v/>
      </c>
      <c r="HQ31" s="88" t="str">
        <f aca="false">IF($B31=HQ$12,$O31,"")</f>
        <v/>
      </c>
      <c r="HR31" s="89" t="str">
        <f aca="false">IF($B31=HR$12,$O31,"")</f>
        <v/>
      </c>
    </row>
    <row r="32" customFormat="false" ht="10.5" hidden="false" customHeight="true" outlineLevel="0" collapsed="false">
      <c r="A32" s="73"/>
      <c r="B32" s="74"/>
      <c r="C32" s="75" t="str">
        <f aca="false">IF(A32=0,"",VLOOKUP(A32,[3]CO!$A$3:$F$5311,2,0))</f>
        <v/>
      </c>
      <c r="D32" s="76"/>
      <c r="E32" s="76"/>
      <c r="F32" s="76"/>
      <c r="G32" s="77" t="str">
        <f aca="false">IF(A32=0,"",VLOOKUP(A32,[3]CO!$A$3:$F$5311,3,0))</f>
        <v/>
      </c>
      <c r="H32" s="76"/>
      <c r="I32" s="78"/>
      <c r="J32" s="78"/>
      <c r="K32" s="78"/>
      <c r="L32" s="79"/>
      <c r="M32" s="79" t="str">
        <f aca="false">IF(L32=0,"",PRODUCT(I32:L32))</f>
        <v/>
      </c>
      <c r="N32" s="79" t="str">
        <f aca="false">IF(B32=0,"",IF(H32="M",HLOOKUP(B32,$Y$12:$DT$13,2),IF(A32=0,"",VLOOKUP(A32,[3]CO!$A$3:$F$5311,4,0))))</f>
        <v/>
      </c>
      <c r="O32" s="79" t="str">
        <f aca="false">IF(L32=0,"",PRODUCT(M32:N32))</f>
        <v/>
      </c>
      <c r="P32" s="80"/>
      <c r="Q32" s="81" t="str">
        <f aca="false">IF(P32=0,"",(HLOOKUP(P32,$DW$12:$HR$13,2)))</f>
        <v/>
      </c>
      <c r="R32" s="82" t="str">
        <f aca="false"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RESIDENTE"),VLOOKUP(B32,P$14:Q$131,2),"")*S32)</f>
        <v/>
      </c>
      <c r="S32" s="5"/>
      <c r="T32" s="65" t="str">
        <f aca="false">IF(A32=0,"",VLOOKUP(A32,[3]CO!$A$3:$F$5302,5,0))</f>
        <v/>
      </c>
      <c r="U32" s="55" t="n">
        <f aca="false">IF(T32=1,O32*0.1,)</f>
        <v>0</v>
      </c>
      <c r="V32" s="66"/>
      <c r="W32" s="83"/>
      <c r="X32" s="83"/>
      <c r="Y32" s="84" t="str">
        <f aca="false">IF($B32=Y$12,$U32,"")</f>
        <v/>
      </c>
      <c r="Z32" s="85" t="str">
        <f aca="false">IF($B32=Z$12,$U32,"")</f>
        <v/>
      </c>
      <c r="AA32" s="85" t="str">
        <f aca="false">IF($B32=AA$12,$U32,"")</f>
        <v/>
      </c>
      <c r="AB32" s="85" t="str">
        <f aca="false">IF($B32=AB$12,$U32,"")</f>
        <v/>
      </c>
      <c r="AC32" s="85" t="str">
        <f aca="false">IF($B32=AC$12,$U32,"")</f>
        <v/>
      </c>
      <c r="AD32" s="85" t="str">
        <f aca="false">IF($B32=AD$12,$U32,"")</f>
        <v/>
      </c>
      <c r="AE32" s="85" t="str">
        <f aca="false">IF($B32=AE$12,$U32,"")</f>
        <v/>
      </c>
      <c r="AF32" s="85" t="str">
        <f aca="false">IF($B32=AF$12,$U32,"")</f>
        <v/>
      </c>
      <c r="AG32" s="85" t="str">
        <f aca="false">IF($B32=AG$12,$U32,"")</f>
        <v/>
      </c>
      <c r="AH32" s="85" t="str">
        <f aca="false">IF($B32=AH$12,$U32,"")</f>
        <v/>
      </c>
      <c r="AI32" s="85" t="str">
        <f aca="false">IF($B32=AI$12,$U32,"")</f>
        <v/>
      </c>
      <c r="AJ32" s="85" t="str">
        <f aca="false">IF($B32=AJ$12,$U32,"")</f>
        <v/>
      </c>
      <c r="AK32" s="85" t="str">
        <f aca="false">IF($B32=AK$12,$U32,"")</f>
        <v/>
      </c>
      <c r="AL32" s="85" t="str">
        <f aca="false">IF($B32=AL$12,$U32,"")</f>
        <v/>
      </c>
      <c r="AM32" s="85" t="str">
        <f aca="false">IF($B32=AM$12,$U32,"")</f>
        <v/>
      </c>
      <c r="AN32" s="85" t="str">
        <f aca="false">IF($B32=AN$12,$U32,"")</f>
        <v/>
      </c>
      <c r="AO32" s="85" t="str">
        <f aca="false">IF($B32=AO$12,$U32,"")</f>
        <v/>
      </c>
      <c r="AP32" s="85" t="str">
        <f aca="false">IF($B32=AP$12,$U32,"")</f>
        <v/>
      </c>
      <c r="AQ32" s="85" t="str">
        <f aca="false">IF($B32=AQ$12,$U32,"")</f>
        <v/>
      </c>
      <c r="AR32" s="85" t="str">
        <f aca="false">IF($B32=AR$12,$U32,"")</f>
        <v/>
      </c>
      <c r="AS32" s="85" t="str">
        <f aca="false">IF($B32=AS$12,$U32,"")</f>
        <v/>
      </c>
      <c r="AT32" s="85" t="str">
        <f aca="false">IF($B32=AT$12,$U32,"")</f>
        <v/>
      </c>
      <c r="AU32" s="85" t="str">
        <f aca="false">IF($B32=AU$12,$U32,"")</f>
        <v/>
      </c>
      <c r="AV32" s="85" t="str">
        <f aca="false">IF($B32=AV$12,$U32,"")</f>
        <v/>
      </c>
      <c r="AW32" s="85" t="str">
        <f aca="false">IF($B32=AW$12,$U32,"")</f>
        <v/>
      </c>
      <c r="AX32" s="85" t="str">
        <f aca="false">IF($B32=AX$12,$U32,"")</f>
        <v/>
      </c>
      <c r="AY32" s="85" t="str">
        <f aca="false">IF($B32=AY$12,$U32,"")</f>
        <v/>
      </c>
      <c r="AZ32" s="85" t="str">
        <f aca="false">IF($B32=AZ$12,$U32,"")</f>
        <v/>
      </c>
      <c r="BA32" s="85" t="str">
        <f aca="false">IF($B32=BA$12,$U32,"")</f>
        <v/>
      </c>
      <c r="BB32" s="85" t="str">
        <f aca="false">IF($B32=BB$12,$U32,"")</f>
        <v/>
      </c>
      <c r="BC32" s="85" t="str">
        <f aca="false">IF($B32=BC$12,$U32,"")</f>
        <v/>
      </c>
      <c r="BD32" s="85" t="str">
        <f aca="false">IF($B32=BD$12,$U32,"")</f>
        <v/>
      </c>
      <c r="BE32" s="85" t="str">
        <f aca="false">IF($B32=BE$12,$U32,"")</f>
        <v/>
      </c>
      <c r="BF32" s="85" t="str">
        <f aca="false">IF($B32=BF$12,$U32,"")</f>
        <v/>
      </c>
      <c r="BG32" s="85" t="str">
        <f aca="false">IF($B32=BG$12,$U32,"")</f>
        <v/>
      </c>
      <c r="BH32" s="85" t="str">
        <f aca="false">IF($B32=BH$12,$U32,"")</f>
        <v/>
      </c>
      <c r="BI32" s="85" t="str">
        <f aca="false">IF($B32=BI$12,$U32,"")</f>
        <v/>
      </c>
      <c r="BJ32" s="85" t="str">
        <f aca="false">IF($B32=BJ$12,$U32,"")</f>
        <v/>
      </c>
      <c r="BK32" s="85" t="str">
        <f aca="false">IF($B32=BK$12,$U32,"")</f>
        <v/>
      </c>
      <c r="BL32" s="85" t="str">
        <f aca="false">IF($B32=BL$12,$U32,"")</f>
        <v/>
      </c>
      <c r="BM32" s="85" t="str">
        <f aca="false">IF($B32=BM$12,$U32,"")</f>
        <v/>
      </c>
      <c r="BN32" s="85" t="str">
        <f aca="false">IF($B32=BN$12,$U32,"")</f>
        <v/>
      </c>
      <c r="BO32" s="85" t="str">
        <f aca="false">IF($B32=BO$12,$U32,"")</f>
        <v/>
      </c>
      <c r="BP32" s="85" t="str">
        <f aca="false">IF($B32=BP$12,$U32,"")</f>
        <v/>
      </c>
      <c r="BQ32" s="85" t="str">
        <f aca="false">IF($B32=BQ$12,$U32,"")</f>
        <v/>
      </c>
      <c r="BR32" s="85" t="str">
        <f aca="false">IF($B32=BR$12,$U32,"")</f>
        <v/>
      </c>
      <c r="BS32" s="85" t="str">
        <f aca="false">IF($B32=BS$12,$U32,"")</f>
        <v/>
      </c>
      <c r="BT32" s="85" t="str">
        <f aca="false">IF($B32=BT$12,$U32,"")</f>
        <v/>
      </c>
      <c r="BU32" s="85" t="str">
        <f aca="false">IF($B32=BU$12,$U32,"")</f>
        <v/>
      </c>
      <c r="BV32" s="85" t="str">
        <f aca="false">IF($B32=BV$12,$U32,"")</f>
        <v/>
      </c>
      <c r="BW32" s="85" t="str">
        <f aca="false">IF($B32=BW$12,$U32,"")</f>
        <v/>
      </c>
      <c r="BX32" s="85" t="str">
        <f aca="false">IF($B32=BX$12,$U32,"")</f>
        <v/>
      </c>
      <c r="BY32" s="85" t="str">
        <f aca="false">IF($B32=BY$12,$U32,"")</f>
        <v/>
      </c>
      <c r="BZ32" s="85" t="str">
        <f aca="false">IF($B32=BZ$12,$U32,"")</f>
        <v/>
      </c>
      <c r="CA32" s="85" t="str">
        <f aca="false">IF($B32=CA$12,$U32,"")</f>
        <v/>
      </c>
      <c r="CB32" s="85" t="str">
        <f aca="false">IF($B32=CB$12,$U32,"")</f>
        <v/>
      </c>
      <c r="CC32" s="85" t="str">
        <f aca="false">IF($B32=CC$12,$U32,"")</f>
        <v/>
      </c>
      <c r="CD32" s="85" t="str">
        <f aca="false">IF($B32=CD$12,$U32,"")</f>
        <v/>
      </c>
      <c r="CE32" s="85" t="str">
        <f aca="false">IF($B32=CE$12,$U32,"")</f>
        <v/>
      </c>
      <c r="CF32" s="85" t="str">
        <f aca="false">IF($B32=CF$12,$U32,"")</f>
        <v/>
      </c>
      <c r="CG32" s="85" t="str">
        <f aca="false">IF($B32=CG$12,$U32,"")</f>
        <v/>
      </c>
      <c r="CH32" s="85" t="str">
        <f aca="false">IF($B32=CH$12,$U32,"")</f>
        <v/>
      </c>
      <c r="CI32" s="85" t="str">
        <f aca="false">IF($B32=CI$12,$U32,"")</f>
        <v/>
      </c>
      <c r="CJ32" s="85" t="str">
        <f aca="false">IF($B32=CJ$12,$U32,"")</f>
        <v/>
      </c>
      <c r="CK32" s="85" t="str">
        <f aca="false">IF($B32=CK$12,$U32,"")</f>
        <v/>
      </c>
      <c r="CL32" s="85" t="str">
        <f aca="false">IF($B32=CL$12,$U32,"")</f>
        <v/>
      </c>
      <c r="CM32" s="85" t="str">
        <f aca="false">IF($B32=CM$12,$U32,"")</f>
        <v/>
      </c>
      <c r="CN32" s="85" t="str">
        <f aca="false">IF($B32=CN$12,$U32,"")</f>
        <v/>
      </c>
      <c r="CO32" s="85" t="str">
        <f aca="false">IF($B32=CO$12,$U32,"")</f>
        <v/>
      </c>
      <c r="CP32" s="85" t="str">
        <f aca="false">IF($B32=CP$12,$U32,"")</f>
        <v/>
      </c>
      <c r="CQ32" s="85" t="str">
        <f aca="false">IF($B32=CQ$12,$U32,"")</f>
        <v/>
      </c>
      <c r="CR32" s="85" t="str">
        <f aca="false">IF($B32=CR$12,$U32,"")</f>
        <v/>
      </c>
      <c r="CS32" s="85" t="str">
        <f aca="false">IF($B32=CS$12,$U32,"")</f>
        <v/>
      </c>
      <c r="CT32" s="85" t="str">
        <f aca="false">IF($B32=CT$12,$U32,"")</f>
        <v/>
      </c>
      <c r="CU32" s="85" t="str">
        <f aca="false">IF($B32=CU$12,$U32,"")</f>
        <v/>
      </c>
      <c r="CV32" s="85" t="str">
        <f aca="false">IF($B32=CV$12,$U32,"")</f>
        <v/>
      </c>
      <c r="CW32" s="85" t="str">
        <f aca="false">IF($B32=CW$12,$U32,"")</f>
        <v/>
      </c>
      <c r="CX32" s="85" t="str">
        <f aca="false">IF($B32=CX$12,$U32,"")</f>
        <v/>
      </c>
      <c r="CY32" s="85" t="str">
        <f aca="false">IF($B32=CY$12,$U32,"")</f>
        <v/>
      </c>
      <c r="CZ32" s="85" t="str">
        <f aca="false">IF($B32=CZ$12,$U32,"")</f>
        <v/>
      </c>
      <c r="DA32" s="85" t="str">
        <f aca="false">IF($B32=DA$12,$U32,"")</f>
        <v/>
      </c>
      <c r="DB32" s="85" t="str">
        <f aca="false">IF($B32=DB$12,$U32,"")</f>
        <v/>
      </c>
      <c r="DC32" s="85" t="str">
        <f aca="false">IF($B32=DC$12,$U32,"")</f>
        <v/>
      </c>
      <c r="DD32" s="85" t="str">
        <f aca="false">IF($B32=DD$12,$U32,"")</f>
        <v/>
      </c>
      <c r="DE32" s="85" t="str">
        <f aca="false">IF($B32=DE$12,$U32,"")</f>
        <v/>
      </c>
      <c r="DF32" s="85" t="str">
        <f aca="false">IF($B32=DF$12,$U32,"")</f>
        <v/>
      </c>
      <c r="DG32" s="85" t="str">
        <f aca="false">IF($B32=DG$12,$U32,"")</f>
        <v/>
      </c>
      <c r="DH32" s="85" t="str">
        <f aca="false">IF($B32=DH$12,$U32,"")</f>
        <v/>
      </c>
      <c r="DI32" s="85" t="str">
        <f aca="false">IF($B32=DI$12,$U32,"")</f>
        <v/>
      </c>
      <c r="DJ32" s="85" t="str">
        <f aca="false">IF($B32=DJ$12,$U32,"")</f>
        <v/>
      </c>
      <c r="DK32" s="85" t="str">
        <f aca="false">IF($B32=DK$12,$U32,"")</f>
        <v/>
      </c>
      <c r="DL32" s="85" t="str">
        <f aca="false">IF($B32=DL$12,$U32,"")</f>
        <v/>
      </c>
      <c r="DM32" s="85" t="str">
        <f aca="false">IF($B32=DM$12,$U32,"")</f>
        <v/>
      </c>
      <c r="DN32" s="85" t="str">
        <f aca="false">IF($B32=DN$12,$U32,"")</f>
        <v/>
      </c>
      <c r="DO32" s="85" t="str">
        <f aca="false">IF($B32=DO$12,$U32,"")</f>
        <v/>
      </c>
      <c r="DP32" s="85" t="str">
        <f aca="false">IF($B32=DP$12,$U32,"")</f>
        <v/>
      </c>
      <c r="DQ32" s="85" t="str">
        <f aca="false">IF($B32=DQ$12,$U32,"")</f>
        <v/>
      </c>
      <c r="DR32" s="85" t="str">
        <f aca="false">IF($B32=DR$12,$U32,"")</f>
        <v/>
      </c>
      <c r="DS32" s="85" t="str">
        <f aca="false">IF($B32=DS$12,$U32,"")</f>
        <v/>
      </c>
      <c r="DT32" s="86" t="str">
        <f aca="false">IF($B32=DT$12,$U32,"")</f>
        <v/>
      </c>
      <c r="DU32" s="55"/>
      <c r="DV32" s="83"/>
      <c r="DW32" s="87" t="str">
        <f aca="false">IF($B32=DW$12,$O32,"")</f>
        <v/>
      </c>
      <c r="DX32" s="88" t="str">
        <f aca="false">IF($B32=DX$12,$O32,"")</f>
        <v/>
      </c>
      <c r="DY32" s="88" t="str">
        <f aca="false">IF($B32=DY$12,$O32,"")</f>
        <v/>
      </c>
      <c r="DZ32" s="88" t="str">
        <f aca="false">IF($B32=DZ$12,$O32,"")</f>
        <v/>
      </c>
      <c r="EA32" s="88" t="str">
        <f aca="false">IF($B32=EA$12,$O32,"")</f>
        <v/>
      </c>
      <c r="EB32" s="88" t="str">
        <f aca="false">IF($B32=EB$12,$O32,"")</f>
        <v/>
      </c>
      <c r="EC32" s="88" t="str">
        <f aca="false">IF($B32=EC$12,$O32,"")</f>
        <v/>
      </c>
      <c r="ED32" s="88" t="str">
        <f aca="false">IF($B32=ED$12,$O32,"")</f>
        <v/>
      </c>
      <c r="EE32" s="88" t="str">
        <f aca="false">IF($B32=EE$12,$O32,"")</f>
        <v/>
      </c>
      <c r="EF32" s="88" t="str">
        <f aca="false">IF($B32=EF$12,$O32,"")</f>
        <v/>
      </c>
      <c r="EG32" s="88" t="str">
        <f aca="false">IF($B32=EG$12,$O32,"")</f>
        <v/>
      </c>
      <c r="EH32" s="88" t="str">
        <f aca="false">IF($B32=EH$12,$O32,"")</f>
        <v/>
      </c>
      <c r="EI32" s="88" t="str">
        <f aca="false">IF($B32=EI$12,$O32,"")</f>
        <v/>
      </c>
      <c r="EJ32" s="88" t="str">
        <f aca="false">IF($B32=EJ$12,$O32,"")</f>
        <v/>
      </c>
      <c r="EK32" s="88" t="str">
        <f aca="false">IF($B32=EK$12,$O32,"")</f>
        <v/>
      </c>
      <c r="EL32" s="88" t="str">
        <f aca="false">IF($B32=EL$12,$O32,"")</f>
        <v/>
      </c>
      <c r="EM32" s="88" t="str">
        <f aca="false">IF($B32=EM$12,$O32,"")</f>
        <v/>
      </c>
      <c r="EN32" s="88" t="str">
        <f aca="false">IF($B32=EN$12,$O32,"")</f>
        <v/>
      </c>
      <c r="EO32" s="88" t="str">
        <f aca="false">IF($B32=EO$12,$O32,"")</f>
        <v/>
      </c>
      <c r="EP32" s="88" t="str">
        <f aca="false">IF($B32=EP$12,$O32,"")</f>
        <v/>
      </c>
      <c r="EQ32" s="88" t="str">
        <f aca="false">IF($B32=EQ$12,$O32,"")</f>
        <v/>
      </c>
      <c r="ER32" s="88" t="str">
        <f aca="false">IF($B32=ER$12,$O32,"")</f>
        <v/>
      </c>
      <c r="ES32" s="88" t="str">
        <f aca="false">IF($B32=ES$12,$O32,"")</f>
        <v/>
      </c>
      <c r="ET32" s="88" t="str">
        <f aca="false">IF($B32=ET$12,$O32,"")</f>
        <v/>
      </c>
      <c r="EU32" s="88" t="str">
        <f aca="false">IF($B32=EU$12,$O32,"")</f>
        <v/>
      </c>
      <c r="EV32" s="88" t="str">
        <f aca="false">IF($B32=EV$12,$O32,"")</f>
        <v/>
      </c>
      <c r="EW32" s="88" t="str">
        <f aca="false">IF($B32=EW$12,$O32,"")</f>
        <v/>
      </c>
      <c r="EX32" s="88" t="str">
        <f aca="false">IF($B32=EX$12,$O32,"")</f>
        <v/>
      </c>
      <c r="EY32" s="88" t="str">
        <f aca="false">IF($B32=EY$12,$O32,"")</f>
        <v/>
      </c>
      <c r="EZ32" s="88" t="str">
        <f aca="false">IF($B32=EZ$12,$O32,"")</f>
        <v/>
      </c>
      <c r="FA32" s="88" t="str">
        <f aca="false">IF($B32=FA$12,$O32,"")</f>
        <v/>
      </c>
      <c r="FB32" s="88" t="str">
        <f aca="false">IF($B32=FB$12,$O32,"")</f>
        <v/>
      </c>
      <c r="FC32" s="88" t="str">
        <f aca="false">IF($B32=FC$12,$O32,"")</f>
        <v/>
      </c>
      <c r="FD32" s="88" t="str">
        <f aca="false">IF($B32=FD$12,$O32,"")</f>
        <v/>
      </c>
      <c r="FE32" s="88" t="str">
        <f aca="false">IF($B32=FE$12,$O32,"")</f>
        <v/>
      </c>
      <c r="FF32" s="88" t="str">
        <f aca="false">IF($B32=FF$12,$O32,"")</f>
        <v/>
      </c>
      <c r="FG32" s="88" t="str">
        <f aca="false">IF($B32=FG$12,$O32,"")</f>
        <v/>
      </c>
      <c r="FH32" s="88" t="str">
        <f aca="false">IF($B32=FH$12,$O32,"")</f>
        <v/>
      </c>
      <c r="FI32" s="88" t="str">
        <f aca="false">IF($B32=FI$12,$O32,"")</f>
        <v/>
      </c>
      <c r="FJ32" s="88" t="str">
        <f aca="false">IF($B32=FJ$12,$O32,"")</f>
        <v/>
      </c>
      <c r="FK32" s="88" t="str">
        <f aca="false">IF($B32=FK$12,$O32,"")</f>
        <v/>
      </c>
      <c r="FL32" s="88" t="str">
        <f aca="false">IF($B32=FL$12,$O32,"")</f>
        <v/>
      </c>
      <c r="FM32" s="88" t="str">
        <f aca="false">IF($B32=FM$12,$O32,"")</f>
        <v/>
      </c>
      <c r="FN32" s="88" t="str">
        <f aca="false">IF($B32=FN$12,$O32,"")</f>
        <v/>
      </c>
      <c r="FO32" s="88" t="str">
        <f aca="false">IF($B32=FO$12,$O32,"")</f>
        <v/>
      </c>
      <c r="FP32" s="88" t="str">
        <f aca="false">IF($B32=FP$12,$O32,"")</f>
        <v/>
      </c>
      <c r="FQ32" s="88" t="str">
        <f aca="false">IF($B32=FQ$12,$O32,"")</f>
        <v/>
      </c>
      <c r="FR32" s="88" t="str">
        <f aca="false">IF($B32=FR$12,$O32,"")</f>
        <v/>
      </c>
      <c r="FS32" s="88" t="str">
        <f aca="false">IF($B32=FS$12,$O32,"")</f>
        <v/>
      </c>
      <c r="FT32" s="88" t="str">
        <f aca="false">IF($B32=FT$12,$O32,"")</f>
        <v/>
      </c>
      <c r="FU32" s="88" t="str">
        <f aca="false">IF($B32=FU$12,$O32,"")</f>
        <v/>
      </c>
      <c r="FV32" s="88" t="str">
        <f aca="false">IF($B32=FV$12,$O32,"")</f>
        <v/>
      </c>
      <c r="FW32" s="88" t="str">
        <f aca="false">IF($B32=FW$12,$O32,"")</f>
        <v/>
      </c>
      <c r="FX32" s="88" t="str">
        <f aca="false">IF($B32=FX$12,$O32,"")</f>
        <v/>
      </c>
      <c r="FY32" s="88" t="str">
        <f aca="false">IF($B32=FY$12,$O32,"")</f>
        <v/>
      </c>
      <c r="FZ32" s="88" t="str">
        <f aca="false">IF($B32=FZ$12,$O32,"")</f>
        <v/>
      </c>
      <c r="GA32" s="88" t="str">
        <f aca="false">IF($B32=GA$12,$O32,"")</f>
        <v/>
      </c>
      <c r="GB32" s="88" t="str">
        <f aca="false">IF($B32=GB$12,$O32,"")</f>
        <v/>
      </c>
      <c r="GC32" s="88" t="str">
        <f aca="false">IF($B32=GC$12,$O32,"")</f>
        <v/>
      </c>
      <c r="GD32" s="88" t="str">
        <f aca="false">IF($B32=GD$12,$O32,"")</f>
        <v/>
      </c>
      <c r="GE32" s="88" t="str">
        <f aca="false">IF($B32=GE$12,$O32,"")</f>
        <v/>
      </c>
      <c r="GF32" s="88" t="str">
        <f aca="false">IF($B32=GF$12,$O32,"")</f>
        <v/>
      </c>
      <c r="GG32" s="88" t="str">
        <f aca="false">IF($B32=GG$12,$O32,"")</f>
        <v/>
      </c>
      <c r="GH32" s="88" t="str">
        <f aca="false">IF($B32=GH$12,$O32,"")</f>
        <v/>
      </c>
      <c r="GI32" s="88" t="str">
        <f aca="false">IF($B32=GI$12,$O32,"")</f>
        <v/>
      </c>
      <c r="GJ32" s="88" t="str">
        <f aca="false">IF($B32=GJ$12,$O32,"")</f>
        <v/>
      </c>
      <c r="GK32" s="88" t="str">
        <f aca="false">IF($B32=GK$12,$O32,"")</f>
        <v/>
      </c>
      <c r="GL32" s="88" t="str">
        <f aca="false">IF($B32=GL$12,$O32,"")</f>
        <v/>
      </c>
      <c r="GM32" s="88" t="str">
        <f aca="false">IF($B32=GM$12,$O32,"")</f>
        <v/>
      </c>
      <c r="GN32" s="88" t="str">
        <f aca="false">IF($B32=GN$12,$O32,"")</f>
        <v/>
      </c>
      <c r="GO32" s="88" t="str">
        <f aca="false">IF($B32=GO$12,$O32,"")</f>
        <v/>
      </c>
      <c r="GP32" s="88" t="str">
        <f aca="false">IF($B32=GP$12,$O32,"")</f>
        <v/>
      </c>
      <c r="GQ32" s="88" t="str">
        <f aca="false">IF($B32=GQ$12,$O32,"")</f>
        <v/>
      </c>
      <c r="GR32" s="88" t="str">
        <f aca="false">IF($B32=GR$12,$O32,"")</f>
        <v/>
      </c>
      <c r="GS32" s="88" t="str">
        <f aca="false">IF($B32=GS$12,$O32,"")</f>
        <v/>
      </c>
      <c r="GT32" s="88" t="str">
        <f aca="false">IF($B32=GT$12,$O32,"")</f>
        <v/>
      </c>
      <c r="GU32" s="88" t="str">
        <f aca="false">IF($B32=GU$12,$O32,"")</f>
        <v/>
      </c>
      <c r="GV32" s="88" t="str">
        <f aca="false">IF($B32=GV$12,$O32,"")</f>
        <v/>
      </c>
      <c r="GW32" s="88" t="str">
        <f aca="false">IF($B32=GW$12,$O32,"")</f>
        <v/>
      </c>
      <c r="GX32" s="88" t="str">
        <f aca="false">IF($B32=GX$12,$O32,"")</f>
        <v/>
      </c>
      <c r="GY32" s="88" t="str">
        <f aca="false">IF($B32=GY$12,$O32,"")</f>
        <v/>
      </c>
      <c r="GZ32" s="88" t="str">
        <f aca="false">IF($B32=GZ$12,$O32,"")</f>
        <v/>
      </c>
      <c r="HA32" s="88" t="str">
        <f aca="false">IF($B32=HA$12,$O32,"")</f>
        <v/>
      </c>
      <c r="HB32" s="88" t="str">
        <f aca="false">IF($B32=HB$12,$O32,"")</f>
        <v/>
      </c>
      <c r="HC32" s="88" t="str">
        <f aca="false">IF($B32=HC$12,$O32,"")</f>
        <v/>
      </c>
      <c r="HD32" s="88" t="str">
        <f aca="false">IF($B32=HD$12,$O32,"")</f>
        <v/>
      </c>
      <c r="HE32" s="88" t="str">
        <f aca="false">IF($B32=HE$12,$O32,"")</f>
        <v/>
      </c>
      <c r="HF32" s="88" t="str">
        <f aca="false">IF($B32=HF$12,$O32,"")</f>
        <v/>
      </c>
      <c r="HG32" s="88" t="str">
        <f aca="false">IF($B32=HG$12,$O32,"")</f>
        <v/>
      </c>
      <c r="HH32" s="88" t="str">
        <f aca="false">IF($B32=HH$12,$O32,"")</f>
        <v/>
      </c>
      <c r="HI32" s="88" t="str">
        <f aca="false">IF($B32=HI$12,$O32,"")</f>
        <v/>
      </c>
      <c r="HJ32" s="88" t="str">
        <f aca="false">IF($B32=HJ$12,$O32,"")</f>
        <v/>
      </c>
      <c r="HK32" s="88" t="str">
        <f aca="false">IF($B32=HK$12,$O32,"")</f>
        <v/>
      </c>
      <c r="HL32" s="88" t="str">
        <f aca="false">IF($B32=HL$12,$O32,"")</f>
        <v/>
      </c>
      <c r="HM32" s="88" t="str">
        <f aca="false">IF($B32=HM$12,$O32,"")</f>
        <v/>
      </c>
      <c r="HN32" s="88" t="str">
        <f aca="false">IF($B32=HN$12,$O32,"")</f>
        <v/>
      </c>
      <c r="HO32" s="88" t="str">
        <f aca="false">IF($B32=HO$12,$O32,"")</f>
        <v/>
      </c>
      <c r="HP32" s="88" t="str">
        <f aca="false">IF($B32=HP$12,$O32,"")</f>
        <v/>
      </c>
      <c r="HQ32" s="88" t="str">
        <f aca="false">IF($B32=HQ$12,$O32,"")</f>
        <v/>
      </c>
      <c r="HR32" s="89" t="str">
        <f aca="false">IF($B32=HR$12,$O32,"")</f>
        <v/>
      </c>
    </row>
    <row r="33" customFormat="false" ht="10.5" hidden="false" customHeight="true" outlineLevel="0" collapsed="false">
      <c r="A33" s="73"/>
      <c r="B33" s="74"/>
      <c r="C33" s="75" t="str">
        <f aca="false">IF(A33=0,"",VLOOKUP(A33,[3]CO!$A$3:$F$5311,2,0))</f>
        <v/>
      </c>
      <c r="D33" s="76"/>
      <c r="E33" s="76"/>
      <c r="F33" s="76"/>
      <c r="G33" s="77" t="str">
        <f aca="false">IF(A33=0,"",VLOOKUP(A33,[3]CO!$A$3:$F$5311,3,0))</f>
        <v/>
      </c>
      <c r="H33" s="76"/>
      <c r="I33" s="78"/>
      <c r="J33" s="78"/>
      <c r="K33" s="78"/>
      <c r="L33" s="79"/>
      <c r="M33" s="79" t="str">
        <f aca="false">IF(L33=0,"",PRODUCT(I33:L33))</f>
        <v/>
      </c>
      <c r="N33" s="79" t="str">
        <f aca="false">IF(B33=0,"",IF(H33="M",HLOOKUP(B33,$Y$12:$DT$13,2),IF(A33=0,"",VLOOKUP(A33,[3]CO!$A$3:$F$5311,4,0))))</f>
        <v/>
      </c>
      <c r="O33" s="79" t="str">
        <f aca="false">IF(L33=0,"",PRODUCT(M33:N33))</f>
        <v/>
      </c>
      <c r="P33" s="80"/>
      <c r="Q33" s="81" t="str">
        <f aca="false">IF(P33=0,"",(HLOOKUP(P33,$DW$12:$HR$13,2)))</f>
        <v/>
      </c>
      <c r="R33" s="82" t="str">
        <f aca="false"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RESIDENTE"),VLOOKUP(B33,P$14:Q$131,2),"")*S33)</f>
        <v/>
      </c>
      <c r="S33" s="5"/>
      <c r="T33" s="65" t="str">
        <f aca="false">IF(A33=0,"",VLOOKUP(A33,[3]CO!$A$3:$F$5302,5,0))</f>
        <v/>
      </c>
      <c r="U33" s="55" t="n">
        <f aca="false">IF(T33=1,O33*0.1,)</f>
        <v>0</v>
      </c>
      <c r="V33" s="66"/>
      <c r="W33" s="83"/>
      <c r="X33" s="83"/>
      <c r="Y33" s="84" t="str">
        <f aca="false">IF($B33=Y$12,$U33,"")</f>
        <v/>
      </c>
      <c r="Z33" s="85" t="str">
        <f aca="false">IF($B33=Z$12,$U33,"")</f>
        <v/>
      </c>
      <c r="AA33" s="85" t="str">
        <f aca="false">IF($B33=AA$12,$U33,"")</f>
        <v/>
      </c>
      <c r="AB33" s="85" t="str">
        <f aca="false">IF($B33=AB$12,$U33,"")</f>
        <v/>
      </c>
      <c r="AC33" s="85" t="str">
        <f aca="false">IF($B33=AC$12,$U33,"")</f>
        <v/>
      </c>
      <c r="AD33" s="85" t="str">
        <f aca="false">IF($B33=AD$12,$U33,"")</f>
        <v/>
      </c>
      <c r="AE33" s="85" t="str">
        <f aca="false">IF($B33=AE$12,$U33,"")</f>
        <v/>
      </c>
      <c r="AF33" s="85" t="str">
        <f aca="false">IF($B33=AF$12,$U33,"")</f>
        <v/>
      </c>
      <c r="AG33" s="85" t="str">
        <f aca="false">IF($B33=AG$12,$U33,"")</f>
        <v/>
      </c>
      <c r="AH33" s="85" t="str">
        <f aca="false">IF($B33=AH$12,$U33,"")</f>
        <v/>
      </c>
      <c r="AI33" s="85" t="str">
        <f aca="false">IF($B33=AI$12,$U33,"")</f>
        <v/>
      </c>
      <c r="AJ33" s="85" t="str">
        <f aca="false">IF($B33=AJ$12,$U33,"")</f>
        <v/>
      </c>
      <c r="AK33" s="85" t="str">
        <f aca="false">IF($B33=AK$12,$U33,"")</f>
        <v/>
      </c>
      <c r="AL33" s="85" t="str">
        <f aca="false">IF($B33=AL$12,$U33,"")</f>
        <v/>
      </c>
      <c r="AM33" s="85" t="str">
        <f aca="false">IF($B33=AM$12,$U33,"")</f>
        <v/>
      </c>
      <c r="AN33" s="85" t="str">
        <f aca="false">IF($B33=AN$12,$U33,"")</f>
        <v/>
      </c>
      <c r="AO33" s="85" t="str">
        <f aca="false">IF($B33=AO$12,$U33,"")</f>
        <v/>
      </c>
      <c r="AP33" s="85" t="str">
        <f aca="false">IF($B33=AP$12,$U33,"")</f>
        <v/>
      </c>
      <c r="AQ33" s="85" t="str">
        <f aca="false">IF($B33=AQ$12,$U33,"")</f>
        <v/>
      </c>
      <c r="AR33" s="85" t="str">
        <f aca="false">IF($B33=AR$12,$U33,"")</f>
        <v/>
      </c>
      <c r="AS33" s="85" t="str">
        <f aca="false">IF($B33=AS$12,$U33,"")</f>
        <v/>
      </c>
      <c r="AT33" s="85" t="str">
        <f aca="false">IF($B33=AT$12,$U33,"")</f>
        <v/>
      </c>
      <c r="AU33" s="85" t="str">
        <f aca="false">IF($B33=AU$12,$U33,"")</f>
        <v/>
      </c>
      <c r="AV33" s="85" t="str">
        <f aca="false">IF($B33=AV$12,$U33,"")</f>
        <v/>
      </c>
      <c r="AW33" s="85" t="str">
        <f aca="false">IF($B33=AW$12,$U33,"")</f>
        <v/>
      </c>
      <c r="AX33" s="85" t="str">
        <f aca="false">IF($B33=AX$12,$U33,"")</f>
        <v/>
      </c>
      <c r="AY33" s="85" t="str">
        <f aca="false">IF($B33=AY$12,$U33,"")</f>
        <v/>
      </c>
      <c r="AZ33" s="85" t="str">
        <f aca="false">IF($B33=AZ$12,$U33,"")</f>
        <v/>
      </c>
      <c r="BA33" s="85" t="str">
        <f aca="false">IF($B33=BA$12,$U33,"")</f>
        <v/>
      </c>
      <c r="BB33" s="85" t="str">
        <f aca="false">IF($B33=BB$12,$U33,"")</f>
        <v/>
      </c>
      <c r="BC33" s="85" t="str">
        <f aca="false">IF($B33=BC$12,$U33,"")</f>
        <v/>
      </c>
      <c r="BD33" s="85" t="str">
        <f aca="false">IF($B33=BD$12,$U33,"")</f>
        <v/>
      </c>
      <c r="BE33" s="85" t="str">
        <f aca="false">IF($B33=BE$12,$U33,"")</f>
        <v/>
      </c>
      <c r="BF33" s="85" t="str">
        <f aca="false">IF($B33=BF$12,$U33,"")</f>
        <v/>
      </c>
      <c r="BG33" s="85" t="str">
        <f aca="false">IF($B33=BG$12,$U33,"")</f>
        <v/>
      </c>
      <c r="BH33" s="85" t="str">
        <f aca="false">IF($B33=BH$12,$U33,"")</f>
        <v/>
      </c>
      <c r="BI33" s="85" t="str">
        <f aca="false">IF($B33=BI$12,$U33,"")</f>
        <v/>
      </c>
      <c r="BJ33" s="85" t="str">
        <f aca="false">IF($B33=BJ$12,$U33,"")</f>
        <v/>
      </c>
      <c r="BK33" s="85" t="str">
        <f aca="false">IF($B33=BK$12,$U33,"")</f>
        <v/>
      </c>
      <c r="BL33" s="85" t="str">
        <f aca="false">IF($B33=BL$12,$U33,"")</f>
        <v/>
      </c>
      <c r="BM33" s="85" t="str">
        <f aca="false">IF($B33=BM$12,$U33,"")</f>
        <v/>
      </c>
      <c r="BN33" s="85" t="str">
        <f aca="false">IF($B33=BN$12,$U33,"")</f>
        <v/>
      </c>
      <c r="BO33" s="85" t="str">
        <f aca="false">IF($B33=BO$12,$U33,"")</f>
        <v/>
      </c>
      <c r="BP33" s="85" t="str">
        <f aca="false">IF($B33=BP$12,$U33,"")</f>
        <v/>
      </c>
      <c r="BQ33" s="85" t="str">
        <f aca="false">IF($B33=BQ$12,$U33,"")</f>
        <v/>
      </c>
      <c r="BR33" s="85" t="str">
        <f aca="false">IF($B33=BR$12,$U33,"")</f>
        <v/>
      </c>
      <c r="BS33" s="85" t="str">
        <f aca="false">IF($B33=BS$12,$U33,"")</f>
        <v/>
      </c>
      <c r="BT33" s="85" t="str">
        <f aca="false">IF($B33=BT$12,$U33,"")</f>
        <v/>
      </c>
      <c r="BU33" s="85" t="str">
        <f aca="false">IF($B33=BU$12,$U33,"")</f>
        <v/>
      </c>
      <c r="BV33" s="85" t="str">
        <f aca="false">IF($B33=BV$12,$U33,"")</f>
        <v/>
      </c>
      <c r="BW33" s="85" t="str">
        <f aca="false">IF($B33=BW$12,$U33,"")</f>
        <v/>
      </c>
      <c r="BX33" s="85" t="str">
        <f aca="false">IF($B33=BX$12,$U33,"")</f>
        <v/>
      </c>
      <c r="BY33" s="85" t="str">
        <f aca="false">IF($B33=BY$12,$U33,"")</f>
        <v/>
      </c>
      <c r="BZ33" s="85" t="str">
        <f aca="false">IF($B33=BZ$12,$U33,"")</f>
        <v/>
      </c>
      <c r="CA33" s="85" t="str">
        <f aca="false">IF($B33=CA$12,$U33,"")</f>
        <v/>
      </c>
      <c r="CB33" s="85" t="str">
        <f aca="false">IF($B33=CB$12,$U33,"")</f>
        <v/>
      </c>
      <c r="CC33" s="85" t="str">
        <f aca="false">IF($B33=CC$12,$U33,"")</f>
        <v/>
      </c>
      <c r="CD33" s="85" t="str">
        <f aca="false">IF($B33=CD$12,$U33,"")</f>
        <v/>
      </c>
      <c r="CE33" s="85" t="str">
        <f aca="false">IF($B33=CE$12,$U33,"")</f>
        <v/>
      </c>
      <c r="CF33" s="85" t="str">
        <f aca="false">IF($B33=CF$12,$U33,"")</f>
        <v/>
      </c>
      <c r="CG33" s="85" t="str">
        <f aca="false">IF($B33=CG$12,$U33,"")</f>
        <v/>
      </c>
      <c r="CH33" s="85" t="str">
        <f aca="false">IF($B33=CH$12,$U33,"")</f>
        <v/>
      </c>
      <c r="CI33" s="85" t="str">
        <f aca="false">IF($B33=CI$12,$U33,"")</f>
        <v/>
      </c>
      <c r="CJ33" s="85" t="str">
        <f aca="false">IF($B33=CJ$12,$U33,"")</f>
        <v/>
      </c>
      <c r="CK33" s="85" t="str">
        <f aca="false">IF($B33=CK$12,$U33,"")</f>
        <v/>
      </c>
      <c r="CL33" s="85" t="str">
        <f aca="false">IF($B33=CL$12,$U33,"")</f>
        <v/>
      </c>
      <c r="CM33" s="85" t="str">
        <f aca="false">IF($B33=CM$12,$U33,"")</f>
        <v/>
      </c>
      <c r="CN33" s="85" t="str">
        <f aca="false">IF($B33=CN$12,$U33,"")</f>
        <v/>
      </c>
      <c r="CO33" s="85" t="str">
        <f aca="false">IF($B33=CO$12,$U33,"")</f>
        <v/>
      </c>
      <c r="CP33" s="85" t="str">
        <f aca="false">IF($B33=CP$12,$U33,"")</f>
        <v/>
      </c>
      <c r="CQ33" s="85" t="str">
        <f aca="false">IF($B33=CQ$12,$U33,"")</f>
        <v/>
      </c>
      <c r="CR33" s="85" t="str">
        <f aca="false">IF($B33=CR$12,$U33,"")</f>
        <v/>
      </c>
      <c r="CS33" s="85" t="str">
        <f aca="false">IF($B33=CS$12,$U33,"")</f>
        <v/>
      </c>
      <c r="CT33" s="85" t="str">
        <f aca="false">IF($B33=CT$12,$U33,"")</f>
        <v/>
      </c>
      <c r="CU33" s="85" t="str">
        <f aca="false">IF($B33=CU$12,$U33,"")</f>
        <v/>
      </c>
      <c r="CV33" s="85" t="str">
        <f aca="false">IF($B33=CV$12,$U33,"")</f>
        <v/>
      </c>
      <c r="CW33" s="85" t="str">
        <f aca="false">IF($B33=CW$12,$U33,"")</f>
        <v/>
      </c>
      <c r="CX33" s="85" t="str">
        <f aca="false">IF($B33=CX$12,$U33,"")</f>
        <v/>
      </c>
      <c r="CY33" s="85" t="str">
        <f aca="false">IF($B33=CY$12,$U33,"")</f>
        <v/>
      </c>
      <c r="CZ33" s="85" t="str">
        <f aca="false">IF($B33=CZ$12,$U33,"")</f>
        <v/>
      </c>
      <c r="DA33" s="85" t="str">
        <f aca="false">IF($B33=DA$12,$U33,"")</f>
        <v/>
      </c>
      <c r="DB33" s="85" t="str">
        <f aca="false">IF($B33=DB$12,$U33,"")</f>
        <v/>
      </c>
      <c r="DC33" s="85" t="str">
        <f aca="false">IF($B33=DC$12,$U33,"")</f>
        <v/>
      </c>
      <c r="DD33" s="85" t="str">
        <f aca="false">IF($B33=DD$12,$U33,"")</f>
        <v/>
      </c>
      <c r="DE33" s="85" t="str">
        <f aca="false">IF($B33=DE$12,$U33,"")</f>
        <v/>
      </c>
      <c r="DF33" s="85" t="str">
        <f aca="false">IF($B33=DF$12,$U33,"")</f>
        <v/>
      </c>
      <c r="DG33" s="85" t="str">
        <f aca="false">IF($B33=DG$12,$U33,"")</f>
        <v/>
      </c>
      <c r="DH33" s="85" t="str">
        <f aca="false">IF($B33=DH$12,$U33,"")</f>
        <v/>
      </c>
      <c r="DI33" s="85" t="str">
        <f aca="false">IF($B33=DI$12,$U33,"")</f>
        <v/>
      </c>
      <c r="DJ33" s="85" t="str">
        <f aca="false">IF($B33=DJ$12,$U33,"")</f>
        <v/>
      </c>
      <c r="DK33" s="85" t="str">
        <f aca="false">IF($B33=DK$12,$U33,"")</f>
        <v/>
      </c>
      <c r="DL33" s="85" t="str">
        <f aca="false">IF($B33=DL$12,$U33,"")</f>
        <v/>
      </c>
      <c r="DM33" s="85" t="str">
        <f aca="false">IF($B33=DM$12,$U33,"")</f>
        <v/>
      </c>
      <c r="DN33" s="85" t="str">
        <f aca="false">IF($B33=DN$12,$U33,"")</f>
        <v/>
      </c>
      <c r="DO33" s="85" t="str">
        <f aca="false">IF($B33=DO$12,$U33,"")</f>
        <v/>
      </c>
      <c r="DP33" s="85" t="str">
        <f aca="false">IF($B33=DP$12,$U33,"")</f>
        <v/>
      </c>
      <c r="DQ33" s="85" t="str">
        <f aca="false">IF($B33=DQ$12,$U33,"")</f>
        <v/>
      </c>
      <c r="DR33" s="85" t="str">
        <f aca="false">IF($B33=DR$12,$U33,"")</f>
        <v/>
      </c>
      <c r="DS33" s="85" t="str">
        <f aca="false">IF($B33=DS$12,$U33,"")</f>
        <v/>
      </c>
      <c r="DT33" s="86" t="str">
        <f aca="false">IF($B33=DT$12,$U33,"")</f>
        <v/>
      </c>
      <c r="DU33" s="55"/>
      <c r="DV33" s="83"/>
      <c r="DW33" s="87" t="str">
        <f aca="false">IF($B33=DW$12,$O33,"")</f>
        <v/>
      </c>
      <c r="DX33" s="88" t="str">
        <f aca="false">IF($B33=DX$12,$O33,"")</f>
        <v/>
      </c>
      <c r="DY33" s="88" t="str">
        <f aca="false">IF($B33=DY$12,$O33,"")</f>
        <v/>
      </c>
      <c r="DZ33" s="88" t="str">
        <f aca="false">IF($B33=DZ$12,$O33,"")</f>
        <v/>
      </c>
      <c r="EA33" s="88" t="str">
        <f aca="false">IF($B33=EA$12,$O33,"")</f>
        <v/>
      </c>
      <c r="EB33" s="88" t="str">
        <f aca="false">IF($B33=EB$12,$O33,"")</f>
        <v/>
      </c>
      <c r="EC33" s="88" t="str">
        <f aca="false">IF($B33=EC$12,$O33,"")</f>
        <v/>
      </c>
      <c r="ED33" s="88" t="str">
        <f aca="false">IF($B33=ED$12,$O33,"")</f>
        <v/>
      </c>
      <c r="EE33" s="88" t="str">
        <f aca="false">IF($B33=EE$12,$O33,"")</f>
        <v/>
      </c>
      <c r="EF33" s="88" t="str">
        <f aca="false">IF($B33=EF$12,$O33,"")</f>
        <v/>
      </c>
      <c r="EG33" s="88" t="str">
        <f aca="false">IF($B33=EG$12,$O33,"")</f>
        <v/>
      </c>
      <c r="EH33" s="88" t="str">
        <f aca="false">IF($B33=EH$12,$O33,"")</f>
        <v/>
      </c>
      <c r="EI33" s="88" t="str">
        <f aca="false">IF($B33=EI$12,$O33,"")</f>
        <v/>
      </c>
      <c r="EJ33" s="88" t="str">
        <f aca="false">IF($B33=EJ$12,$O33,"")</f>
        <v/>
      </c>
      <c r="EK33" s="88" t="str">
        <f aca="false">IF($B33=EK$12,$O33,"")</f>
        <v/>
      </c>
      <c r="EL33" s="88" t="str">
        <f aca="false">IF($B33=EL$12,$O33,"")</f>
        <v/>
      </c>
      <c r="EM33" s="88" t="str">
        <f aca="false">IF($B33=EM$12,$O33,"")</f>
        <v/>
      </c>
      <c r="EN33" s="88" t="str">
        <f aca="false">IF($B33=EN$12,$O33,"")</f>
        <v/>
      </c>
      <c r="EO33" s="88" t="str">
        <f aca="false">IF($B33=EO$12,$O33,"")</f>
        <v/>
      </c>
      <c r="EP33" s="88" t="str">
        <f aca="false">IF($B33=EP$12,$O33,"")</f>
        <v/>
      </c>
      <c r="EQ33" s="88" t="str">
        <f aca="false">IF($B33=EQ$12,$O33,"")</f>
        <v/>
      </c>
      <c r="ER33" s="88" t="str">
        <f aca="false">IF($B33=ER$12,$O33,"")</f>
        <v/>
      </c>
      <c r="ES33" s="88" t="str">
        <f aca="false">IF($B33=ES$12,$O33,"")</f>
        <v/>
      </c>
      <c r="ET33" s="88" t="str">
        <f aca="false">IF($B33=ET$12,$O33,"")</f>
        <v/>
      </c>
      <c r="EU33" s="88" t="str">
        <f aca="false">IF($B33=EU$12,$O33,"")</f>
        <v/>
      </c>
      <c r="EV33" s="88" t="str">
        <f aca="false">IF($B33=EV$12,$O33,"")</f>
        <v/>
      </c>
      <c r="EW33" s="88" t="str">
        <f aca="false">IF($B33=EW$12,$O33,"")</f>
        <v/>
      </c>
      <c r="EX33" s="88" t="str">
        <f aca="false">IF($B33=EX$12,$O33,"")</f>
        <v/>
      </c>
      <c r="EY33" s="88" t="str">
        <f aca="false">IF($B33=EY$12,$O33,"")</f>
        <v/>
      </c>
      <c r="EZ33" s="88" t="str">
        <f aca="false">IF($B33=EZ$12,$O33,"")</f>
        <v/>
      </c>
      <c r="FA33" s="88" t="str">
        <f aca="false">IF($B33=FA$12,$O33,"")</f>
        <v/>
      </c>
      <c r="FB33" s="88" t="str">
        <f aca="false">IF($B33=FB$12,$O33,"")</f>
        <v/>
      </c>
      <c r="FC33" s="88" t="str">
        <f aca="false">IF($B33=FC$12,$O33,"")</f>
        <v/>
      </c>
      <c r="FD33" s="88" t="str">
        <f aca="false">IF($B33=FD$12,$O33,"")</f>
        <v/>
      </c>
      <c r="FE33" s="88" t="str">
        <f aca="false">IF($B33=FE$12,$O33,"")</f>
        <v/>
      </c>
      <c r="FF33" s="88" t="str">
        <f aca="false">IF($B33=FF$12,$O33,"")</f>
        <v/>
      </c>
      <c r="FG33" s="88" t="str">
        <f aca="false">IF($B33=FG$12,$O33,"")</f>
        <v/>
      </c>
      <c r="FH33" s="88" t="str">
        <f aca="false">IF($B33=FH$12,$O33,"")</f>
        <v/>
      </c>
      <c r="FI33" s="88" t="str">
        <f aca="false">IF($B33=FI$12,$O33,"")</f>
        <v/>
      </c>
      <c r="FJ33" s="88" t="str">
        <f aca="false">IF($B33=FJ$12,$O33,"")</f>
        <v/>
      </c>
      <c r="FK33" s="88" t="str">
        <f aca="false">IF($B33=FK$12,$O33,"")</f>
        <v/>
      </c>
      <c r="FL33" s="88" t="str">
        <f aca="false">IF($B33=FL$12,$O33,"")</f>
        <v/>
      </c>
      <c r="FM33" s="88" t="str">
        <f aca="false">IF($B33=FM$12,$O33,"")</f>
        <v/>
      </c>
      <c r="FN33" s="88" t="str">
        <f aca="false">IF($B33=FN$12,$O33,"")</f>
        <v/>
      </c>
      <c r="FO33" s="88" t="str">
        <f aca="false">IF($B33=FO$12,$O33,"")</f>
        <v/>
      </c>
      <c r="FP33" s="88" t="str">
        <f aca="false">IF($B33=FP$12,$O33,"")</f>
        <v/>
      </c>
      <c r="FQ33" s="88" t="str">
        <f aca="false">IF($B33=FQ$12,$O33,"")</f>
        <v/>
      </c>
      <c r="FR33" s="88" t="str">
        <f aca="false">IF($B33=FR$12,$O33,"")</f>
        <v/>
      </c>
      <c r="FS33" s="88" t="str">
        <f aca="false">IF($B33=FS$12,$O33,"")</f>
        <v/>
      </c>
      <c r="FT33" s="88" t="str">
        <f aca="false">IF($B33=FT$12,$O33,"")</f>
        <v/>
      </c>
      <c r="FU33" s="88" t="str">
        <f aca="false">IF($B33=FU$12,$O33,"")</f>
        <v/>
      </c>
      <c r="FV33" s="88" t="str">
        <f aca="false">IF($B33=FV$12,$O33,"")</f>
        <v/>
      </c>
      <c r="FW33" s="88" t="str">
        <f aca="false">IF($B33=FW$12,$O33,"")</f>
        <v/>
      </c>
      <c r="FX33" s="88" t="str">
        <f aca="false">IF($B33=FX$12,$O33,"")</f>
        <v/>
      </c>
      <c r="FY33" s="88" t="str">
        <f aca="false">IF($B33=FY$12,$O33,"")</f>
        <v/>
      </c>
      <c r="FZ33" s="88" t="str">
        <f aca="false">IF($B33=FZ$12,$O33,"")</f>
        <v/>
      </c>
      <c r="GA33" s="88" t="str">
        <f aca="false">IF($B33=GA$12,$O33,"")</f>
        <v/>
      </c>
      <c r="GB33" s="88" t="str">
        <f aca="false">IF($B33=GB$12,$O33,"")</f>
        <v/>
      </c>
      <c r="GC33" s="88" t="str">
        <f aca="false">IF($B33=GC$12,$O33,"")</f>
        <v/>
      </c>
      <c r="GD33" s="88" t="str">
        <f aca="false">IF($B33=GD$12,$O33,"")</f>
        <v/>
      </c>
      <c r="GE33" s="88" t="str">
        <f aca="false">IF($B33=GE$12,$O33,"")</f>
        <v/>
      </c>
      <c r="GF33" s="88" t="str">
        <f aca="false">IF($B33=GF$12,$O33,"")</f>
        <v/>
      </c>
      <c r="GG33" s="88" t="str">
        <f aca="false">IF($B33=GG$12,$O33,"")</f>
        <v/>
      </c>
      <c r="GH33" s="88" t="str">
        <f aca="false">IF($B33=GH$12,$O33,"")</f>
        <v/>
      </c>
      <c r="GI33" s="88" t="str">
        <f aca="false">IF($B33=GI$12,$O33,"")</f>
        <v/>
      </c>
      <c r="GJ33" s="88" t="str">
        <f aca="false">IF($B33=GJ$12,$O33,"")</f>
        <v/>
      </c>
      <c r="GK33" s="88" t="str">
        <f aca="false">IF($B33=GK$12,$O33,"")</f>
        <v/>
      </c>
      <c r="GL33" s="88" t="str">
        <f aca="false">IF($B33=GL$12,$O33,"")</f>
        <v/>
      </c>
      <c r="GM33" s="88" t="str">
        <f aca="false">IF($B33=GM$12,$O33,"")</f>
        <v/>
      </c>
      <c r="GN33" s="88" t="str">
        <f aca="false">IF($B33=GN$12,$O33,"")</f>
        <v/>
      </c>
      <c r="GO33" s="88" t="str">
        <f aca="false">IF($B33=GO$12,$O33,"")</f>
        <v/>
      </c>
      <c r="GP33" s="88" t="str">
        <f aca="false">IF($B33=GP$12,$O33,"")</f>
        <v/>
      </c>
      <c r="GQ33" s="88" t="str">
        <f aca="false">IF($B33=GQ$12,$O33,"")</f>
        <v/>
      </c>
      <c r="GR33" s="88" t="str">
        <f aca="false">IF($B33=GR$12,$O33,"")</f>
        <v/>
      </c>
      <c r="GS33" s="88" t="str">
        <f aca="false">IF($B33=GS$12,$O33,"")</f>
        <v/>
      </c>
      <c r="GT33" s="88" t="str">
        <f aca="false">IF($B33=GT$12,$O33,"")</f>
        <v/>
      </c>
      <c r="GU33" s="88" t="str">
        <f aca="false">IF($B33=GU$12,$O33,"")</f>
        <v/>
      </c>
      <c r="GV33" s="88" t="str">
        <f aca="false">IF($B33=GV$12,$O33,"")</f>
        <v/>
      </c>
      <c r="GW33" s="88" t="str">
        <f aca="false">IF($B33=GW$12,$O33,"")</f>
        <v/>
      </c>
      <c r="GX33" s="88" t="str">
        <f aca="false">IF($B33=GX$12,$O33,"")</f>
        <v/>
      </c>
      <c r="GY33" s="88" t="str">
        <f aca="false">IF($B33=GY$12,$O33,"")</f>
        <v/>
      </c>
      <c r="GZ33" s="88" t="str">
        <f aca="false">IF($B33=GZ$12,$O33,"")</f>
        <v/>
      </c>
      <c r="HA33" s="88" t="str">
        <f aca="false">IF($B33=HA$12,$O33,"")</f>
        <v/>
      </c>
      <c r="HB33" s="88" t="str">
        <f aca="false">IF($B33=HB$12,$O33,"")</f>
        <v/>
      </c>
      <c r="HC33" s="88" t="str">
        <f aca="false">IF($B33=HC$12,$O33,"")</f>
        <v/>
      </c>
      <c r="HD33" s="88" t="str">
        <f aca="false">IF($B33=HD$12,$O33,"")</f>
        <v/>
      </c>
      <c r="HE33" s="88" t="str">
        <f aca="false">IF($B33=HE$12,$O33,"")</f>
        <v/>
      </c>
      <c r="HF33" s="88" t="str">
        <f aca="false">IF($B33=HF$12,$O33,"")</f>
        <v/>
      </c>
      <c r="HG33" s="88" t="str">
        <f aca="false">IF($B33=HG$12,$O33,"")</f>
        <v/>
      </c>
      <c r="HH33" s="88" t="str">
        <f aca="false">IF($B33=HH$12,$O33,"")</f>
        <v/>
      </c>
      <c r="HI33" s="88" t="str">
        <f aca="false">IF($B33=HI$12,$O33,"")</f>
        <v/>
      </c>
      <c r="HJ33" s="88" t="str">
        <f aca="false">IF($B33=HJ$12,$O33,"")</f>
        <v/>
      </c>
      <c r="HK33" s="88" t="str">
        <f aca="false">IF($B33=HK$12,$O33,"")</f>
        <v/>
      </c>
      <c r="HL33" s="88" t="str">
        <f aca="false">IF($B33=HL$12,$O33,"")</f>
        <v/>
      </c>
      <c r="HM33" s="88" t="str">
        <f aca="false">IF($B33=HM$12,$O33,"")</f>
        <v/>
      </c>
      <c r="HN33" s="88" t="str">
        <f aca="false">IF($B33=HN$12,$O33,"")</f>
        <v/>
      </c>
      <c r="HO33" s="88" t="str">
        <f aca="false">IF($B33=HO$12,$O33,"")</f>
        <v/>
      </c>
      <c r="HP33" s="88" t="str">
        <f aca="false">IF($B33=HP$12,$O33,"")</f>
        <v/>
      </c>
      <c r="HQ33" s="88" t="str">
        <f aca="false">IF($B33=HQ$12,$O33,"")</f>
        <v/>
      </c>
      <c r="HR33" s="89" t="str">
        <f aca="false">IF($B33=HR$12,$O33,"")</f>
        <v/>
      </c>
    </row>
    <row r="34" customFormat="false" ht="10.5" hidden="false" customHeight="true" outlineLevel="0" collapsed="false">
      <c r="A34" s="73"/>
      <c r="B34" s="74"/>
      <c r="C34" s="75" t="str">
        <f aca="false">IF(A34=0,"",VLOOKUP(A34,[3]CO!$A$3:$F$5311,2,0))</f>
        <v/>
      </c>
      <c r="D34" s="76"/>
      <c r="E34" s="76"/>
      <c r="F34" s="76"/>
      <c r="G34" s="77" t="str">
        <f aca="false">IF(A34=0,"",VLOOKUP(A34,[3]CO!$A$3:$F$5311,3,0))</f>
        <v/>
      </c>
      <c r="H34" s="76"/>
      <c r="I34" s="78"/>
      <c r="J34" s="78"/>
      <c r="K34" s="78"/>
      <c r="L34" s="78"/>
      <c r="M34" s="79" t="str">
        <f aca="false">IF(L34=0,"",PRODUCT(I34:L34))</f>
        <v/>
      </c>
      <c r="N34" s="79" t="str">
        <f aca="false">IF(B34=0,"",IF(H34="M",HLOOKUP(B34,$Y$12:$DT$13,2),IF(A34=0,"",VLOOKUP(A34,[3]CO!$A$3:$F$5311,4,0))))</f>
        <v/>
      </c>
      <c r="O34" s="79" t="str">
        <f aca="false">IF(L34=0,"",PRODUCT(M34:N34))</f>
        <v/>
      </c>
      <c r="P34" s="80"/>
      <c r="Q34" s="81" t="str">
        <f aca="false">IF(P34=0,"",(HLOOKUP(P34,$DW$12:$HR$13,2)))</f>
        <v/>
      </c>
      <c r="R34" s="82" t="str">
        <f aca="false"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RESIDENTE"),VLOOKUP(B34,P$14:Q$131,2),"")*S34)</f>
        <v/>
      </c>
      <c r="S34" s="5"/>
      <c r="T34" s="65" t="str">
        <f aca="false">IF(A34=0,"",VLOOKUP(A34,[3]CO!$A$3:$F$5302,5,0))</f>
        <v/>
      </c>
      <c r="U34" s="55" t="n">
        <f aca="false">IF(T34=1,O34*0.1,)</f>
        <v>0</v>
      </c>
      <c r="V34" s="66"/>
      <c r="W34" s="83"/>
      <c r="X34" s="83"/>
      <c r="Y34" s="84" t="str">
        <f aca="false">IF($B34=Y$12,$U34,"")</f>
        <v/>
      </c>
      <c r="Z34" s="85" t="str">
        <f aca="false">IF($B34=Z$12,$U34,"")</f>
        <v/>
      </c>
      <c r="AA34" s="85" t="str">
        <f aca="false">IF($B34=AA$12,$U34,"")</f>
        <v/>
      </c>
      <c r="AB34" s="85" t="str">
        <f aca="false">IF($B34=AB$12,$U34,"")</f>
        <v/>
      </c>
      <c r="AC34" s="85" t="str">
        <f aca="false">IF($B34=AC$12,$U34,"")</f>
        <v/>
      </c>
      <c r="AD34" s="85" t="str">
        <f aca="false">IF($B34=AD$12,$U34,"")</f>
        <v/>
      </c>
      <c r="AE34" s="85" t="str">
        <f aca="false">IF($B34=AE$12,$U34,"")</f>
        <v/>
      </c>
      <c r="AF34" s="85" t="str">
        <f aca="false">IF($B34=AF$12,$U34,"")</f>
        <v/>
      </c>
      <c r="AG34" s="85" t="str">
        <f aca="false">IF($B34=AG$12,$U34,"")</f>
        <v/>
      </c>
      <c r="AH34" s="85" t="str">
        <f aca="false">IF($B34=AH$12,$U34,"")</f>
        <v/>
      </c>
      <c r="AI34" s="85" t="str">
        <f aca="false">IF($B34=AI$12,$U34,"")</f>
        <v/>
      </c>
      <c r="AJ34" s="85" t="str">
        <f aca="false">IF($B34=AJ$12,$U34,"")</f>
        <v/>
      </c>
      <c r="AK34" s="85" t="str">
        <f aca="false">IF($B34=AK$12,$U34,"")</f>
        <v/>
      </c>
      <c r="AL34" s="85" t="str">
        <f aca="false">IF($B34=AL$12,$U34,"")</f>
        <v/>
      </c>
      <c r="AM34" s="85" t="str">
        <f aca="false">IF($B34=AM$12,$U34,"")</f>
        <v/>
      </c>
      <c r="AN34" s="85" t="str">
        <f aca="false">IF($B34=AN$12,$U34,"")</f>
        <v/>
      </c>
      <c r="AO34" s="85" t="str">
        <f aca="false">IF($B34=AO$12,$U34,"")</f>
        <v/>
      </c>
      <c r="AP34" s="85" t="str">
        <f aca="false">IF($B34=AP$12,$U34,"")</f>
        <v/>
      </c>
      <c r="AQ34" s="85" t="str">
        <f aca="false">IF($B34=AQ$12,$U34,"")</f>
        <v/>
      </c>
      <c r="AR34" s="85" t="str">
        <f aca="false">IF($B34=AR$12,$U34,"")</f>
        <v/>
      </c>
      <c r="AS34" s="85" t="str">
        <f aca="false">IF($B34=AS$12,$U34,"")</f>
        <v/>
      </c>
      <c r="AT34" s="85" t="str">
        <f aca="false">IF($B34=AT$12,$U34,"")</f>
        <v/>
      </c>
      <c r="AU34" s="85" t="str">
        <f aca="false">IF($B34=AU$12,$U34,"")</f>
        <v/>
      </c>
      <c r="AV34" s="85" t="str">
        <f aca="false">IF($B34=AV$12,$U34,"")</f>
        <v/>
      </c>
      <c r="AW34" s="85" t="str">
        <f aca="false">IF($B34=AW$12,$U34,"")</f>
        <v/>
      </c>
      <c r="AX34" s="85" t="str">
        <f aca="false">IF($B34=AX$12,$U34,"")</f>
        <v/>
      </c>
      <c r="AY34" s="85" t="str">
        <f aca="false">IF($B34=AY$12,$U34,"")</f>
        <v/>
      </c>
      <c r="AZ34" s="85" t="str">
        <f aca="false">IF($B34=AZ$12,$U34,"")</f>
        <v/>
      </c>
      <c r="BA34" s="85" t="str">
        <f aca="false">IF($B34=BA$12,$U34,"")</f>
        <v/>
      </c>
      <c r="BB34" s="85" t="str">
        <f aca="false">IF($B34=BB$12,$U34,"")</f>
        <v/>
      </c>
      <c r="BC34" s="85" t="str">
        <f aca="false">IF($B34=BC$12,$U34,"")</f>
        <v/>
      </c>
      <c r="BD34" s="85" t="str">
        <f aca="false">IF($B34=BD$12,$U34,"")</f>
        <v/>
      </c>
      <c r="BE34" s="85" t="str">
        <f aca="false">IF($B34=BE$12,$U34,"")</f>
        <v/>
      </c>
      <c r="BF34" s="85" t="str">
        <f aca="false">IF($B34=BF$12,$U34,"")</f>
        <v/>
      </c>
      <c r="BG34" s="85" t="str">
        <f aca="false">IF($B34=BG$12,$U34,"")</f>
        <v/>
      </c>
      <c r="BH34" s="85" t="str">
        <f aca="false">IF($B34=BH$12,$U34,"")</f>
        <v/>
      </c>
      <c r="BI34" s="85" t="str">
        <f aca="false">IF($B34=BI$12,$U34,"")</f>
        <v/>
      </c>
      <c r="BJ34" s="85" t="str">
        <f aca="false">IF($B34=BJ$12,$U34,"")</f>
        <v/>
      </c>
      <c r="BK34" s="85" t="str">
        <f aca="false">IF($B34=BK$12,$U34,"")</f>
        <v/>
      </c>
      <c r="BL34" s="85" t="str">
        <f aca="false">IF($B34=BL$12,$U34,"")</f>
        <v/>
      </c>
      <c r="BM34" s="85" t="str">
        <f aca="false">IF($B34=BM$12,$U34,"")</f>
        <v/>
      </c>
      <c r="BN34" s="85" t="str">
        <f aca="false">IF($B34=BN$12,$U34,"")</f>
        <v/>
      </c>
      <c r="BO34" s="85" t="str">
        <f aca="false">IF($B34=BO$12,$U34,"")</f>
        <v/>
      </c>
      <c r="BP34" s="85" t="str">
        <f aca="false">IF($B34=BP$12,$U34,"")</f>
        <v/>
      </c>
      <c r="BQ34" s="85" t="str">
        <f aca="false">IF($B34=BQ$12,$U34,"")</f>
        <v/>
      </c>
      <c r="BR34" s="85" t="str">
        <f aca="false">IF($B34=BR$12,$U34,"")</f>
        <v/>
      </c>
      <c r="BS34" s="85" t="str">
        <f aca="false">IF($B34=BS$12,$U34,"")</f>
        <v/>
      </c>
      <c r="BT34" s="85" t="str">
        <f aca="false">IF($B34=BT$12,$U34,"")</f>
        <v/>
      </c>
      <c r="BU34" s="85" t="str">
        <f aca="false">IF($B34=BU$12,$U34,"")</f>
        <v/>
      </c>
      <c r="BV34" s="85" t="str">
        <f aca="false">IF($B34=BV$12,$U34,"")</f>
        <v/>
      </c>
      <c r="BW34" s="85" t="str">
        <f aca="false">IF($B34=BW$12,$U34,"")</f>
        <v/>
      </c>
      <c r="BX34" s="85" t="str">
        <f aca="false">IF($B34=BX$12,$U34,"")</f>
        <v/>
      </c>
      <c r="BY34" s="85" t="str">
        <f aca="false">IF($B34=BY$12,$U34,"")</f>
        <v/>
      </c>
      <c r="BZ34" s="85" t="str">
        <f aca="false">IF($B34=BZ$12,$U34,"")</f>
        <v/>
      </c>
      <c r="CA34" s="85" t="str">
        <f aca="false">IF($B34=CA$12,$U34,"")</f>
        <v/>
      </c>
      <c r="CB34" s="85" t="str">
        <f aca="false">IF($B34=CB$12,$U34,"")</f>
        <v/>
      </c>
      <c r="CC34" s="85" t="str">
        <f aca="false">IF($B34=CC$12,$U34,"")</f>
        <v/>
      </c>
      <c r="CD34" s="85" t="str">
        <f aca="false">IF($B34=CD$12,$U34,"")</f>
        <v/>
      </c>
      <c r="CE34" s="85" t="str">
        <f aca="false">IF($B34=CE$12,$U34,"")</f>
        <v/>
      </c>
      <c r="CF34" s="85" t="str">
        <f aca="false">IF($B34=CF$12,$U34,"")</f>
        <v/>
      </c>
      <c r="CG34" s="85" t="str">
        <f aca="false">IF($B34=CG$12,$U34,"")</f>
        <v/>
      </c>
      <c r="CH34" s="85" t="str">
        <f aca="false">IF($B34=CH$12,$U34,"")</f>
        <v/>
      </c>
      <c r="CI34" s="85" t="str">
        <f aca="false">IF($B34=CI$12,$U34,"")</f>
        <v/>
      </c>
      <c r="CJ34" s="85" t="str">
        <f aca="false">IF($B34=CJ$12,$U34,"")</f>
        <v/>
      </c>
      <c r="CK34" s="85" t="str">
        <f aca="false">IF($B34=CK$12,$U34,"")</f>
        <v/>
      </c>
      <c r="CL34" s="85" t="str">
        <f aca="false">IF($B34=CL$12,$U34,"")</f>
        <v/>
      </c>
      <c r="CM34" s="85" t="str">
        <f aca="false">IF($B34=CM$12,$U34,"")</f>
        <v/>
      </c>
      <c r="CN34" s="85" t="str">
        <f aca="false">IF($B34=CN$12,$U34,"")</f>
        <v/>
      </c>
      <c r="CO34" s="85" t="str">
        <f aca="false">IF($B34=CO$12,$U34,"")</f>
        <v/>
      </c>
      <c r="CP34" s="85" t="str">
        <f aca="false">IF($B34=CP$12,$U34,"")</f>
        <v/>
      </c>
      <c r="CQ34" s="85" t="str">
        <f aca="false">IF($B34=CQ$12,$U34,"")</f>
        <v/>
      </c>
      <c r="CR34" s="85" t="str">
        <f aca="false">IF($B34=CR$12,$U34,"")</f>
        <v/>
      </c>
      <c r="CS34" s="85" t="str">
        <f aca="false">IF($B34=CS$12,$U34,"")</f>
        <v/>
      </c>
      <c r="CT34" s="85" t="str">
        <f aca="false">IF($B34=CT$12,$U34,"")</f>
        <v/>
      </c>
      <c r="CU34" s="85" t="str">
        <f aca="false">IF($B34=CU$12,$U34,"")</f>
        <v/>
      </c>
      <c r="CV34" s="85" t="str">
        <f aca="false">IF($B34=CV$12,$U34,"")</f>
        <v/>
      </c>
      <c r="CW34" s="85" t="str">
        <f aca="false">IF($B34=CW$12,$U34,"")</f>
        <v/>
      </c>
      <c r="CX34" s="85" t="str">
        <f aca="false">IF($B34=CX$12,$U34,"")</f>
        <v/>
      </c>
      <c r="CY34" s="85" t="str">
        <f aca="false">IF($B34=CY$12,$U34,"")</f>
        <v/>
      </c>
      <c r="CZ34" s="85" t="str">
        <f aca="false">IF($B34=CZ$12,$U34,"")</f>
        <v/>
      </c>
      <c r="DA34" s="85" t="str">
        <f aca="false">IF($B34=DA$12,$U34,"")</f>
        <v/>
      </c>
      <c r="DB34" s="85" t="str">
        <f aca="false">IF($B34=DB$12,$U34,"")</f>
        <v/>
      </c>
      <c r="DC34" s="85" t="str">
        <f aca="false">IF($B34=DC$12,$U34,"")</f>
        <v/>
      </c>
      <c r="DD34" s="85" t="str">
        <f aca="false">IF($B34=DD$12,$U34,"")</f>
        <v/>
      </c>
      <c r="DE34" s="85" t="str">
        <f aca="false">IF($B34=DE$12,$U34,"")</f>
        <v/>
      </c>
      <c r="DF34" s="85" t="str">
        <f aca="false">IF($B34=DF$12,$U34,"")</f>
        <v/>
      </c>
      <c r="DG34" s="85" t="str">
        <f aca="false">IF($B34=DG$12,$U34,"")</f>
        <v/>
      </c>
      <c r="DH34" s="85" t="str">
        <f aca="false">IF($B34=DH$12,$U34,"")</f>
        <v/>
      </c>
      <c r="DI34" s="85" t="str">
        <f aca="false">IF($B34=DI$12,$U34,"")</f>
        <v/>
      </c>
      <c r="DJ34" s="85" t="str">
        <f aca="false">IF($B34=DJ$12,$U34,"")</f>
        <v/>
      </c>
      <c r="DK34" s="85" t="str">
        <f aca="false">IF($B34=DK$12,$U34,"")</f>
        <v/>
      </c>
      <c r="DL34" s="85" t="str">
        <f aca="false">IF($B34=DL$12,$U34,"")</f>
        <v/>
      </c>
      <c r="DM34" s="85" t="str">
        <f aca="false">IF($B34=DM$12,$U34,"")</f>
        <v/>
      </c>
      <c r="DN34" s="85" t="str">
        <f aca="false">IF($B34=DN$12,$U34,"")</f>
        <v/>
      </c>
      <c r="DO34" s="85" t="str">
        <f aca="false">IF($B34=DO$12,$U34,"")</f>
        <v/>
      </c>
      <c r="DP34" s="85" t="str">
        <f aca="false">IF($B34=DP$12,$U34,"")</f>
        <v/>
      </c>
      <c r="DQ34" s="85" t="str">
        <f aca="false">IF($B34=DQ$12,$U34,"")</f>
        <v/>
      </c>
      <c r="DR34" s="85" t="str">
        <f aca="false">IF($B34=DR$12,$U34,"")</f>
        <v/>
      </c>
      <c r="DS34" s="85" t="str">
        <f aca="false">IF($B34=DS$12,$U34,"")</f>
        <v/>
      </c>
      <c r="DT34" s="86" t="str">
        <f aca="false">IF($B34=DT$12,$U34,"")</f>
        <v/>
      </c>
      <c r="DU34" s="55"/>
      <c r="DV34" s="83"/>
      <c r="DW34" s="87" t="str">
        <f aca="false">IF($B34=DW$12,$O34,"")</f>
        <v/>
      </c>
      <c r="DX34" s="88" t="str">
        <f aca="false">IF($B34=DX$12,$O34,"")</f>
        <v/>
      </c>
      <c r="DY34" s="88" t="str">
        <f aca="false">IF($B34=DY$12,$O34,"")</f>
        <v/>
      </c>
      <c r="DZ34" s="88" t="str">
        <f aca="false">IF($B34=DZ$12,$O34,"")</f>
        <v/>
      </c>
      <c r="EA34" s="88" t="str">
        <f aca="false">IF($B34=EA$12,$O34,"")</f>
        <v/>
      </c>
      <c r="EB34" s="88" t="str">
        <f aca="false">IF($B34=EB$12,$O34,"")</f>
        <v/>
      </c>
      <c r="EC34" s="88" t="str">
        <f aca="false">IF($B34=EC$12,$O34,"")</f>
        <v/>
      </c>
      <c r="ED34" s="88" t="str">
        <f aca="false">IF($B34=ED$12,$O34,"")</f>
        <v/>
      </c>
      <c r="EE34" s="88" t="str">
        <f aca="false">IF($B34=EE$12,$O34,"")</f>
        <v/>
      </c>
      <c r="EF34" s="88" t="str">
        <f aca="false">IF($B34=EF$12,$O34,"")</f>
        <v/>
      </c>
      <c r="EG34" s="88" t="str">
        <f aca="false">IF($B34=EG$12,$O34,"")</f>
        <v/>
      </c>
      <c r="EH34" s="88" t="str">
        <f aca="false">IF($B34=EH$12,$O34,"")</f>
        <v/>
      </c>
      <c r="EI34" s="88" t="str">
        <f aca="false">IF($B34=EI$12,$O34,"")</f>
        <v/>
      </c>
      <c r="EJ34" s="88" t="str">
        <f aca="false">IF($B34=EJ$12,$O34,"")</f>
        <v/>
      </c>
      <c r="EK34" s="88" t="str">
        <f aca="false">IF($B34=EK$12,$O34,"")</f>
        <v/>
      </c>
      <c r="EL34" s="88" t="str">
        <f aca="false">IF($B34=EL$12,$O34,"")</f>
        <v/>
      </c>
      <c r="EM34" s="88" t="str">
        <f aca="false">IF($B34=EM$12,$O34,"")</f>
        <v/>
      </c>
      <c r="EN34" s="88" t="str">
        <f aca="false">IF($B34=EN$12,$O34,"")</f>
        <v/>
      </c>
      <c r="EO34" s="88" t="str">
        <f aca="false">IF($B34=EO$12,$O34,"")</f>
        <v/>
      </c>
      <c r="EP34" s="88" t="str">
        <f aca="false">IF($B34=EP$12,$O34,"")</f>
        <v/>
      </c>
      <c r="EQ34" s="88" t="str">
        <f aca="false">IF($B34=EQ$12,$O34,"")</f>
        <v/>
      </c>
      <c r="ER34" s="88" t="str">
        <f aca="false">IF($B34=ER$12,$O34,"")</f>
        <v/>
      </c>
      <c r="ES34" s="88" t="str">
        <f aca="false">IF($B34=ES$12,$O34,"")</f>
        <v/>
      </c>
      <c r="ET34" s="88" t="str">
        <f aca="false">IF($B34=ET$12,$O34,"")</f>
        <v/>
      </c>
      <c r="EU34" s="88" t="str">
        <f aca="false">IF($B34=EU$12,$O34,"")</f>
        <v/>
      </c>
      <c r="EV34" s="88" t="str">
        <f aca="false">IF($B34=EV$12,$O34,"")</f>
        <v/>
      </c>
      <c r="EW34" s="88" t="str">
        <f aca="false">IF($B34=EW$12,$O34,"")</f>
        <v/>
      </c>
      <c r="EX34" s="88" t="str">
        <f aca="false">IF($B34=EX$12,$O34,"")</f>
        <v/>
      </c>
      <c r="EY34" s="88" t="str">
        <f aca="false">IF($B34=EY$12,$O34,"")</f>
        <v/>
      </c>
      <c r="EZ34" s="88" t="str">
        <f aca="false">IF($B34=EZ$12,$O34,"")</f>
        <v/>
      </c>
      <c r="FA34" s="88" t="str">
        <f aca="false">IF($B34=FA$12,$O34,"")</f>
        <v/>
      </c>
      <c r="FB34" s="88" t="str">
        <f aca="false">IF($B34=FB$12,$O34,"")</f>
        <v/>
      </c>
      <c r="FC34" s="88" t="str">
        <f aca="false">IF($B34=FC$12,$O34,"")</f>
        <v/>
      </c>
      <c r="FD34" s="88" t="str">
        <f aca="false">IF($B34=FD$12,$O34,"")</f>
        <v/>
      </c>
      <c r="FE34" s="88" t="str">
        <f aca="false">IF($B34=FE$12,$O34,"")</f>
        <v/>
      </c>
      <c r="FF34" s="88" t="str">
        <f aca="false">IF($B34=FF$12,$O34,"")</f>
        <v/>
      </c>
      <c r="FG34" s="88" t="str">
        <f aca="false">IF($B34=FG$12,$O34,"")</f>
        <v/>
      </c>
      <c r="FH34" s="88" t="str">
        <f aca="false">IF($B34=FH$12,$O34,"")</f>
        <v/>
      </c>
      <c r="FI34" s="88" t="str">
        <f aca="false">IF($B34=FI$12,$O34,"")</f>
        <v/>
      </c>
      <c r="FJ34" s="88" t="str">
        <f aca="false">IF($B34=FJ$12,$O34,"")</f>
        <v/>
      </c>
      <c r="FK34" s="88" t="str">
        <f aca="false">IF($B34=FK$12,$O34,"")</f>
        <v/>
      </c>
      <c r="FL34" s="88" t="str">
        <f aca="false">IF($B34=FL$12,$O34,"")</f>
        <v/>
      </c>
      <c r="FM34" s="88" t="str">
        <f aca="false">IF($B34=FM$12,$O34,"")</f>
        <v/>
      </c>
      <c r="FN34" s="88" t="str">
        <f aca="false">IF($B34=FN$12,$O34,"")</f>
        <v/>
      </c>
      <c r="FO34" s="88" t="str">
        <f aca="false">IF($B34=FO$12,$O34,"")</f>
        <v/>
      </c>
      <c r="FP34" s="88" t="str">
        <f aca="false">IF($B34=FP$12,$O34,"")</f>
        <v/>
      </c>
      <c r="FQ34" s="88" t="str">
        <f aca="false">IF($B34=FQ$12,$O34,"")</f>
        <v/>
      </c>
      <c r="FR34" s="88" t="str">
        <f aca="false">IF($B34=FR$12,$O34,"")</f>
        <v/>
      </c>
      <c r="FS34" s="88" t="str">
        <f aca="false">IF($B34=FS$12,$O34,"")</f>
        <v/>
      </c>
      <c r="FT34" s="88" t="str">
        <f aca="false">IF($B34=FT$12,$O34,"")</f>
        <v/>
      </c>
      <c r="FU34" s="88" t="str">
        <f aca="false">IF($B34=FU$12,$O34,"")</f>
        <v/>
      </c>
      <c r="FV34" s="88" t="str">
        <f aca="false">IF($B34=FV$12,$O34,"")</f>
        <v/>
      </c>
      <c r="FW34" s="88" t="str">
        <f aca="false">IF($B34=FW$12,$O34,"")</f>
        <v/>
      </c>
      <c r="FX34" s="88" t="str">
        <f aca="false">IF($B34=FX$12,$O34,"")</f>
        <v/>
      </c>
      <c r="FY34" s="88" t="str">
        <f aca="false">IF($B34=FY$12,$O34,"")</f>
        <v/>
      </c>
      <c r="FZ34" s="88" t="str">
        <f aca="false">IF($B34=FZ$12,$O34,"")</f>
        <v/>
      </c>
      <c r="GA34" s="88" t="str">
        <f aca="false">IF($B34=GA$12,$O34,"")</f>
        <v/>
      </c>
      <c r="GB34" s="88" t="str">
        <f aca="false">IF($B34=GB$12,$O34,"")</f>
        <v/>
      </c>
      <c r="GC34" s="88" t="str">
        <f aca="false">IF($B34=GC$12,$O34,"")</f>
        <v/>
      </c>
      <c r="GD34" s="88" t="str">
        <f aca="false">IF($B34=GD$12,$O34,"")</f>
        <v/>
      </c>
      <c r="GE34" s="88" t="str">
        <f aca="false">IF($B34=GE$12,$O34,"")</f>
        <v/>
      </c>
      <c r="GF34" s="88" t="str">
        <f aca="false">IF($B34=GF$12,$O34,"")</f>
        <v/>
      </c>
      <c r="GG34" s="88" t="str">
        <f aca="false">IF($B34=GG$12,$O34,"")</f>
        <v/>
      </c>
      <c r="GH34" s="88" t="str">
        <f aca="false">IF($B34=GH$12,$O34,"")</f>
        <v/>
      </c>
      <c r="GI34" s="88" t="str">
        <f aca="false">IF($B34=GI$12,$O34,"")</f>
        <v/>
      </c>
      <c r="GJ34" s="88" t="str">
        <f aca="false">IF($B34=GJ$12,$O34,"")</f>
        <v/>
      </c>
      <c r="GK34" s="88" t="str">
        <f aca="false">IF($B34=GK$12,$O34,"")</f>
        <v/>
      </c>
      <c r="GL34" s="88" t="str">
        <f aca="false">IF($B34=GL$12,$O34,"")</f>
        <v/>
      </c>
      <c r="GM34" s="88" t="str">
        <f aca="false">IF($B34=GM$12,$O34,"")</f>
        <v/>
      </c>
      <c r="GN34" s="88" t="str">
        <f aca="false">IF($B34=GN$12,$O34,"")</f>
        <v/>
      </c>
      <c r="GO34" s="88" t="str">
        <f aca="false">IF($B34=GO$12,$O34,"")</f>
        <v/>
      </c>
      <c r="GP34" s="88" t="str">
        <f aca="false">IF($B34=GP$12,$O34,"")</f>
        <v/>
      </c>
      <c r="GQ34" s="88" t="str">
        <f aca="false">IF($B34=GQ$12,$O34,"")</f>
        <v/>
      </c>
      <c r="GR34" s="88" t="str">
        <f aca="false">IF($B34=GR$12,$O34,"")</f>
        <v/>
      </c>
      <c r="GS34" s="88" t="str">
        <f aca="false">IF($B34=GS$12,$O34,"")</f>
        <v/>
      </c>
      <c r="GT34" s="88" t="str">
        <f aca="false">IF($B34=GT$12,$O34,"")</f>
        <v/>
      </c>
      <c r="GU34" s="88" t="str">
        <f aca="false">IF($B34=GU$12,$O34,"")</f>
        <v/>
      </c>
      <c r="GV34" s="88" t="str">
        <f aca="false">IF($B34=GV$12,$O34,"")</f>
        <v/>
      </c>
      <c r="GW34" s="88" t="str">
        <f aca="false">IF($B34=GW$12,$O34,"")</f>
        <v/>
      </c>
      <c r="GX34" s="88" t="str">
        <f aca="false">IF($B34=GX$12,$O34,"")</f>
        <v/>
      </c>
      <c r="GY34" s="88" t="str">
        <f aca="false">IF($B34=GY$12,$O34,"")</f>
        <v/>
      </c>
      <c r="GZ34" s="88" t="str">
        <f aca="false">IF($B34=GZ$12,$O34,"")</f>
        <v/>
      </c>
      <c r="HA34" s="88" t="str">
        <f aca="false">IF($B34=HA$12,$O34,"")</f>
        <v/>
      </c>
      <c r="HB34" s="88" t="str">
        <f aca="false">IF($B34=HB$12,$O34,"")</f>
        <v/>
      </c>
      <c r="HC34" s="88" t="str">
        <f aca="false">IF($B34=HC$12,$O34,"")</f>
        <v/>
      </c>
      <c r="HD34" s="88" t="str">
        <f aca="false">IF($B34=HD$12,$O34,"")</f>
        <v/>
      </c>
      <c r="HE34" s="88" t="str">
        <f aca="false">IF($B34=HE$12,$O34,"")</f>
        <v/>
      </c>
      <c r="HF34" s="88" t="str">
        <f aca="false">IF($B34=HF$12,$O34,"")</f>
        <v/>
      </c>
      <c r="HG34" s="88" t="str">
        <f aca="false">IF($B34=HG$12,$O34,"")</f>
        <v/>
      </c>
      <c r="HH34" s="88" t="str">
        <f aca="false">IF($B34=HH$12,$O34,"")</f>
        <v/>
      </c>
      <c r="HI34" s="88" t="str">
        <f aca="false">IF($B34=HI$12,$O34,"")</f>
        <v/>
      </c>
      <c r="HJ34" s="88" t="str">
        <f aca="false">IF($B34=HJ$12,$O34,"")</f>
        <v/>
      </c>
      <c r="HK34" s="88" t="str">
        <f aca="false">IF($B34=HK$12,$O34,"")</f>
        <v/>
      </c>
      <c r="HL34" s="88" t="str">
        <f aca="false">IF($B34=HL$12,$O34,"")</f>
        <v/>
      </c>
      <c r="HM34" s="88" t="str">
        <f aca="false">IF($B34=HM$12,$O34,"")</f>
        <v/>
      </c>
      <c r="HN34" s="88" t="str">
        <f aca="false">IF($B34=HN$12,$O34,"")</f>
        <v/>
      </c>
      <c r="HO34" s="88" t="str">
        <f aca="false">IF($B34=HO$12,$O34,"")</f>
        <v/>
      </c>
      <c r="HP34" s="88" t="str">
        <f aca="false">IF($B34=HP$12,$O34,"")</f>
        <v/>
      </c>
      <c r="HQ34" s="88" t="str">
        <f aca="false">IF($B34=HQ$12,$O34,"")</f>
        <v/>
      </c>
      <c r="HR34" s="89" t="str">
        <f aca="false">IF($B34=HR$12,$O34,"")</f>
        <v/>
      </c>
    </row>
    <row r="35" customFormat="false" ht="10.5" hidden="false" customHeight="true" outlineLevel="0" collapsed="false">
      <c r="A35" s="73"/>
      <c r="B35" s="74"/>
      <c r="C35" s="75" t="str">
        <f aca="false">IF(A35=0,"",VLOOKUP(A35,[3]CO!$A$3:$F$5311,2,0))</f>
        <v/>
      </c>
      <c r="D35" s="76"/>
      <c r="E35" s="76"/>
      <c r="F35" s="76"/>
      <c r="G35" s="77" t="str">
        <f aca="false">IF(A35=0,"",VLOOKUP(A35,[3]CO!$A$3:$F$5311,3,0))</f>
        <v/>
      </c>
      <c r="H35" s="76"/>
      <c r="I35" s="78"/>
      <c r="J35" s="78"/>
      <c r="K35" s="78"/>
      <c r="L35" s="79"/>
      <c r="M35" s="79" t="str">
        <f aca="false">IF(L35=0,"",PRODUCT(I35:L35))</f>
        <v/>
      </c>
      <c r="N35" s="79" t="str">
        <f aca="false">IF(B35=0,"",IF(H35="M",HLOOKUP(B35,$Y$12:$DT$13,2),IF(A35=0,"",VLOOKUP(A35,[3]CO!$A$3:$F$5311,4,0))))</f>
        <v/>
      </c>
      <c r="O35" s="79" t="str">
        <f aca="false">IF(L35=0,"",PRODUCT(M35:N35))</f>
        <v/>
      </c>
      <c r="P35" s="80"/>
      <c r="Q35" s="81" t="str">
        <f aca="false">IF(P35=0,"",(HLOOKUP(P35,$DW$12:$HR$13,2)))</f>
        <v/>
      </c>
      <c r="R35" s="82" t="str">
        <f aca="false"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RESIDENTE"),VLOOKUP(B35,P$14:Q$131,2),"")*S35)</f>
        <v/>
      </c>
      <c r="S35" s="5"/>
      <c r="T35" s="65" t="str">
        <f aca="false">IF(A35=0,"",VLOOKUP(A35,[3]CO!$A$3:$F$5302,5,0))</f>
        <v/>
      </c>
      <c r="U35" s="55" t="n">
        <f aca="false">IF(T35=1,O35*0.1,)</f>
        <v>0</v>
      </c>
      <c r="V35" s="66"/>
      <c r="W35" s="83"/>
      <c r="X35" s="83"/>
      <c r="Y35" s="84" t="str">
        <f aca="false">IF($B35=Y$12,$U35,"")</f>
        <v/>
      </c>
      <c r="Z35" s="85" t="str">
        <f aca="false">IF($B35=Z$12,$U35,"")</f>
        <v/>
      </c>
      <c r="AA35" s="85" t="str">
        <f aca="false">IF($B35=AA$12,$U35,"")</f>
        <v/>
      </c>
      <c r="AB35" s="85" t="str">
        <f aca="false">IF($B35=AB$12,$U35,"")</f>
        <v/>
      </c>
      <c r="AC35" s="85" t="str">
        <f aca="false">IF($B35=AC$12,$U35,"")</f>
        <v/>
      </c>
      <c r="AD35" s="85" t="str">
        <f aca="false">IF($B35=AD$12,$U35,"")</f>
        <v/>
      </c>
      <c r="AE35" s="85" t="str">
        <f aca="false">IF($B35=AE$12,$U35,"")</f>
        <v/>
      </c>
      <c r="AF35" s="85" t="str">
        <f aca="false">IF($B35=AF$12,$U35,"")</f>
        <v/>
      </c>
      <c r="AG35" s="85" t="str">
        <f aca="false">IF($B35=AG$12,$U35,"")</f>
        <v/>
      </c>
      <c r="AH35" s="85" t="str">
        <f aca="false">IF($B35=AH$12,$U35,"")</f>
        <v/>
      </c>
      <c r="AI35" s="85" t="str">
        <f aca="false">IF($B35=AI$12,$U35,"")</f>
        <v/>
      </c>
      <c r="AJ35" s="85" t="str">
        <f aca="false">IF($B35=AJ$12,$U35,"")</f>
        <v/>
      </c>
      <c r="AK35" s="85" t="str">
        <f aca="false">IF($B35=AK$12,$U35,"")</f>
        <v/>
      </c>
      <c r="AL35" s="85" t="str">
        <f aca="false">IF($B35=AL$12,$U35,"")</f>
        <v/>
      </c>
      <c r="AM35" s="85" t="str">
        <f aca="false">IF($B35=AM$12,$U35,"")</f>
        <v/>
      </c>
      <c r="AN35" s="85" t="str">
        <f aca="false">IF($B35=AN$12,$U35,"")</f>
        <v/>
      </c>
      <c r="AO35" s="85" t="str">
        <f aca="false">IF($B35=AO$12,$U35,"")</f>
        <v/>
      </c>
      <c r="AP35" s="85" t="str">
        <f aca="false">IF($B35=AP$12,$U35,"")</f>
        <v/>
      </c>
      <c r="AQ35" s="85" t="str">
        <f aca="false">IF($B35=AQ$12,$U35,"")</f>
        <v/>
      </c>
      <c r="AR35" s="85" t="str">
        <f aca="false">IF($B35=AR$12,$U35,"")</f>
        <v/>
      </c>
      <c r="AS35" s="85" t="str">
        <f aca="false">IF($B35=AS$12,$U35,"")</f>
        <v/>
      </c>
      <c r="AT35" s="85" t="str">
        <f aca="false">IF($B35=AT$12,$U35,"")</f>
        <v/>
      </c>
      <c r="AU35" s="85" t="str">
        <f aca="false">IF($B35=AU$12,$U35,"")</f>
        <v/>
      </c>
      <c r="AV35" s="85" t="str">
        <f aca="false">IF($B35=AV$12,$U35,"")</f>
        <v/>
      </c>
      <c r="AW35" s="85" t="str">
        <f aca="false">IF($B35=AW$12,$U35,"")</f>
        <v/>
      </c>
      <c r="AX35" s="85" t="str">
        <f aca="false">IF($B35=AX$12,$U35,"")</f>
        <v/>
      </c>
      <c r="AY35" s="85" t="str">
        <f aca="false">IF($B35=AY$12,$U35,"")</f>
        <v/>
      </c>
      <c r="AZ35" s="85" t="str">
        <f aca="false">IF($B35=AZ$12,$U35,"")</f>
        <v/>
      </c>
      <c r="BA35" s="85" t="str">
        <f aca="false">IF($B35=BA$12,$U35,"")</f>
        <v/>
      </c>
      <c r="BB35" s="85" t="str">
        <f aca="false">IF($B35=BB$12,$U35,"")</f>
        <v/>
      </c>
      <c r="BC35" s="85" t="str">
        <f aca="false">IF($B35=BC$12,$U35,"")</f>
        <v/>
      </c>
      <c r="BD35" s="85" t="str">
        <f aca="false">IF($B35=BD$12,$U35,"")</f>
        <v/>
      </c>
      <c r="BE35" s="85" t="str">
        <f aca="false">IF($B35=BE$12,$U35,"")</f>
        <v/>
      </c>
      <c r="BF35" s="85" t="str">
        <f aca="false">IF($B35=BF$12,$U35,"")</f>
        <v/>
      </c>
      <c r="BG35" s="85" t="str">
        <f aca="false">IF($B35=BG$12,$U35,"")</f>
        <v/>
      </c>
      <c r="BH35" s="85" t="str">
        <f aca="false">IF($B35=BH$12,$U35,"")</f>
        <v/>
      </c>
      <c r="BI35" s="85" t="str">
        <f aca="false">IF($B35=BI$12,$U35,"")</f>
        <v/>
      </c>
      <c r="BJ35" s="85" t="str">
        <f aca="false">IF($B35=BJ$12,$U35,"")</f>
        <v/>
      </c>
      <c r="BK35" s="85" t="str">
        <f aca="false">IF($B35=BK$12,$U35,"")</f>
        <v/>
      </c>
      <c r="BL35" s="85" t="str">
        <f aca="false">IF($B35=BL$12,$U35,"")</f>
        <v/>
      </c>
      <c r="BM35" s="85" t="str">
        <f aca="false">IF($B35=BM$12,$U35,"")</f>
        <v/>
      </c>
      <c r="BN35" s="85" t="str">
        <f aca="false">IF($B35=BN$12,$U35,"")</f>
        <v/>
      </c>
      <c r="BO35" s="85" t="str">
        <f aca="false">IF($B35=BO$12,$U35,"")</f>
        <v/>
      </c>
      <c r="BP35" s="85" t="str">
        <f aca="false">IF($B35=BP$12,$U35,"")</f>
        <v/>
      </c>
      <c r="BQ35" s="85" t="str">
        <f aca="false">IF($B35=BQ$12,$U35,"")</f>
        <v/>
      </c>
      <c r="BR35" s="85" t="str">
        <f aca="false">IF($B35=BR$12,$U35,"")</f>
        <v/>
      </c>
      <c r="BS35" s="85" t="str">
        <f aca="false">IF($B35=BS$12,$U35,"")</f>
        <v/>
      </c>
      <c r="BT35" s="85" t="str">
        <f aca="false">IF($B35=BT$12,$U35,"")</f>
        <v/>
      </c>
      <c r="BU35" s="85" t="str">
        <f aca="false">IF($B35=BU$12,$U35,"")</f>
        <v/>
      </c>
      <c r="BV35" s="85" t="str">
        <f aca="false">IF($B35=BV$12,$U35,"")</f>
        <v/>
      </c>
      <c r="BW35" s="85" t="str">
        <f aca="false">IF($B35=BW$12,$U35,"")</f>
        <v/>
      </c>
      <c r="BX35" s="85" t="str">
        <f aca="false">IF($B35=BX$12,$U35,"")</f>
        <v/>
      </c>
      <c r="BY35" s="85" t="str">
        <f aca="false">IF($B35=BY$12,$U35,"")</f>
        <v/>
      </c>
      <c r="BZ35" s="85" t="str">
        <f aca="false">IF($B35=BZ$12,$U35,"")</f>
        <v/>
      </c>
      <c r="CA35" s="85" t="str">
        <f aca="false">IF($B35=CA$12,$U35,"")</f>
        <v/>
      </c>
      <c r="CB35" s="85" t="str">
        <f aca="false">IF($B35=CB$12,$U35,"")</f>
        <v/>
      </c>
      <c r="CC35" s="85" t="str">
        <f aca="false">IF($B35=CC$12,$U35,"")</f>
        <v/>
      </c>
      <c r="CD35" s="85" t="str">
        <f aca="false">IF($B35=CD$12,$U35,"")</f>
        <v/>
      </c>
      <c r="CE35" s="85" t="str">
        <f aca="false">IF($B35=CE$12,$U35,"")</f>
        <v/>
      </c>
      <c r="CF35" s="85" t="str">
        <f aca="false">IF($B35=CF$12,$U35,"")</f>
        <v/>
      </c>
      <c r="CG35" s="85" t="str">
        <f aca="false">IF($B35=CG$12,$U35,"")</f>
        <v/>
      </c>
      <c r="CH35" s="85" t="str">
        <f aca="false">IF($B35=CH$12,$U35,"")</f>
        <v/>
      </c>
      <c r="CI35" s="85" t="str">
        <f aca="false">IF($B35=CI$12,$U35,"")</f>
        <v/>
      </c>
      <c r="CJ35" s="85" t="str">
        <f aca="false">IF($B35=CJ$12,$U35,"")</f>
        <v/>
      </c>
      <c r="CK35" s="85" t="str">
        <f aca="false">IF($B35=CK$12,$U35,"")</f>
        <v/>
      </c>
      <c r="CL35" s="85" t="str">
        <f aca="false">IF($B35=CL$12,$U35,"")</f>
        <v/>
      </c>
      <c r="CM35" s="85" t="str">
        <f aca="false">IF($B35=CM$12,$U35,"")</f>
        <v/>
      </c>
      <c r="CN35" s="85" t="str">
        <f aca="false">IF($B35=CN$12,$U35,"")</f>
        <v/>
      </c>
      <c r="CO35" s="85" t="str">
        <f aca="false">IF($B35=CO$12,$U35,"")</f>
        <v/>
      </c>
      <c r="CP35" s="85" t="str">
        <f aca="false">IF($B35=CP$12,$U35,"")</f>
        <v/>
      </c>
      <c r="CQ35" s="85" t="str">
        <f aca="false">IF($B35=CQ$12,$U35,"")</f>
        <v/>
      </c>
      <c r="CR35" s="85" t="str">
        <f aca="false">IF($B35=CR$12,$U35,"")</f>
        <v/>
      </c>
      <c r="CS35" s="85" t="str">
        <f aca="false">IF($B35=CS$12,$U35,"")</f>
        <v/>
      </c>
      <c r="CT35" s="85" t="str">
        <f aca="false">IF($B35=CT$12,$U35,"")</f>
        <v/>
      </c>
      <c r="CU35" s="85" t="str">
        <f aca="false">IF($B35=CU$12,$U35,"")</f>
        <v/>
      </c>
      <c r="CV35" s="85" t="str">
        <f aca="false">IF($B35=CV$12,$U35,"")</f>
        <v/>
      </c>
      <c r="CW35" s="85" t="str">
        <f aca="false">IF($B35=CW$12,$U35,"")</f>
        <v/>
      </c>
      <c r="CX35" s="85" t="str">
        <f aca="false">IF($B35=CX$12,$U35,"")</f>
        <v/>
      </c>
      <c r="CY35" s="85" t="str">
        <f aca="false">IF($B35=CY$12,$U35,"")</f>
        <v/>
      </c>
      <c r="CZ35" s="85" t="str">
        <f aca="false">IF($B35=CZ$12,$U35,"")</f>
        <v/>
      </c>
      <c r="DA35" s="85" t="str">
        <f aca="false">IF($B35=DA$12,$U35,"")</f>
        <v/>
      </c>
      <c r="DB35" s="85" t="str">
        <f aca="false">IF($B35=DB$12,$U35,"")</f>
        <v/>
      </c>
      <c r="DC35" s="85" t="str">
        <f aca="false">IF($B35=DC$12,$U35,"")</f>
        <v/>
      </c>
      <c r="DD35" s="85" t="str">
        <f aca="false">IF($B35=DD$12,$U35,"")</f>
        <v/>
      </c>
      <c r="DE35" s="85" t="str">
        <f aca="false">IF($B35=DE$12,$U35,"")</f>
        <v/>
      </c>
      <c r="DF35" s="85" t="str">
        <f aca="false">IF($B35=DF$12,$U35,"")</f>
        <v/>
      </c>
      <c r="DG35" s="85" t="str">
        <f aca="false">IF($B35=DG$12,$U35,"")</f>
        <v/>
      </c>
      <c r="DH35" s="85" t="str">
        <f aca="false">IF($B35=DH$12,$U35,"")</f>
        <v/>
      </c>
      <c r="DI35" s="85" t="str">
        <f aca="false">IF($B35=DI$12,$U35,"")</f>
        <v/>
      </c>
      <c r="DJ35" s="85" t="str">
        <f aca="false">IF($B35=DJ$12,$U35,"")</f>
        <v/>
      </c>
      <c r="DK35" s="85" t="str">
        <f aca="false">IF($B35=DK$12,$U35,"")</f>
        <v/>
      </c>
      <c r="DL35" s="85" t="str">
        <f aca="false">IF($B35=DL$12,$U35,"")</f>
        <v/>
      </c>
      <c r="DM35" s="85" t="str">
        <f aca="false">IF($B35=DM$12,$U35,"")</f>
        <v/>
      </c>
      <c r="DN35" s="85" t="str">
        <f aca="false">IF($B35=DN$12,$U35,"")</f>
        <v/>
      </c>
      <c r="DO35" s="85" t="str">
        <f aca="false">IF($B35=DO$12,$U35,"")</f>
        <v/>
      </c>
      <c r="DP35" s="85" t="str">
        <f aca="false">IF($B35=DP$12,$U35,"")</f>
        <v/>
      </c>
      <c r="DQ35" s="85" t="str">
        <f aca="false">IF($B35=DQ$12,$U35,"")</f>
        <v/>
      </c>
      <c r="DR35" s="85" t="str">
        <f aca="false">IF($B35=DR$12,$U35,"")</f>
        <v/>
      </c>
      <c r="DS35" s="85" t="str">
        <f aca="false">IF($B35=DS$12,$U35,"")</f>
        <v/>
      </c>
      <c r="DT35" s="86" t="str">
        <f aca="false">IF($B35=DT$12,$U35,"")</f>
        <v/>
      </c>
      <c r="DU35" s="55"/>
      <c r="DV35" s="83"/>
      <c r="DW35" s="87" t="str">
        <f aca="false">IF($B35=DW$12,$O35,"")</f>
        <v/>
      </c>
      <c r="DX35" s="88" t="str">
        <f aca="false">IF($B35=DX$12,$O35,"")</f>
        <v/>
      </c>
      <c r="DY35" s="88" t="str">
        <f aca="false">IF($B35=DY$12,$O35,"")</f>
        <v/>
      </c>
      <c r="DZ35" s="88" t="str">
        <f aca="false">IF($B35=DZ$12,$O35,"")</f>
        <v/>
      </c>
      <c r="EA35" s="88" t="str">
        <f aca="false">IF($B35=EA$12,$O35,"")</f>
        <v/>
      </c>
      <c r="EB35" s="88" t="str">
        <f aca="false">IF($B35=EB$12,$O35,"")</f>
        <v/>
      </c>
      <c r="EC35" s="88" t="str">
        <f aca="false">IF($B35=EC$12,$O35,"")</f>
        <v/>
      </c>
      <c r="ED35" s="88" t="str">
        <f aca="false">IF($B35=ED$12,$O35,"")</f>
        <v/>
      </c>
      <c r="EE35" s="88" t="str">
        <f aca="false">IF($B35=EE$12,$O35,"")</f>
        <v/>
      </c>
      <c r="EF35" s="88" t="str">
        <f aca="false">IF($B35=EF$12,$O35,"")</f>
        <v/>
      </c>
      <c r="EG35" s="88" t="str">
        <f aca="false">IF($B35=EG$12,$O35,"")</f>
        <v/>
      </c>
      <c r="EH35" s="88" t="str">
        <f aca="false">IF($B35=EH$12,$O35,"")</f>
        <v/>
      </c>
      <c r="EI35" s="88" t="str">
        <f aca="false">IF($B35=EI$12,$O35,"")</f>
        <v/>
      </c>
      <c r="EJ35" s="88" t="str">
        <f aca="false">IF($B35=EJ$12,$O35,"")</f>
        <v/>
      </c>
      <c r="EK35" s="88" t="str">
        <f aca="false">IF($B35=EK$12,$O35,"")</f>
        <v/>
      </c>
      <c r="EL35" s="88" t="str">
        <f aca="false">IF($B35=EL$12,$O35,"")</f>
        <v/>
      </c>
      <c r="EM35" s="88" t="str">
        <f aca="false">IF($B35=EM$12,$O35,"")</f>
        <v/>
      </c>
      <c r="EN35" s="88" t="str">
        <f aca="false">IF($B35=EN$12,$O35,"")</f>
        <v/>
      </c>
      <c r="EO35" s="88" t="str">
        <f aca="false">IF($B35=EO$12,$O35,"")</f>
        <v/>
      </c>
      <c r="EP35" s="88" t="str">
        <f aca="false">IF($B35=EP$12,$O35,"")</f>
        <v/>
      </c>
      <c r="EQ35" s="88" t="str">
        <f aca="false">IF($B35=EQ$12,$O35,"")</f>
        <v/>
      </c>
      <c r="ER35" s="88" t="str">
        <f aca="false">IF($B35=ER$12,$O35,"")</f>
        <v/>
      </c>
      <c r="ES35" s="88" t="str">
        <f aca="false">IF($B35=ES$12,$O35,"")</f>
        <v/>
      </c>
      <c r="ET35" s="88" t="str">
        <f aca="false">IF($B35=ET$12,$O35,"")</f>
        <v/>
      </c>
      <c r="EU35" s="88" t="str">
        <f aca="false">IF($B35=EU$12,$O35,"")</f>
        <v/>
      </c>
      <c r="EV35" s="88" t="str">
        <f aca="false">IF($B35=EV$12,$O35,"")</f>
        <v/>
      </c>
      <c r="EW35" s="88" t="str">
        <f aca="false">IF($B35=EW$12,$O35,"")</f>
        <v/>
      </c>
      <c r="EX35" s="88" t="str">
        <f aca="false">IF($B35=EX$12,$O35,"")</f>
        <v/>
      </c>
      <c r="EY35" s="88" t="str">
        <f aca="false">IF($B35=EY$12,$O35,"")</f>
        <v/>
      </c>
      <c r="EZ35" s="88" t="str">
        <f aca="false">IF($B35=EZ$12,$O35,"")</f>
        <v/>
      </c>
      <c r="FA35" s="88" t="str">
        <f aca="false">IF($B35=FA$12,$O35,"")</f>
        <v/>
      </c>
      <c r="FB35" s="88" t="str">
        <f aca="false">IF($B35=FB$12,$O35,"")</f>
        <v/>
      </c>
      <c r="FC35" s="88" t="str">
        <f aca="false">IF($B35=FC$12,$O35,"")</f>
        <v/>
      </c>
      <c r="FD35" s="88" t="str">
        <f aca="false">IF($B35=FD$12,$O35,"")</f>
        <v/>
      </c>
      <c r="FE35" s="88" t="str">
        <f aca="false">IF($B35=FE$12,$O35,"")</f>
        <v/>
      </c>
      <c r="FF35" s="88" t="str">
        <f aca="false">IF($B35=FF$12,$O35,"")</f>
        <v/>
      </c>
      <c r="FG35" s="88" t="str">
        <f aca="false">IF($B35=FG$12,$O35,"")</f>
        <v/>
      </c>
      <c r="FH35" s="88" t="str">
        <f aca="false">IF($B35=FH$12,$O35,"")</f>
        <v/>
      </c>
      <c r="FI35" s="88" t="str">
        <f aca="false">IF($B35=FI$12,$O35,"")</f>
        <v/>
      </c>
      <c r="FJ35" s="88" t="str">
        <f aca="false">IF($B35=FJ$12,$O35,"")</f>
        <v/>
      </c>
      <c r="FK35" s="88" t="str">
        <f aca="false">IF($B35=FK$12,$O35,"")</f>
        <v/>
      </c>
      <c r="FL35" s="88" t="str">
        <f aca="false">IF($B35=FL$12,$O35,"")</f>
        <v/>
      </c>
      <c r="FM35" s="88" t="str">
        <f aca="false">IF($B35=FM$12,$O35,"")</f>
        <v/>
      </c>
      <c r="FN35" s="88" t="str">
        <f aca="false">IF($B35=FN$12,$O35,"")</f>
        <v/>
      </c>
      <c r="FO35" s="88" t="str">
        <f aca="false">IF($B35=FO$12,$O35,"")</f>
        <v/>
      </c>
      <c r="FP35" s="88" t="str">
        <f aca="false">IF($B35=FP$12,$O35,"")</f>
        <v/>
      </c>
      <c r="FQ35" s="88" t="str">
        <f aca="false">IF($B35=FQ$12,$O35,"")</f>
        <v/>
      </c>
      <c r="FR35" s="88" t="str">
        <f aca="false">IF($B35=FR$12,$O35,"")</f>
        <v/>
      </c>
      <c r="FS35" s="88" t="str">
        <f aca="false">IF($B35=FS$12,$O35,"")</f>
        <v/>
      </c>
      <c r="FT35" s="88" t="str">
        <f aca="false">IF($B35=FT$12,$O35,"")</f>
        <v/>
      </c>
      <c r="FU35" s="88" t="str">
        <f aca="false">IF($B35=FU$12,$O35,"")</f>
        <v/>
      </c>
      <c r="FV35" s="88" t="str">
        <f aca="false">IF($B35=FV$12,$O35,"")</f>
        <v/>
      </c>
      <c r="FW35" s="88" t="str">
        <f aca="false">IF($B35=FW$12,$O35,"")</f>
        <v/>
      </c>
      <c r="FX35" s="88" t="str">
        <f aca="false">IF($B35=FX$12,$O35,"")</f>
        <v/>
      </c>
      <c r="FY35" s="88" t="str">
        <f aca="false">IF($B35=FY$12,$O35,"")</f>
        <v/>
      </c>
      <c r="FZ35" s="88" t="str">
        <f aca="false">IF($B35=FZ$12,$O35,"")</f>
        <v/>
      </c>
      <c r="GA35" s="88" t="str">
        <f aca="false">IF($B35=GA$12,$O35,"")</f>
        <v/>
      </c>
      <c r="GB35" s="88" t="str">
        <f aca="false">IF($B35=GB$12,$O35,"")</f>
        <v/>
      </c>
      <c r="GC35" s="88" t="str">
        <f aca="false">IF($B35=GC$12,$O35,"")</f>
        <v/>
      </c>
      <c r="GD35" s="88" t="str">
        <f aca="false">IF($B35=GD$12,$O35,"")</f>
        <v/>
      </c>
      <c r="GE35" s="88" t="str">
        <f aca="false">IF($B35=GE$12,$O35,"")</f>
        <v/>
      </c>
      <c r="GF35" s="88" t="str">
        <f aca="false">IF($B35=GF$12,$O35,"")</f>
        <v/>
      </c>
      <c r="GG35" s="88" t="str">
        <f aca="false">IF($B35=GG$12,$O35,"")</f>
        <v/>
      </c>
      <c r="GH35" s="88" t="str">
        <f aca="false">IF($B35=GH$12,$O35,"")</f>
        <v/>
      </c>
      <c r="GI35" s="88" t="str">
        <f aca="false">IF($B35=GI$12,$O35,"")</f>
        <v/>
      </c>
      <c r="GJ35" s="88" t="str">
        <f aca="false">IF($B35=GJ$12,$O35,"")</f>
        <v/>
      </c>
      <c r="GK35" s="88" t="str">
        <f aca="false">IF($B35=GK$12,$O35,"")</f>
        <v/>
      </c>
      <c r="GL35" s="88" t="str">
        <f aca="false">IF($B35=GL$12,$O35,"")</f>
        <v/>
      </c>
      <c r="GM35" s="88" t="str">
        <f aca="false">IF($B35=GM$12,$O35,"")</f>
        <v/>
      </c>
      <c r="GN35" s="88" t="str">
        <f aca="false">IF($B35=GN$12,$O35,"")</f>
        <v/>
      </c>
      <c r="GO35" s="88" t="str">
        <f aca="false">IF($B35=GO$12,$O35,"")</f>
        <v/>
      </c>
      <c r="GP35" s="88" t="str">
        <f aca="false">IF($B35=GP$12,$O35,"")</f>
        <v/>
      </c>
      <c r="GQ35" s="88" t="str">
        <f aca="false">IF($B35=GQ$12,$O35,"")</f>
        <v/>
      </c>
      <c r="GR35" s="88" t="str">
        <f aca="false">IF($B35=GR$12,$O35,"")</f>
        <v/>
      </c>
      <c r="GS35" s="88" t="str">
        <f aca="false">IF($B35=GS$12,$O35,"")</f>
        <v/>
      </c>
      <c r="GT35" s="88" t="str">
        <f aca="false">IF($B35=GT$12,$O35,"")</f>
        <v/>
      </c>
      <c r="GU35" s="88" t="str">
        <f aca="false">IF($B35=GU$12,$O35,"")</f>
        <v/>
      </c>
      <c r="GV35" s="88" t="str">
        <f aca="false">IF($B35=GV$12,$O35,"")</f>
        <v/>
      </c>
      <c r="GW35" s="88" t="str">
        <f aca="false">IF($B35=GW$12,$O35,"")</f>
        <v/>
      </c>
      <c r="GX35" s="88" t="str">
        <f aca="false">IF($B35=GX$12,$O35,"")</f>
        <v/>
      </c>
      <c r="GY35" s="88" t="str">
        <f aca="false">IF($B35=GY$12,$O35,"")</f>
        <v/>
      </c>
      <c r="GZ35" s="88" t="str">
        <f aca="false">IF($B35=GZ$12,$O35,"")</f>
        <v/>
      </c>
      <c r="HA35" s="88" t="str">
        <f aca="false">IF($B35=HA$12,$O35,"")</f>
        <v/>
      </c>
      <c r="HB35" s="88" t="str">
        <f aca="false">IF($B35=HB$12,$O35,"")</f>
        <v/>
      </c>
      <c r="HC35" s="88" t="str">
        <f aca="false">IF($B35=HC$12,$O35,"")</f>
        <v/>
      </c>
      <c r="HD35" s="88" t="str">
        <f aca="false">IF($B35=HD$12,$O35,"")</f>
        <v/>
      </c>
      <c r="HE35" s="88" t="str">
        <f aca="false">IF($B35=HE$12,$O35,"")</f>
        <v/>
      </c>
      <c r="HF35" s="88" t="str">
        <f aca="false">IF($B35=HF$12,$O35,"")</f>
        <v/>
      </c>
      <c r="HG35" s="88" t="str">
        <f aca="false">IF($B35=HG$12,$O35,"")</f>
        <v/>
      </c>
      <c r="HH35" s="88" t="str">
        <f aca="false">IF($B35=HH$12,$O35,"")</f>
        <v/>
      </c>
      <c r="HI35" s="88" t="str">
        <f aca="false">IF($B35=HI$12,$O35,"")</f>
        <v/>
      </c>
      <c r="HJ35" s="88" t="str">
        <f aca="false">IF($B35=HJ$12,$O35,"")</f>
        <v/>
      </c>
      <c r="HK35" s="88" t="str">
        <f aca="false">IF($B35=HK$12,$O35,"")</f>
        <v/>
      </c>
      <c r="HL35" s="88" t="str">
        <f aca="false">IF($B35=HL$12,$O35,"")</f>
        <v/>
      </c>
      <c r="HM35" s="88" t="str">
        <f aca="false">IF($B35=HM$12,$O35,"")</f>
        <v/>
      </c>
      <c r="HN35" s="88" t="str">
        <f aca="false">IF($B35=HN$12,$O35,"")</f>
        <v/>
      </c>
      <c r="HO35" s="88" t="str">
        <f aca="false">IF($B35=HO$12,$O35,"")</f>
        <v/>
      </c>
      <c r="HP35" s="88" t="str">
        <f aca="false">IF($B35=HP$12,$O35,"")</f>
        <v/>
      </c>
      <c r="HQ35" s="88" t="str">
        <f aca="false">IF($B35=HQ$12,$O35,"")</f>
        <v/>
      </c>
      <c r="HR35" s="89" t="str">
        <f aca="false">IF($B35=HR$12,$O35,"")</f>
        <v/>
      </c>
    </row>
    <row r="36" customFormat="false" ht="10.5" hidden="false" customHeight="true" outlineLevel="0" collapsed="false">
      <c r="A36" s="73"/>
      <c r="B36" s="74"/>
      <c r="C36" s="75" t="str">
        <f aca="false">IF(A36=0,"",VLOOKUP(A36,[3]CO!$A$3:$F$5311,2,0))</f>
        <v/>
      </c>
      <c r="D36" s="76"/>
      <c r="E36" s="76"/>
      <c r="F36" s="76"/>
      <c r="G36" s="77" t="str">
        <f aca="false">IF(A36=0,"",VLOOKUP(A36,[3]CO!$A$3:$F$5311,3,0))</f>
        <v/>
      </c>
      <c r="H36" s="76"/>
      <c r="I36" s="78"/>
      <c r="J36" s="78"/>
      <c r="K36" s="78"/>
      <c r="L36" s="78"/>
      <c r="M36" s="79" t="str">
        <f aca="false">IF(L36=0,"",PRODUCT(I36:L36))</f>
        <v/>
      </c>
      <c r="N36" s="79" t="str">
        <f aca="false">IF(B36=0,"",IF(H36="M",HLOOKUP(B36,$Y$12:$DT$13,2),IF(A36=0,"",VLOOKUP(A36,[3]CO!$A$3:$F$5311,4,0))))</f>
        <v/>
      </c>
      <c r="O36" s="79" t="str">
        <f aca="false">IF(L36=0,"",PRODUCT(M36:N36))</f>
        <v/>
      </c>
      <c r="P36" s="80"/>
      <c r="Q36" s="81" t="str">
        <f aca="false">IF(P36=0,"",(HLOOKUP(P36,$DW$12:$HR$13,2)))</f>
        <v/>
      </c>
      <c r="R36" s="82" t="str">
        <f aca="false"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RESIDENTE"),VLOOKUP(B36,P$14:Q$131,2),"")*S36)</f>
        <v/>
      </c>
      <c r="S36" s="5"/>
      <c r="T36" s="65" t="str">
        <f aca="false">IF(A36=0,"",VLOOKUP(A36,[3]CO!$A$3:$F$5302,5,0))</f>
        <v/>
      </c>
      <c r="U36" s="55" t="n">
        <f aca="false">IF(T36=1,O36*0.1,)</f>
        <v>0</v>
      </c>
      <c r="V36" s="66"/>
      <c r="W36" s="83"/>
      <c r="X36" s="83"/>
      <c r="Y36" s="84" t="str">
        <f aca="false">IF($B36=Y$12,$U36,"")</f>
        <v/>
      </c>
      <c r="Z36" s="85" t="str">
        <f aca="false">IF($B36=Z$12,$U36,"")</f>
        <v/>
      </c>
      <c r="AA36" s="85" t="str">
        <f aca="false">IF($B36=AA$12,$U36,"")</f>
        <v/>
      </c>
      <c r="AB36" s="85" t="str">
        <f aca="false">IF($B36=AB$12,$U36,"")</f>
        <v/>
      </c>
      <c r="AC36" s="85" t="str">
        <f aca="false">IF($B36=AC$12,$U36,"")</f>
        <v/>
      </c>
      <c r="AD36" s="85" t="str">
        <f aca="false">IF($B36=AD$12,$U36,"")</f>
        <v/>
      </c>
      <c r="AE36" s="85" t="str">
        <f aca="false">IF($B36=AE$12,$U36,"")</f>
        <v/>
      </c>
      <c r="AF36" s="85" t="str">
        <f aca="false">IF($B36=AF$12,$U36,"")</f>
        <v/>
      </c>
      <c r="AG36" s="85" t="str">
        <f aca="false">IF($B36=AG$12,$U36,"")</f>
        <v/>
      </c>
      <c r="AH36" s="85" t="str">
        <f aca="false">IF($B36=AH$12,$U36,"")</f>
        <v/>
      </c>
      <c r="AI36" s="85" t="str">
        <f aca="false">IF($B36=AI$12,$U36,"")</f>
        <v/>
      </c>
      <c r="AJ36" s="85" t="str">
        <f aca="false">IF($B36=AJ$12,$U36,"")</f>
        <v/>
      </c>
      <c r="AK36" s="85" t="str">
        <f aca="false">IF($B36=AK$12,$U36,"")</f>
        <v/>
      </c>
      <c r="AL36" s="85" t="str">
        <f aca="false">IF($B36=AL$12,$U36,"")</f>
        <v/>
      </c>
      <c r="AM36" s="85" t="str">
        <f aca="false">IF($B36=AM$12,$U36,"")</f>
        <v/>
      </c>
      <c r="AN36" s="85" t="str">
        <f aca="false">IF($B36=AN$12,$U36,"")</f>
        <v/>
      </c>
      <c r="AO36" s="85" t="str">
        <f aca="false">IF($B36=AO$12,$U36,"")</f>
        <v/>
      </c>
      <c r="AP36" s="85" t="str">
        <f aca="false">IF($B36=AP$12,$U36,"")</f>
        <v/>
      </c>
      <c r="AQ36" s="85" t="str">
        <f aca="false">IF($B36=AQ$12,$U36,"")</f>
        <v/>
      </c>
      <c r="AR36" s="85" t="str">
        <f aca="false">IF($B36=AR$12,$U36,"")</f>
        <v/>
      </c>
      <c r="AS36" s="85" t="str">
        <f aca="false">IF($B36=AS$12,$U36,"")</f>
        <v/>
      </c>
      <c r="AT36" s="85" t="str">
        <f aca="false">IF($B36=AT$12,$U36,"")</f>
        <v/>
      </c>
      <c r="AU36" s="85" t="str">
        <f aca="false">IF($B36=AU$12,$U36,"")</f>
        <v/>
      </c>
      <c r="AV36" s="85" t="str">
        <f aca="false">IF($B36=AV$12,$U36,"")</f>
        <v/>
      </c>
      <c r="AW36" s="85" t="str">
        <f aca="false">IF($B36=AW$12,$U36,"")</f>
        <v/>
      </c>
      <c r="AX36" s="85" t="str">
        <f aca="false">IF($B36=AX$12,$U36,"")</f>
        <v/>
      </c>
      <c r="AY36" s="85" t="str">
        <f aca="false">IF($B36=AY$12,$U36,"")</f>
        <v/>
      </c>
      <c r="AZ36" s="85" t="str">
        <f aca="false">IF($B36=AZ$12,$U36,"")</f>
        <v/>
      </c>
      <c r="BA36" s="85" t="str">
        <f aca="false">IF($B36=BA$12,$U36,"")</f>
        <v/>
      </c>
      <c r="BB36" s="85" t="str">
        <f aca="false">IF($B36=BB$12,$U36,"")</f>
        <v/>
      </c>
      <c r="BC36" s="85" t="str">
        <f aca="false">IF($B36=BC$12,$U36,"")</f>
        <v/>
      </c>
      <c r="BD36" s="85" t="str">
        <f aca="false">IF($B36=BD$12,$U36,"")</f>
        <v/>
      </c>
      <c r="BE36" s="85" t="str">
        <f aca="false">IF($B36=BE$12,$U36,"")</f>
        <v/>
      </c>
      <c r="BF36" s="85" t="str">
        <f aca="false">IF($B36=BF$12,$U36,"")</f>
        <v/>
      </c>
      <c r="BG36" s="85" t="str">
        <f aca="false">IF($B36=BG$12,$U36,"")</f>
        <v/>
      </c>
      <c r="BH36" s="85" t="str">
        <f aca="false">IF($B36=BH$12,$U36,"")</f>
        <v/>
      </c>
      <c r="BI36" s="85" t="str">
        <f aca="false">IF($B36=BI$12,$U36,"")</f>
        <v/>
      </c>
      <c r="BJ36" s="85" t="str">
        <f aca="false">IF($B36=BJ$12,$U36,"")</f>
        <v/>
      </c>
      <c r="BK36" s="85" t="str">
        <f aca="false">IF($B36=BK$12,$U36,"")</f>
        <v/>
      </c>
      <c r="BL36" s="85" t="str">
        <f aca="false">IF($B36=BL$12,$U36,"")</f>
        <v/>
      </c>
      <c r="BM36" s="85" t="str">
        <f aca="false">IF($B36=BM$12,$U36,"")</f>
        <v/>
      </c>
      <c r="BN36" s="85" t="str">
        <f aca="false">IF($B36=BN$12,$U36,"")</f>
        <v/>
      </c>
      <c r="BO36" s="85" t="str">
        <f aca="false">IF($B36=BO$12,$U36,"")</f>
        <v/>
      </c>
      <c r="BP36" s="85" t="str">
        <f aca="false">IF($B36=BP$12,$U36,"")</f>
        <v/>
      </c>
      <c r="BQ36" s="85" t="str">
        <f aca="false">IF($B36=BQ$12,$U36,"")</f>
        <v/>
      </c>
      <c r="BR36" s="85" t="str">
        <f aca="false">IF($B36=BR$12,$U36,"")</f>
        <v/>
      </c>
      <c r="BS36" s="85" t="str">
        <f aca="false">IF($B36=BS$12,$U36,"")</f>
        <v/>
      </c>
      <c r="BT36" s="85" t="str">
        <f aca="false">IF($B36=BT$12,$U36,"")</f>
        <v/>
      </c>
      <c r="BU36" s="85" t="str">
        <f aca="false">IF($B36=BU$12,$U36,"")</f>
        <v/>
      </c>
      <c r="BV36" s="85" t="str">
        <f aca="false">IF($B36=BV$12,$U36,"")</f>
        <v/>
      </c>
      <c r="BW36" s="85" t="str">
        <f aca="false">IF($B36=BW$12,$U36,"")</f>
        <v/>
      </c>
      <c r="BX36" s="85" t="str">
        <f aca="false">IF($B36=BX$12,$U36,"")</f>
        <v/>
      </c>
      <c r="BY36" s="85" t="str">
        <f aca="false">IF($B36=BY$12,$U36,"")</f>
        <v/>
      </c>
      <c r="BZ36" s="85" t="str">
        <f aca="false">IF($B36=BZ$12,$U36,"")</f>
        <v/>
      </c>
      <c r="CA36" s="85" t="str">
        <f aca="false">IF($B36=CA$12,$U36,"")</f>
        <v/>
      </c>
      <c r="CB36" s="85" t="str">
        <f aca="false">IF($B36=CB$12,$U36,"")</f>
        <v/>
      </c>
      <c r="CC36" s="85" t="str">
        <f aca="false">IF($B36=CC$12,$U36,"")</f>
        <v/>
      </c>
      <c r="CD36" s="85" t="str">
        <f aca="false">IF($B36=CD$12,$U36,"")</f>
        <v/>
      </c>
      <c r="CE36" s="85" t="str">
        <f aca="false">IF($B36=CE$12,$U36,"")</f>
        <v/>
      </c>
      <c r="CF36" s="85" t="str">
        <f aca="false">IF($B36=CF$12,$U36,"")</f>
        <v/>
      </c>
      <c r="CG36" s="85" t="str">
        <f aca="false">IF($B36=CG$12,$U36,"")</f>
        <v/>
      </c>
      <c r="CH36" s="85" t="str">
        <f aca="false">IF($B36=CH$12,$U36,"")</f>
        <v/>
      </c>
      <c r="CI36" s="85" t="str">
        <f aca="false">IF($B36=CI$12,$U36,"")</f>
        <v/>
      </c>
      <c r="CJ36" s="85" t="str">
        <f aca="false">IF($B36=CJ$12,$U36,"")</f>
        <v/>
      </c>
      <c r="CK36" s="85" t="str">
        <f aca="false">IF($B36=CK$12,$U36,"")</f>
        <v/>
      </c>
      <c r="CL36" s="85" t="str">
        <f aca="false">IF($B36=CL$12,$U36,"")</f>
        <v/>
      </c>
      <c r="CM36" s="85" t="str">
        <f aca="false">IF($B36=CM$12,$U36,"")</f>
        <v/>
      </c>
      <c r="CN36" s="85" t="str">
        <f aca="false">IF($B36=CN$12,$U36,"")</f>
        <v/>
      </c>
      <c r="CO36" s="85" t="str">
        <f aca="false">IF($B36=CO$12,$U36,"")</f>
        <v/>
      </c>
      <c r="CP36" s="85" t="str">
        <f aca="false">IF($B36=CP$12,$U36,"")</f>
        <v/>
      </c>
      <c r="CQ36" s="85" t="str">
        <f aca="false">IF($B36=CQ$12,$U36,"")</f>
        <v/>
      </c>
      <c r="CR36" s="85" t="str">
        <f aca="false">IF($B36=CR$12,$U36,"")</f>
        <v/>
      </c>
      <c r="CS36" s="85" t="str">
        <f aca="false">IF($B36=CS$12,$U36,"")</f>
        <v/>
      </c>
      <c r="CT36" s="85" t="str">
        <f aca="false">IF($B36=CT$12,$U36,"")</f>
        <v/>
      </c>
      <c r="CU36" s="85" t="str">
        <f aca="false">IF($B36=CU$12,$U36,"")</f>
        <v/>
      </c>
      <c r="CV36" s="85" t="str">
        <f aca="false">IF($B36=CV$12,$U36,"")</f>
        <v/>
      </c>
      <c r="CW36" s="85" t="str">
        <f aca="false">IF($B36=CW$12,$U36,"")</f>
        <v/>
      </c>
      <c r="CX36" s="85" t="str">
        <f aca="false">IF($B36=CX$12,$U36,"")</f>
        <v/>
      </c>
      <c r="CY36" s="85" t="str">
        <f aca="false">IF($B36=CY$12,$U36,"")</f>
        <v/>
      </c>
      <c r="CZ36" s="85" t="str">
        <f aca="false">IF($B36=CZ$12,$U36,"")</f>
        <v/>
      </c>
      <c r="DA36" s="85" t="str">
        <f aca="false">IF($B36=DA$12,$U36,"")</f>
        <v/>
      </c>
      <c r="DB36" s="85" t="str">
        <f aca="false">IF($B36=DB$12,$U36,"")</f>
        <v/>
      </c>
      <c r="DC36" s="85" t="str">
        <f aca="false">IF($B36=DC$12,$U36,"")</f>
        <v/>
      </c>
      <c r="DD36" s="85" t="str">
        <f aca="false">IF($B36=DD$12,$U36,"")</f>
        <v/>
      </c>
      <c r="DE36" s="85" t="str">
        <f aca="false">IF($B36=DE$12,$U36,"")</f>
        <v/>
      </c>
      <c r="DF36" s="85" t="str">
        <f aca="false">IF($B36=DF$12,$U36,"")</f>
        <v/>
      </c>
      <c r="DG36" s="85" t="str">
        <f aca="false">IF($B36=DG$12,$U36,"")</f>
        <v/>
      </c>
      <c r="DH36" s="85" t="str">
        <f aca="false">IF($B36=DH$12,$U36,"")</f>
        <v/>
      </c>
      <c r="DI36" s="85" t="str">
        <f aca="false">IF($B36=DI$12,$U36,"")</f>
        <v/>
      </c>
      <c r="DJ36" s="85" t="str">
        <f aca="false">IF($B36=DJ$12,$U36,"")</f>
        <v/>
      </c>
      <c r="DK36" s="85" t="str">
        <f aca="false">IF($B36=DK$12,$U36,"")</f>
        <v/>
      </c>
      <c r="DL36" s="85" t="str">
        <f aca="false">IF($B36=DL$12,$U36,"")</f>
        <v/>
      </c>
      <c r="DM36" s="85" t="str">
        <f aca="false">IF($B36=DM$12,$U36,"")</f>
        <v/>
      </c>
      <c r="DN36" s="85" t="str">
        <f aca="false">IF($B36=DN$12,$U36,"")</f>
        <v/>
      </c>
      <c r="DO36" s="85" t="str">
        <f aca="false">IF($B36=DO$12,$U36,"")</f>
        <v/>
      </c>
      <c r="DP36" s="85" t="str">
        <f aca="false">IF($B36=DP$12,$U36,"")</f>
        <v/>
      </c>
      <c r="DQ36" s="85" t="str">
        <f aca="false">IF($B36=DQ$12,$U36,"")</f>
        <v/>
      </c>
      <c r="DR36" s="85" t="str">
        <f aca="false">IF($B36=DR$12,$U36,"")</f>
        <v/>
      </c>
      <c r="DS36" s="85" t="str">
        <f aca="false">IF($B36=DS$12,$U36,"")</f>
        <v/>
      </c>
      <c r="DT36" s="86" t="str">
        <f aca="false">IF($B36=DT$12,$U36,"")</f>
        <v/>
      </c>
      <c r="DU36" s="55"/>
      <c r="DV36" s="83"/>
      <c r="DW36" s="87" t="str">
        <f aca="false">IF($B36=DW$12,$O36,"")</f>
        <v/>
      </c>
      <c r="DX36" s="88" t="str">
        <f aca="false">IF($B36=DX$12,$O36,"")</f>
        <v/>
      </c>
      <c r="DY36" s="88" t="str">
        <f aca="false">IF($B36=DY$12,$O36,"")</f>
        <v/>
      </c>
      <c r="DZ36" s="88" t="str">
        <f aca="false">IF($B36=DZ$12,$O36,"")</f>
        <v/>
      </c>
      <c r="EA36" s="88" t="str">
        <f aca="false">IF($B36=EA$12,$O36,"")</f>
        <v/>
      </c>
      <c r="EB36" s="88" t="str">
        <f aca="false">IF($B36=EB$12,$O36,"")</f>
        <v/>
      </c>
      <c r="EC36" s="88" t="str">
        <f aca="false">IF($B36=EC$12,$O36,"")</f>
        <v/>
      </c>
      <c r="ED36" s="88" t="str">
        <f aca="false">IF($B36=ED$12,$O36,"")</f>
        <v/>
      </c>
      <c r="EE36" s="88" t="str">
        <f aca="false">IF($B36=EE$12,$O36,"")</f>
        <v/>
      </c>
      <c r="EF36" s="88" t="str">
        <f aca="false">IF($B36=EF$12,$O36,"")</f>
        <v/>
      </c>
      <c r="EG36" s="88" t="str">
        <f aca="false">IF($B36=EG$12,$O36,"")</f>
        <v/>
      </c>
      <c r="EH36" s="88" t="str">
        <f aca="false">IF($B36=EH$12,$O36,"")</f>
        <v/>
      </c>
      <c r="EI36" s="88" t="str">
        <f aca="false">IF($B36=EI$12,$O36,"")</f>
        <v/>
      </c>
      <c r="EJ36" s="88" t="str">
        <f aca="false">IF($B36=EJ$12,$O36,"")</f>
        <v/>
      </c>
      <c r="EK36" s="88" t="str">
        <f aca="false">IF($B36=EK$12,$O36,"")</f>
        <v/>
      </c>
      <c r="EL36" s="88" t="str">
        <f aca="false">IF($B36=EL$12,$O36,"")</f>
        <v/>
      </c>
      <c r="EM36" s="88" t="str">
        <f aca="false">IF($B36=EM$12,$O36,"")</f>
        <v/>
      </c>
      <c r="EN36" s="88" t="str">
        <f aca="false">IF($B36=EN$12,$O36,"")</f>
        <v/>
      </c>
      <c r="EO36" s="88" t="str">
        <f aca="false">IF($B36=EO$12,$O36,"")</f>
        <v/>
      </c>
      <c r="EP36" s="88" t="str">
        <f aca="false">IF($B36=EP$12,$O36,"")</f>
        <v/>
      </c>
      <c r="EQ36" s="88" t="str">
        <f aca="false">IF($B36=EQ$12,$O36,"")</f>
        <v/>
      </c>
      <c r="ER36" s="88" t="str">
        <f aca="false">IF($B36=ER$12,$O36,"")</f>
        <v/>
      </c>
      <c r="ES36" s="88" t="str">
        <f aca="false">IF($B36=ES$12,$O36,"")</f>
        <v/>
      </c>
      <c r="ET36" s="88" t="str">
        <f aca="false">IF($B36=ET$12,$O36,"")</f>
        <v/>
      </c>
      <c r="EU36" s="88" t="str">
        <f aca="false">IF($B36=EU$12,$O36,"")</f>
        <v/>
      </c>
      <c r="EV36" s="88" t="str">
        <f aca="false">IF($B36=EV$12,$O36,"")</f>
        <v/>
      </c>
      <c r="EW36" s="88" t="str">
        <f aca="false">IF($B36=EW$12,$O36,"")</f>
        <v/>
      </c>
      <c r="EX36" s="88" t="str">
        <f aca="false">IF($B36=EX$12,$O36,"")</f>
        <v/>
      </c>
      <c r="EY36" s="88" t="str">
        <f aca="false">IF($B36=EY$12,$O36,"")</f>
        <v/>
      </c>
      <c r="EZ36" s="88" t="str">
        <f aca="false">IF($B36=EZ$12,$O36,"")</f>
        <v/>
      </c>
      <c r="FA36" s="88" t="str">
        <f aca="false">IF($B36=FA$12,$O36,"")</f>
        <v/>
      </c>
      <c r="FB36" s="88" t="str">
        <f aca="false">IF($B36=FB$12,$O36,"")</f>
        <v/>
      </c>
      <c r="FC36" s="88" t="str">
        <f aca="false">IF($B36=FC$12,$O36,"")</f>
        <v/>
      </c>
      <c r="FD36" s="88" t="str">
        <f aca="false">IF($B36=FD$12,$O36,"")</f>
        <v/>
      </c>
      <c r="FE36" s="88" t="str">
        <f aca="false">IF($B36=FE$12,$O36,"")</f>
        <v/>
      </c>
      <c r="FF36" s="88" t="str">
        <f aca="false">IF($B36=FF$12,$O36,"")</f>
        <v/>
      </c>
      <c r="FG36" s="88" t="str">
        <f aca="false">IF($B36=FG$12,$O36,"")</f>
        <v/>
      </c>
      <c r="FH36" s="88" t="str">
        <f aca="false">IF($B36=FH$12,$O36,"")</f>
        <v/>
      </c>
      <c r="FI36" s="88" t="str">
        <f aca="false">IF($B36=FI$12,$O36,"")</f>
        <v/>
      </c>
      <c r="FJ36" s="88" t="str">
        <f aca="false">IF($B36=FJ$12,$O36,"")</f>
        <v/>
      </c>
      <c r="FK36" s="88" t="str">
        <f aca="false">IF($B36=FK$12,$O36,"")</f>
        <v/>
      </c>
      <c r="FL36" s="88" t="str">
        <f aca="false">IF($B36=FL$12,$O36,"")</f>
        <v/>
      </c>
      <c r="FM36" s="88" t="str">
        <f aca="false">IF($B36=FM$12,$O36,"")</f>
        <v/>
      </c>
      <c r="FN36" s="88" t="str">
        <f aca="false">IF($B36=FN$12,$O36,"")</f>
        <v/>
      </c>
      <c r="FO36" s="88" t="str">
        <f aca="false">IF($B36=FO$12,$O36,"")</f>
        <v/>
      </c>
      <c r="FP36" s="88" t="str">
        <f aca="false">IF($B36=FP$12,$O36,"")</f>
        <v/>
      </c>
      <c r="FQ36" s="88" t="str">
        <f aca="false">IF($B36=FQ$12,$O36,"")</f>
        <v/>
      </c>
      <c r="FR36" s="88" t="str">
        <f aca="false">IF($B36=FR$12,$O36,"")</f>
        <v/>
      </c>
      <c r="FS36" s="88" t="str">
        <f aca="false">IF($B36=FS$12,$O36,"")</f>
        <v/>
      </c>
      <c r="FT36" s="88" t="str">
        <f aca="false">IF($B36=FT$12,$O36,"")</f>
        <v/>
      </c>
      <c r="FU36" s="88" t="str">
        <f aca="false">IF($B36=FU$12,$O36,"")</f>
        <v/>
      </c>
      <c r="FV36" s="88" t="str">
        <f aca="false">IF($B36=FV$12,$O36,"")</f>
        <v/>
      </c>
      <c r="FW36" s="88" t="str">
        <f aca="false">IF($B36=FW$12,$O36,"")</f>
        <v/>
      </c>
      <c r="FX36" s="88" t="str">
        <f aca="false">IF($B36=FX$12,$O36,"")</f>
        <v/>
      </c>
      <c r="FY36" s="88" t="str">
        <f aca="false">IF($B36=FY$12,$O36,"")</f>
        <v/>
      </c>
      <c r="FZ36" s="88" t="str">
        <f aca="false">IF($B36=FZ$12,$O36,"")</f>
        <v/>
      </c>
      <c r="GA36" s="88" t="str">
        <f aca="false">IF($B36=GA$12,$O36,"")</f>
        <v/>
      </c>
      <c r="GB36" s="88" t="str">
        <f aca="false">IF($B36=GB$12,$O36,"")</f>
        <v/>
      </c>
      <c r="GC36" s="88" t="str">
        <f aca="false">IF($B36=GC$12,$O36,"")</f>
        <v/>
      </c>
      <c r="GD36" s="88" t="str">
        <f aca="false">IF($B36=GD$12,$O36,"")</f>
        <v/>
      </c>
      <c r="GE36" s="88" t="str">
        <f aca="false">IF($B36=GE$12,$O36,"")</f>
        <v/>
      </c>
      <c r="GF36" s="88" t="str">
        <f aca="false">IF($B36=GF$12,$O36,"")</f>
        <v/>
      </c>
      <c r="GG36" s="88" t="str">
        <f aca="false">IF($B36=GG$12,$O36,"")</f>
        <v/>
      </c>
      <c r="GH36" s="88" t="str">
        <f aca="false">IF($B36=GH$12,$O36,"")</f>
        <v/>
      </c>
      <c r="GI36" s="88" t="str">
        <f aca="false">IF($B36=GI$12,$O36,"")</f>
        <v/>
      </c>
      <c r="GJ36" s="88" t="str">
        <f aca="false">IF($B36=GJ$12,$O36,"")</f>
        <v/>
      </c>
      <c r="GK36" s="88" t="str">
        <f aca="false">IF($B36=GK$12,$O36,"")</f>
        <v/>
      </c>
      <c r="GL36" s="88" t="str">
        <f aca="false">IF($B36=GL$12,$O36,"")</f>
        <v/>
      </c>
      <c r="GM36" s="88" t="str">
        <f aca="false">IF($B36=GM$12,$O36,"")</f>
        <v/>
      </c>
      <c r="GN36" s="88" t="str">
        <f aca="false">IF($B36=GN$12,$O36,"")</f>
        <v/>
      </c>
      <c r="GO36" s="88" t="str">
        <f aca="false">IF($B36=GO$12,$O36,"")</f>
        <v/>
      </c>
      <c r="GP36" s="88" t="str">
        <f aca="false">IF($B36=GP$12,$O36,"")</f>
        <v/>
      </c>
      <c r="GQ36" s="88" t="str">
        <f aca="false">IF($B36=GQ$12,$O36,"")</f>
        <v/>
      </c>
      <c r="GR36" s="88" t="str">
        <f aca="false">IF($B36=GR$12,$O36,"")</f>
        <v/>
      </c>
      <c r="GS36" s="88" t="str">
        <f aca="false">IF($B36=GS$12,$O36,"")</f>
        <v/>
      </c>
      <c r="GT36" s="88" t="str">
        <f aca="false">IF($B36=GT$12,$O36,"")</f>
        <v/>
      </c>
      <c r="GU36" s="88" t="str">
        <f aca="false">IF($B36=GU$12,$O36,"")</f>
        <v/>
      </c>
      <c r="GV36" s="88" t="str">
        <f aca="false">IF($B36=GV$12,$O36,"")</f>
        <v/>
      </c>
      <c r="GW36" s="88" t="str">
        <f aca="false">IF($B36=GW$12,$O36,"")</f>
        <v/>
      </c>
      <c r="GX36" s="88" t="str">
        <f aca="false">IF($B36=GX$12,$O36,"")</f>
        <v/>
      </c>
      <c r="GY36" s="88" t="str">
        <f aca="false">IF($B36=GY$12,$O36,"")</f>
        <v/>
      </c>
      <c r="GZ36" s="88" t="str">
        <f aca="false">IF($B36=GZ$12,$O36,"")</f>
        <v/>
      </c>
      <c r="HA36" s="88" t="str">
        <f aca="false">IF($B36=HA$12,$O36,"")</f>
        <v/>
      </c>
      <c r="HB36" s="88" t="str">
        <f aca="false">IF($B36=HB$12,$O36,"")</f>
        <v/>
      </c>
      <c r="HC36" s="88" t="str">
        <f aca="false">IF($B36=HC$12,$O36,"")</f>
        <v/>
      </c>
      <c r="HD36" s="88" t="str">
        <f aca="false">IF($B36=HD$12,$O36,"")</f>
        <v/>
      </c>
      <c r="HE36" s="88" t="str">
        <f aca="false">IF($B36=HE$12,$O36,"")</f>
        <v/>
      </c>
      <c r="HF36" s="88" t="str">
        <f aca="false">IF($B36=HF$12,$O36,"")</f>
        <v/>
      </c>
      <c r="HG36" s="88" t="str">
        <f aca="false">IF($B36=HG$12,$O36,"")</f>
        <v/>
      </c>
      <c r="HH36" s="88" t="str">
        <f aca="false">IF($B36=HH$12,$O36,"")</f>
        <v/>
      </c>
      <c r="HI36" s="88" t="str">
        <f aca="false">IF($B36=HI$12,$O36,"")</f>
        <v/>
      </c>
      <c r="HJ36" s="88" t="str">
        <f aca="false">IF($B36=HJ$12,$O36,"")</f>
        <v/>
      </c>
      <c r="HK36" s="88" t="str">
        <f aca="false">IF($B36=HK$12,$O36,"")</f>
        <v/>
      </c>
      <c r="HL36" s="88" t="str">
        <f aca="false">IF($B36=HL$12,$O36,"")</f>
        <v/>
      </c>
      <c r="HM36" s="88" t="str">
        <f aca="false">IF($B36=HM$12,$O36,"")</f>
        <v/>
      </c>
      <c r="HN36" s="88" t="str">
        <f aca="false">IF($B36=HN$12,$O36,"")</f>
        <v/>
      </c>
      <c r="HO36" s="88" t="str">
        <f aca="false">IF($B36=HO$12,$O36,"")</f>
        <v/>
      </c>
      <c r="HP36" s="88" t="str">
        <f aca="false">IF($B36=HP$12,$O36,"")</f>
        <v/>
      </c>
      <c r="HQ36" s="88" t="str">
        <f aca="false">IF($B36=HQ$12,$O36,"")</f>
        <v/>
      </c>
      <c r="HR36" s="89" t="str">
        <f aca="false">IF($B36=HR$12,$O36,"")</f>
        <v/>
      </c>
    </row>
    <row r="37" customFormat="false" ht="10.5" hidden="false" customHeight="true" outlineLevel="0" collapsed="false">
      <c r="A37" s="73"/>
      <c r="B37" s="74"/>
      <c r="C37" s="75" t="str">
        <f aca="false">IF(A37=0,"",VLOOKUP(A37,[3]CO!$A$3:$F$5311,2,0))</f>
        <v/>
      </c>
      <c r="D37" s="76"/>
      <c r="E37" s="76"/>
      <c r="F37" s="76"/>
      <c r="G37" s="77" t="str">
        <f aca="false">IF(A37=0,"",VLOOKUP(A37,[3]CO!$A$3:$F$5311,3,0))</f>
        <v/>
      </c>
      <c r="H37" s="76"/>
      <c r="I37" s="78"/>
      <c r="J37" s="78"/>
      <c r="K37" s="78"/>
      <c r="L37" s="78"/>
      <c r="M37" s="79" t="str">
        <f aca="false">IF(L37=0,"",PRODUCT(I37:L37))</f>
        <v/>
      </c>
      <c r="N37" s="79" t="str">
        <f aca="false">IF(B37=0,"",IF(H37="M",HLOOKUP(B37,$Y$12:$DT$13,2),IF(A37=0,"",VLOOKUP(A37,[3]CO!$A$3:$F$5311,4,0))))</f>
        <v/>
      </c>
      <c r="O37" s="79" t="str">
        <f aca="false">IF(L37=0,"",PRODUCT(M37:N37))</f>
        <v/>
      </c>
      <c r="P37" s="80"/>
      <c r="Q37" s="81" t="str">
        <f aca="false">IF(P37=0,"",(HLOOKUP(P37,$DW$12:$HR$13,2)))</f>
        <v/>
      </c>
      <c r="R37" s="82" t="str">
        <f aca="false"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RESIDENTE"),VLOOKUP(B37,P$14:Q$131,2),"")*S37)</f>
        <v/>
      </c>
      <c r="S37" s="5"/>
      <c r="T37" s="65" t="str">
        <f aca="false">IF(A37=0,"",VLOOKUP(A37,[3]CO!$A$3:$F$5302,5,0))</f>
        <v/>
      </c>
      <c r="U37" s="55" t="n">
        <f aca="false">IF(T37=1,O37*0.1,)</f>
        <v>0</v>
      </c>
      <c r="V37" s="66"/>
      <c r="W37" s="83"/>
      <c r="X37" s="83"/>
      <c r="Y37" s="84" t="str">
        <f aca="false">IF($B37=Y$12,$U37,"")</f>
        <v/>
      </c>
      <c r="Z37" s="85" t="str">
        <f aca="false">IF($B37=Z$12,$U37,"")</f>
        <v/>
      </c>
      <c r="AA37" s="85" t="str">
        <f aca="false">IF($B37=AA$12,$U37,"")</f>
        <v/>
      </c>
      <c r="AB37" s="85" t="str">
        <f aca="false">IF($B37=AB$12,$U37,"")</f>
        <v/>
      </c>
      <c r="AC37" s="85" t="str">
        <f aca="false">IF($B37=AC$12,$U37,"")</f>
        <v/>
      </c>
      <c r="AD37" s="85" t="str">
        <f aca="false">IF($B37=AD$12,$U37,"")</f>
        <v/>
      </c>
      <c r="AE37" s="85" t="str">
        <f aca="false">IF($B37=AE$12,$U37,"")</f>
        <v/>
      </c>
      <c r="AF37" s="85" t="str">
        <f aca="false">IF($B37=AF$12,$U37,"")</f>
        <v/>
      </c>
      <c r="AG37" s="85" t="str">
        <f aca="false">IF($B37=AG$12,$U37,"")</f>
        <v/>
      </c>
      <c r="AH37" s="85" t="str">
        <f aca="false">IF($B37=AH$12,$U37,"")</f>
        <v/>
      </c>
      <c r="AI37" s="85" t="str">
        <f aca="false">IF($B37=AI$12,$U37,"")</f>
        <v/>
      </c>
      <c r="AJ37" s="85" t="str">
        <f aca="false">IF($B37=AJ$12,$U37,"")</f>
        <v/>
      </c>
      <c r="AK37" s="85" t="str">
        <f aca="false">IF($B37=AK$12,$U37,"")</f>
        <v/>
      </c>
      <c r="AL37" s="85" t="str">
        <f aca="false">IF($B37=AL$12,$U37,"")</f>
        <v/>
      </c>
      <c r="AM37" s="85" t="str">
        <f aca="false">IF($B37=AM$12,$U37,"")</f>
        <v/>
      </c>
      <c r="AN37" s="85" t="str">
        <f aca="false">IF($B37=AN$12,$U37,"")</f>
        <v/>
      </c>
      <c r="AO37" s="85" t="str">
        <f aca="false">IF($B37=AO$12,$U37,"")</f>
        <v/>
      </c>
      <c r="AP37" s="85" t="str">
        <f aca="false">IF($B37=AP$12,$U37,"")</f>
        <v/>
      </c>
      <c r="AQ37" s="85" t="str">
        <f aca="false">IF($B37=AQ$12,$U37,"")</f>
        <v/>
      </c>
      <c r="AR37" s="85" t="str">
        <f aca="false">IF($B37=AR$12,$U37,"")</f>
        <v/>
      </c>
      <c r="AS37" s="85" t="str">
        <f aca="false">IF($B37=AS$12,$U37,"")</f>
        <v/>
      </c>
      <c r="AT37" s="85" t="str">
        <f aca="false">IF($B37=AT$12,$U37,"")</f>
        <v/>
      </c>
      <c r="AU37" s="85" t="str">
        <f aca="false">IF($B37=AU$12,$U37,"")</f>
        <v/>
      </c>
      <c r="AV37" s="85" t="str">
        <f aca="false">IF($B37=AV$12,$U37,"")</f>
        <v/>
      </c>
      <c r="AW37" s="85" t="str">
        <f aca="false">IF($B37=AW$12,$U37,"")</f>
        <v/>
      </c>
      <c r="AX37" s="85" t="str">
        <f aca="false">IF($B37=AX$12,$U37,"")</f>
        <v/>
      </c>
      <c r="AY37" s="85" t="str">
        <f aca="false">IF($B37=AY$12,$U37,"")</f>
        <v/>
      </c>
      <c r="AZ37" s="85" t="str">
        <f aca="false">IF($B37=AZ$12,$U37,"")</f>
        <v/>
      </c>
      <c r="BA37" s="85" t="str">
        <f aca="false">IF($B37=BA$12,$U37,"")</f>
        <v/>
      </c>
      <c r="BB37" s="85" t="str">
        <f aca="false">IF($B37=BB$12,$U37,"")</f>
        <v/>
      </c>
      <c r="BC37" s="85" t="str">
        <f aca="false">IF($B37=BC$12,$U37,"")</f>
        <v/>
      </c>
      <c r="BD37" s="85" t="str">
        <f aca="false">IF($B37=BD$12,$U37,"")</f>
        <v/>
      </c>
      <c r="BE37" s="85" t="str">
        <f aca="false">IF($B37=BE$12,$U37,"")</f>
        <v/>
      </c>
      <c r="BF37" s="85" t="str">
        <f aca="false">IF($B37=BF$12,$U37,"")</f>
        <v/>
      </c>
      <c r="BG37" s="85" t="str">
        <f aca="false">IF($B37=BG$12,$U37,"")</f>
        <v/>
      </c>
      <c r="BH37" s="85" t="str">
        <f aca="false">IF($B37=BH$12,$U37,"")</f>
        <v/>
      </c>
      <c r="BI37" s="85" t="str">
        <f aca="false">IF($B37=BI$12,$U37,"")</f>
        <v/>
      </c>
      <c r="BJ37" s="85" t="str">
        <f aca="false">IF($B37=BJ$12,$U37,"")</f>
        <v/>
      </c>
      <c r="BK37" s="85" t="str">
        <f aca="false">IF($B37=BK$12,$U37,"")</f>
        <v/>
      </c>
      <c r="BL37" s="85" t="str">
        <f aca="false">IF($B37=BL$12,$U37,"")</f>
        <v/>
      </c>
      <c r="BM37" s="85" t="str">
        <f aca="false">IF($B37=BM$12,$U37,"")</f>
        <v/>
      </c>
      <c r="BN37" s="85" t="str">
        <f aca="false">IF($B37=BN$12,$U37,"")</f>
        <v/>
      </c>
      <c r="BO37" s="85" t="str">
        <f aca="false">IF($B37=BO$12,$U37,"")</f>
        <v/>
      </c>
      <c r="BP37" s="85" t="str">
        <f aca="false">IF($B37=BP$12,$U37,"")</f>
        <v/>
      </c>
      <c r="BQ37" s="85" t="str">
        <f aca="false">IF($B37=BQ$12,$U37,"")</f>
        <v/>
      </c>
      <c r="BR37" s="85" t="str">
        <f aca="false">IF($B37=BR$12,$U37,"")</f>
        <v/>
      </c>
      <c r="BS37" s="85" t="str">
        <f aca="false">IF($B37=BS$12,$U37,"")</f>
        <v/>
      </c>
      <c r="BT37" s="85" t="str">
        <f aca="false">IF($B37=BT$12,$U37,"")</f>
        <v/>
      </c>
      <c r="BU37" s="85" t="str">
        <f aca="false">IF($B37=BU$12,$U37,"")</f>
        <v/>
      </c>
      <c r="BV37" s="85" t="str">
        <f aca="false">IF($B37=BV$12,$U37,"")</f>
        <v/>
      </c>
      <c r="BW37" s="85" t="str">
        <f aca="false">IF($B37=BW$12,$U37,"")</f>
        <v/>
      </c>
      <c r="BX37" s="85" t="str">
        <f aca="false">IF($B37=BX$12,$U37,"")</f>
        <v/>
      </c>
      <c r="BY37" s="85" t="str">
        <f aca="false">IF($B37=BY$12,$U37,"")</f>
        <v/>
      </c>
      <c r="BZ37" s="85" t="str">
        <f aca="false">IF($B37=BZ$12,$U37,"")</f>
        <v/>
      </c>
      <c r="CA37" s="85" t="str">
        <f aca="false">IF($B37=CA$12,$U37,"")</f>
        <v/>
      </c>
      <c r="CB37" s="85" t="str">
        <f aca="false">IF($B37=CB$12,$U37,"")</f>
        <v/>
      </c>
      <c r="CC37" s="85" t="str">
        <f aca="false">IF($B37=CC$12,$U37,"")</f>
        <v/>
      </c>
      <c r="CD37" s="85" t="str">
        <f aca="false">IF($B37=CD$12,$U37,"")</f>
        <v/>
      </c>
      <c r="CE37" s="85" t="str">
        <f aca="false">IF($B37=CE$12,$U37,"")</f>
        <v/>
      </c>
      <c r="CF37" s="85" t="str">
        <f aca="false">IF($B37=CF$12,$U37,"")</f>
        <v/>
      </c>
      <c r="CG37" s="85" t="str">
        <f aca="false">IF($B37=CG$12,$U37,"")</f>
        <v/>
      </c>
      <c r="CH37" s="85" t="str">
        <f aca="false">IF($B37=CH$12,$U37,"")</f>
        <v/>
      </c>
      <c r="CI37" s="85" t="str">
        <f aca="false">IF($B37=CI$12,$U37,"")</f>
        <v/>
      </c>
      <c r="CJ37" s="85" t="str">
        <f aca="false">IF($B37=CJ$12,$U37,"")</f>
        <v/>
      </c>
      <c r="CK37" s="85" t="str">
        <f aca="false">IF($B37=CK$12,$U37,"")</f>
        <v/>
      </c>
      <c r="CL37" s="85" t="str">
        <f aca="false">IF($B37=CL$12,$U37,"")</f>
        <v/>
      </c>
      <c r="CM37" s="85" t="str">
        <f aca="false">IF($B37=CM$12,$U37,"")</f>
        <v/>
      </c>
      <c r="CN37" s="85" t="str">
        <f aca="false">IF($B37=CN$12,$U37,"")</f>
        <v/>
      </c>
      <c r="CO37" s="85" t="str">
        <f aca="false">IF($B37=CO$12,$U37,"")</f>
        <v/>
      </c>
      <c r="CP37" s="85" t="str">
        <f aca="false">IF($B37=CP$12,$U37,"")</f>
        <v/>
      </c>
      <c r="CQ37" s="85" t="str">
        <f aca="false">IF($B37=CQ$12,$U37,"")</f>
        <v/>
      </c>
      <c r="CR37" s="85" t="str">
        <f aca="false">IF($B37=CR$12,$U37,"")</f>
        <v/>
      </c>
      <c r="CS37" s="85" t="str">
        <f aca="false">IF($B37=CS$12,$U37,"")</f>
        <v/>
      </c>
      <c r="CT37" s="85" t="str">
        <f aca="false">IF($B37=CT$12,$U37,"")</f>
        <v/>
      </c>
      <c r="CU37" s="85" t="str">
        <f aca="false">IF($B37=CU$12,$U37,"")</f>
        <v/>
      </c>
      <c r="CV37" s="85" t="str">
        <f aca="false">IF($B37=CV$12,$U37,"")</f>
        <v/>
      </c>
      <c r="CW37" s="85" t="str">
        <f aca="false">IF($B37=CW$12,$U37,"")</f>
        <v/>
      </c>
      <c r="CX37" s="85" t="str">
        <f aca="false">IF($B37=CX$12,$U37,"")</f>
        <v/>
      </c>
      <c r="CY37" s="85" t="str">
        <f aca="false">IF($B37=CY$12,$U37,"")</f>
        <v/>
      </c>
      <c r="CZ37" s="85" t="str">
        <f aca="false">IF($B37=CZ$12,$U37,"")</f>
        <v/>
      </c>
      <c r="DA37" s="85" t="str">
        <f aca="false">IF($B37=DA$12,$U37,"")</f>
        <v/>
      </c>
      <c r="DB37" s="85" t="str">
        <f aca="false">IF($B37=DB$12,$U37,"")</f>
        <v/>
      </c>
      <c r="DC37" s="85" t="str">
        <f aca="false">IF($B37=DC$12,$U37,"")</f>
        <v/>
      </c>
      <c r="DD37" s="85" t="str">
        <f aca="false">IF($B37=DD$12,$U37,"")</f>
        <v/>
      </c>
      <c r="DE37" s="85" t="str">
        <f aca="false">IF($B37=DE$12,$U37,"")</f>
        <v/>
      </c>
      <c r="DF37" s="85" t="str">
        <f aca="false">IF($B37=DF$12,$U37,"")</f>
        <v/>
      </c>
      <c r="DG37" s="85" t="str">
        <f aca="false">IF($B37=DG$12,$U37,"")</f>
        <v/>
      </c>
      <c r="DH37" s="85" t="str">
        <f aca="false">IF($B37=DH$12,$U37,"")</f>
        <v/>
      </c>
      <c r="DI37" s="85" t="str">
        <f aca="false">IF($B37=DI$12,$U37,"")</f>
        <v/>
      </c>
      <c r="DJ37" s="85" t="str">
        <f aca="false">IF($B37=DJ$12,$U37,"")</f>
        <v/>
      </c>
      <c r="DK37" s="85" t="str">
        <f aca="false">IF($B37=DK$12,$U37,"")</f>
        <v/>
      </c>
      <c r="DL37" s="85" t="str">
        <f aca="false">IF($B37=DL$12,$U37,"")</f>
        <v/>
      </c>
      <c r="DM37" s="85" t="str">
        <f aca="false">IF($B37=DM$12,$U37,"")</f>
        <v/>
      </c>
      <c r="DN37" s="85" t="str">
        <f aca="false">IF($B37=DN$12,$U37,"")</f>
        <v/>
      </c>
      <c r="DO37" s="85" t="str">
        <f aca="false">IF($B37=DO$12,$U37,"")</f>
        <v/>
      </c>
      <c r="DP37" s="85" t="str">
        <f aca="false">IF($B37=DP$12,$U37,"")</f>
        <v/>
      </c>
      <c r="DQ37" s="85" t="str">
        <f aca="false">IF($B37=DQ$12,$U37,"")</f>
        <v/>
      </c>
      <c r="DR37" s="85" t="str">
        <f aca="false">IF($B37=DR$12,$U37,"")</f>
        <v/>
      </c>
      <c r="DS37" s="85" t="str">
        <f aca="false">IF($B37=DS$12,$U37,"")</f>
        <v/>
      </c>
      <c r="DT37" s="86" t="str">
        <f aca="false">IF($B37=DT$12,$U37,"")</f>
        <v/>
      </c>
      <c r="DU37" s="55"/>
      <c r="DV37" s="83"/>
      <c r="DW37" s="87" t="str">
        <f aca="false">IF($B37=DW$12,$O37,"")</f>
        <v/>
      </c>
      <c r="DX37" s="88" t="str">
        <f aca="false">IF($B37=DX$12,$O37,"")</f>
        <v/>
      </c>
      <c r="DY37" s="88" t="str">
        <f aca="false">IF($B37=DY$12,$O37,"")</f>
        <v/>
      </c>
      <c r="DZ37" s="88" t="str">
        <f aca="false">IF($B37=DZ$12,$O37,"")</f>
        <v/>
      </c>
      <c r="EA37" s="88" t="str">
        <f aca="false">IF($B37=EA$12,$O37,"")</f>
        <v/>
      </c>
      <c r="EB37" s="88" t="str">
        <f aca="false">IF($B37=EB$12,$O37,"")</f>
        <v/>
      </c>
      <c r="EC37" s="88" t="str">
        <f aca="false">IF($B37=EC$12,$O37,"")</f>
        <v/>
      </c>
      <c r="ED37" s="88" t="str">
        <f aca="false">IF($B37=ED$12,$O37,"")</f>
        <v/>
      </c>
      <c r="EE37" s="88" t="str">
        <f aca="false">IF($B37=EE$12,$O37,"")</f>
        <v/>
      </c>
      <c r="EF37" s="88" t="str">
        <f aca="false">IF($B37=EF$12,$O37,"")</f>
        <v/>
      </c>
      <c r="EG37" s="88" t="str">
        <f aca="false">IF($B37=EG$12,$O37,"")</f>
        <v/>
      </c>
      <c r="EH37" s="88" t="str">
        <f aca="false">IF($B37=EH$12,$O37,"")</f>
        <v/>
      </c>
      <c r="EI37" s="88" t="str">
        <f aca="false">IF($B37=EI$12,$O37,"")</f>
        <v/>
      </c>
      <c r="EJ37" s="88" t="str">
        <f aca="false">IF($B37=EJ$12,$O37,"")</f>
        <v/>
      </c>
      <c r="EK37" s="88" t="str">
        <f aca="false">IF($B37=EK$12,$O37,"")</f>
        <v/>
      </c>
      <c r="EL37" s="88" t="str">
        <f aca="false">IF($B37=EL$12,$O37,"")</f>
        <v/>
      </c>
      <c r="EM37" s="88" t="str">
        <f aca="false">IF($B37=EM$12,$O37,"")</f>
        <v/>
      </c>
      <c r="EN37" s="88" t="str">
        <f aca="false">IF($B37=EN$12,$O37,"")</f>
        <v/>
      </c>
      <c r="EO37" s="88" t="str">
        <f aca="false">IF($B37=EO$12,$O37,"")</f>
        <v/>
      </c>
      <c r="EP37" s="88" t="str">
        <f aca="false">IF($B37=EP$12,$O37,"")</f>
        <v/>
      </c>
      <c r="EQ37" s="88" t="str">
        <f aca="false">IF($B37=EQ$12,$O37,"")</f>
        <v/>
      </c>
      <c r="ER37" s="88" t="str">
        <f aca="false">IF($B37=ER$12,$O37,"")</f>
        <v/>
      </c>
      <c r="ES37" s="88" t="str">
        <f aca="false">IF($B37=ES$12,$O37,"")</f>
        <v/>
      </c>
      <c r="ET37" s="88" t="str">
        <f aca="false">IF($B37=ET$12,$O37,"")</f>
        <v/>
      </c>
      <c r="EU37" s="88" t="str">
        <f aca="false">IF($B37=EU$12,$O37,"")</f>
        <v/>
      </c>
      <c r="EV37" s="88" t="str">
        <f aca="false">IF($B37=EV$12,$O37,"")</f>
        <v/>
      </c>
      <c r="EW37" s="88" t="str">
        <f aca="false">IF($B37=EW$12,$O37,"")</f>
        <v/>
      </c>
      <c r="EX37" s="88" t="str">
        <f aca="false">IF($B37=EX$12,$O37,"")</f>
        <v/>
      </c>
      <c r="EY37" s="88" t="str">
        <f aca="false">IF($B37=EY$12,$O37,"")</f>
        <v/>
      </c>
      <c r="EZ37" s="88" t="str">
        <f aca="false">IF($B37=EZ$12,$O37,"")</f>
        <v/>
      </c>
      <c r="FA37" s="88" t="str">
        <f aca="false">IF($B37=FA$12,$O37,"")</f>
        <v/>
      </c>
      <c r="FB37" s="88" t="str">
        <f aca="false">IF($B37=FB$12,$O37,"")</f>
        <v/>
      </c>
      <c r="FC37" s="88" t="str">
        <f aca="false">IF($B37=FC$12,$O37,"")</f>
        <v/>
      </c>
      <c r="FD37" s="88" t="str">
        <f aca="false">IF($B37=FD$12,$O37,"")</f>
        <v/>
      </c>
      <c r="FE37" s="88" t="str">
        <f aca="false">IF($B37=FE$12,$O37,"")</f>
        <v/>
      </c>
      <c r="FF37" s="88" t="str">
        <f aca="false">IF($B37=FF$12,$O37,"")</f>
        <v/>
      </c>
      <c r="FG37" s="88" t="str">
        <f aca="false">IF($B37=FG$12,$O37,"")</f>
        <v/>
      </c>
      <c r="FH37" s="88" t="str">
        <f aca="false">IF($B37=FH$12,$O37,"")</f>
        <v/>
      </c>
      <c r="FI37" s="88" t="str">
        <f aca="false">IF($B37=FI$12,$O37,"")</f>
        <v/>
      </c>
      <c r="FJ37" s="88" t="str">
        <f aca="false">IF($B37=FJ$12,$O37,"")</f>
        <v/>
      </c>
      <c r="FK37" s="88" t="str">
        <f aca="false">IF($B37=FK$12,$O37,"")</f>
        <v/>
      </c>
      <c r="FL37" s="88" t="str">
        <f aca="false">IF($B37=FL$12,$O37,"")</f>
        <v/>
      </c>
      <c r="FM37" s="88" t="str">
        <f aca="false">IF($B37=FM$12,$O37,"")</f>
        <v/>
      </c>
      <c r="FN37" s="88" t="str">
        <f aca="false">IF($B37=FN$12,$O37,"")</f>
        <v/>
      </c>
      <c r="FO37" s="88" t="str">
        <f aca="false">IF($B37=FO$12,$O37,"")</f>
        <v/>
      </c>
      <c r="FP37" s="88" t="str">
        <f aca="false">IF($B37=FP$12,$O37,"")</f>
        <v/>
      </c>
      <c r="FQ37" s="88" t="str">
        <f aca="false">IF($B37=FQ$12,$O37,"")</f>
        <v/>
      </c>
      <c r="FR37" s="88" t="str">
        <f aca="false">IF($B37=FR$12,$O37,"")</f>
        <v/>
      </c>
      <c r="FS37" s="88" t="str">
        <f aca="false">IF($B37=FS$12,$O37,"")</f>
        <v/>
      </c>
      <c r="FT37" s="88" t="str">
        <f aca="false">IF($B37=FT$12,$O37,"")</f>
        <v/>
      </c>
      <c r="FU37" s="88" t="str">
        <f aca="false">IF($B37=FU$12,$O37,"")</f>
        <v/>
      </c>
      <c r="FV37" s="88" t="str">
        <f aca="false">IF($B37=FV$12,$O37,"")</f>
        <v/>
      </c>
      <c r="FW37" s="88" t="str">
        <f aca="false">IF($B37=FW$12,$O37,"")</f>
        <v/>
      </c>
      <c r="FX37" s="88" t="str">
        <f aca="false">IF($B37=FX$12,$O37,"")</f>
        <v/>
      </c>
      <c r="FY37" s="88" t="str">
        <f aca="false">IF($B37=FY$12,$O37,"")</f>
        <v/>
      </c>
      <c r="FZ37" s="88" t="str">
        <f aca="false">IF($B37=FZ$12,$O37,"")</f>
        <v/>
      </c>
      <c r="GA37" s="88" t="str">
        <f aca="false">IF($B37=GA$12,$O37,"")</f>
        <v/>
      </c>
      <c r="GB37" s="88" t="str">
        <f aca="false">IF($B37=GB$12,$O37,"")</f>
        <v/>
      </c>
      <c r="GC37" s="88" t="str">
        <f aca="false">IF($B37=GC$12,$O37,"")</f>
        <v/>
      </c>
      <c r="GD37" s="88" t="str">
        <f aca="false">IF($B37=GD$12,$O37,"")</f>
        <v/>
      </c>
      <c r="GE37" s="88" t="str">
        <f aca="false">IF($B37=GE$12,$O37,"")</f>
        <v/>
      </c>
      <c r="GF37" s="88" t="str">
        <f aca="false">IF($B37=GF$12,$O37,"")</f>
        <v/>
      </c>
      <c r="GG37" s="88" t="str">
        <f aca="false">IF($B37=GG$12,$O37,"")</f>
        <v/>
      </c>
      <c r="GH37" s="88" t="str">
        <f aca="false">IF($B37=GH$12,$O37,"")</f>
        <v/>
      </c>
      <c r="GI37" s="88" t="str">
        <f aca="false">IF($B37=GI$12,$O37,"")</f>
        <v/>
      </c>
      <c r="GJ37" s="88" t="str">
        <f aca="false">IF($B37=GJ$12,$O37,"")</f>
        <v/>
      </c>
      <c r="GK37" s="88" t="str">
        <f aca="false">IF($B37=GK$12,$O37,"")</f>
        <v/>
      </c>
      <c r="GL37" s="88" t="str">
        <f aca="false">IF($B37=GL$12,$O37,"")</f>
        <v/>
      </c>
      <c r="GM37" s="88" t="str">
        <f aca="false">IF($B37=GM$12,$O37,"")</f>
        <v/>
      </c>
      <c r="GN37" s="88" t="str">
        <f aca="false">IF($B37=GN$12,$O37,"")</f>
        <v/>
      </c>
      <c r="GO37" s="88" t="str">
        <f aca="false">IF($B37=GO$12,$O37,"")</f>
        <v/>
      </c>
      <c r="GP37" s="88" t="str">
        <f aca="false">IF($B37=GP$12,$O37,"")</f>
        <v/>
      </c>
      <c r="GQ37" s="88" t="str">
        <f aca="false">IF($B37=GQ$12,$O37,"")</f>
        <v/>
      </c>
      <c r="GR37" s="88" t="str">
        <f aca="false">IF($B37=GR$12,$O37,"")</f>
        <v/>
      </c>
      <c r="GS37" s="88" t="str">
        <f aca="false">IF($B37=GS$12,$O37,"")</f>
        <v/>
      </c>
      <c r="GT37" s="88" t="str">
        <f aca="false">IF($B37=GT$12,$O37,"")</f>
        <v/>
      </c>
      <c r="GU37" s="88" t="str">
        <f aca="false">IF($B37=GU$12,$O37,"")</f>
        <v/>
      </c>
      <c r="GV37" s="88" t="str">
        <f aca="false">IF($B37=GV$12,$O37,"")</f>
        <v/>
      </c>
      <c r="GW37" s="88" t="str">
        <f aca="false">IF($B37=GW$12,$O37,"")</f>
        <v/>
      </c>
      <c r="GX37" s="88" t="str">
        <f aca="false">IF($B37=GX$12,$O37,"")</f>
        <v/>
      </c>
      <c r="GY37" s="88" t="str">
        <f aca="false">IF($B37=GY$12,$O37,"")</f>
        <v/>
      </c>
      <c r="GZ37" s="88" t="str">
        <f aca="false">IF($B37=GZ$12,$O37,"")</f>
        <v/>
      </c>
      <c r="HA37" s="88" t="str">
        <f aca="false">IF($B37=HA$12,$O37,"")</f>
        <v/>
      </c>
      <c r="HB37" s="88" t="str">
        <f aca="false">IF($B37=HB$12,$O37,"")</f>
        <v/>
      </c>
      <c r="HC37" s="88" t="str">
        <f aca="false">IF($B37=HC$12,$O37,"")</f>
        <v/>
      </c>
      <c r="HD37" s="88" t="str">
        <f aca="false">IF($B37=HD$12,$O37,"")</f>
        <v/>
      </c>
      <c r="HE37" s="88" t="str">
        <f aca="false">IF($B37=HE$12,$O37,"")</f>
        <v/>
      </c>
      <c r="HF37" s="88" t="str">
        <f aca="false">IF($B37=HF$12,$O37,"")</f>
        <v/>
      </c>
      <c r="HG37" s="88" t="str">
        <f aca="false">IF($B37=HG$12,$O37,"")</f>
        <v/>
      </c>
      <c r="HH37" s="88" t="str">
        <f aca="false">IF($B37=HH$12,$O37,"")</f>
        <v/>
      </c>
      <c r="HI37" s="88" t="str">
        <f aca="false">IF($B37=HI$12,$O37,"")</f>
        <v/>
      </c>
      <c r="HJ37" s="88" t="str">
        <f aca="false">IF($B37=HJ$12,$O37,"")</f>
        <v/>
      </c>
      <c r="HK37" s="88" t="str">
        <f aca="false">IF($B37=HK$12,$O37,"")</f>
        <v/>
      </c>
      <c r="HL37" s="88" t="str">
        <f aca="false">IF($B37=HL$12,$O37,"")</f>
        <v/>
      </c>
      <c r="HM37" s="88" t="str">
        <f aca="false">IF($B37=HM$12,$O37,"")</f>
        <v/>
      </c>
      <c r="HN37" s="88" t="str">
        <f aca="false">IF($B37=HN$12,$O37,"")</f>
        <v/>
      </c>
      <c r="HO37" s="88" t="str">
        <f aca="false">IF($B37=HO$12,$O37,"")</f>
        <v/>
      </c>
      <c r="HP37" s="88" t="str">
        <f aca="false">IF($B37=HP$12,$O37,"")</f>
        <v/>
      </c>
      <c r="HQ37" s="88" t="str">
        <f aca="false">IF($B37=HQ$12,$O37,"")</f>
        <v/>
      </c>
      <c r="HR37" s="89" t="str">
        <f aca="false">IF($B37=HR$12,$O37,"")</f>
        <v/>
      </c>
    </row>
    <row r="38" customFormat="false" ht="10.5" hidden="false" customHeight="true" outlineLevel="0" collapsed="false">
      <c r="A38" s="73"/>
      <c r="B38" s="74"/>
      <c r="C38" s="75" t="str">
        <f aca="false">IF(A38=0,"",VLOOKUP(A38,[3]CO!$A$3:$F$5311,2,0))</f>
        <v/>
      </c>
      <c r="D38" s="76"/>
      <c r="E38" s="76"/>
      <c r="F38" s="76"/>
      <c r="G38" s="77" t="str">
        <f aca="false">IF(A38=0,"",VLOOKUP(A38,[3]CO!$A$3:$F$5311,3,0))</f>
        <v/>
      </c>
      <c r="H38" s="76"/>
      <c r="I38" s="78"/>
      <c r="J38" s="78"/>
      <c r="K38" s="78"/>
      <c r="L38" s="78"/>
      <c r="M38" s="79" t="str">
        <f aca="false">IF(L38=0,"",PRODUCT(I38:L38))</f>
        <v/>
      </c>
      <c r="N38" s="79" t="str">
        <f aca="false">IF(B38=0,"",IF(H38="M",HLOOKUP(B38,$Y$12:$DT$13,2),IF(A38=0,"",VLOOKUP(A38,[3]CO!$A$3:$F$5311,4,0))))</f>
        <v/>
      </c>
      <c r="O38" s="79" t="str">
        <f aca="false">IF(L38=0,"",PRODUCT(M38:N38))</f>
        <v/>
      </c>
      <c r="P38" s="80"/>
      <c r="Q38" s="81" t="str">
        <f aca="false">IF(P38=0,"",(HLOOKUP(P38,$DW$12:$HR$13,2)))</f>
        <v/>
      </c>
      <c r="R38" s="82" t="str">
        <f aca="false"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RESIDENTE"),VLOOKUP(B38,P$14:Q$131,2),"")*S38)</f>
        <v/>
      </c>
      <c r="S38" s="5"/>
      <c r="T38" s="65" t="str">
        <f aca="false">IF(A38=0,"",VLOOKUP(A38,[3]CO!$A$3:$F$5302,5,0))</f>
        <v/>
      </c>
      <c r="U38" s="55" t="n">
        <f aca="false">IF(T38=1,O38*0.1,)</f>
        <v>0</v>
      </c>
      <c r="V38" s="66"/>
      <c r="W38" s="83"/>
      <c r="X38" s="83"/>
      <c r="Y38" s="84" t="str">
        <f aca="false">IF($B38=Y$12,$U38,"")</f>
        <v/>
      </c>
      <c r="Z38" s="85" t="str">
        <f aca="false">IF($B38=Z$12,$U38,"")</f>
        <v/>
      </c>
      <c r="AA38" s="85" t="str">
        <f aca="false">IF($B38=AA$12,$U38,"")</f>
        <v/>
      </c>
      <c r="AB38" s="85" t="str">
        <f aca="false">IF($B38=AB$12,$U38,"")</f>
        <v/>
      </c>
      <c r="AC38" s="85" t="str">
        <f aca="false">IF($B38=AC$12,$U38,"")</f>
        <v/>
      </c>
      <c r="AD38" s="85" t="str">
        <f aca="false">IF($B38=AD$12,$U38,"")</f>
        <v/>
      </c>
      <c r="AE38" s="85" t="str">
        <f aca="false">IF($B38=AE$12,$U38,"")</f>
        <v/>
      </c>
      <c r="AF38" s="85" t="str">
        <f aca="false">IF($B38=AF$12,$U38,"")</f>
        <v/>
      </c>
      <c r="AG38" s="85" t="str">
        <f aca="false">IF($B38=AG$12,$U38,"")</f>
        <v/>
      </c>
      <c r="AH38" s="85" t="str">
        <f aca="false">IF($B38=AH$12,$U38,"")</f>
        <v/>
      </c>
      <c r="AI38" s="85" t="str">
        <f aca="false">IF($B38=AI$12,$U38,"")</f>
        <v/>
      </c>
      <c r="AJ38" s="85" t="str">
        <f aca="false">IF($B38=AJ$12,$U38,"")</f>
        <v/>
      </c>
      <c r="AK38" s="85" t="str">
        <f aca="false">IF($B38=AK$12,$U38,"")</f>
        <v/>
      </c>
      <c r="AL38" s="85" t="str">
        <f aca="false">IF($B38=AL$12,$U38,"")</f>
        <v/>
      </c>
      <c r="AM38" s="85" t="str">
        <f aca="false">IF($B38=AM$12,$U38,"")</f>
        <v/>
      </c>
      <c r="AN38" s="85" t="str">
        <f aca="false">IF($B38=AN$12,$U38,"")</f>
        <v/>
      </c>
      <c r="AO38" s="85" t="str">
        <f aca="false">IF($B38=AO$12,$U38,"")</f>
        <v/>
      </c>
      <c r="AP38" s="85" t="str">
        <f aca="false">IF($B38=AP$12,$U38,"")</f>
        <v/>
      </c>
      <c r="AQ38" s="85" t="str">
        <f aca="false">IF($B38=AQ$12,$U38,"")</f>
        <v/>
      </c>
      <c r="AR38" s="85" t="str">
        <f aca="false">IF($B38=AR$12,$U38,"")</f>
        <v/>
      </c>
      <c r="AS38" s="85" t="str">
        <f aca="false">IF($B38=AS$12,$U38,"")</f>
        <v/>
      </c>
      <c r="AT38" s="85" t="str">
        <f aca="false">IF($B38=AT$12,$U38,"")</f>
        <v/>
      </c>
      <c r="AU38" s="85" t="str">
        <f aca="false">IF($B38=AU$12,$U38,"")</f>
        <v/>
      </c>
      <c r="AV38" s="85" t="str">
        <f aca="false">IF($B38=AV$12,$U38,"")</f>
        <v/>
      </c>
      <c r="AW38" s="85" t="str">
        <f aca="false">IF($B38=AW$12,$U38,"")</f>
        <v/>
      </c>
      <c r="AX38" s="85" t="str">
        <f aca="false">IF($B38=AX$12,$U38,"")</f>
        <v/>
      </c>
      <c r="AY38" s="85" t="str">
        <f aca="false">IF($B38=AY$12,$U38,"")</f>
        <v/>
      </c>
      <c r="AZ38" s="85" t="str">
        <f aca="false">IF($B38=AZ$12,$U38,"")</f>
        <v/>
      </c>
      <c r="BA38" s="85" t="str">
        <f aca="false">IF($B38=BA$12,$U38,"")</f>
        <v/>
      </c>
      <c r="BB38" s="85" t="str">
        <f aca="false">IF($B38=BB$12,$U38,"")</f>
        <v/>
      </c>
      <c r="BC38" s="85" t="str">
        <f aca="false">IF($B38=BC$12,$U38,"")</f>
        <v/>
      </c>
      <c r="BD38" s="85" t="str">
        <f aca="false">IF($B38=BD$12,$U38,"")</f>
        <v/>
      </c>
      <c r="BE38" s="85" t="str">
        <f aca="false">IF($B38=BE$12,$U38,"")</f>
        <v/>
      </c>
      <c r="BF38" s="85" t="str">
        <f aca="false">IF($B38=BF$12,$U38,"")</f>
        <v/>
      </c>
      <c r="BG38" s="85" t="str">
        <f aca="false">IF($B38=BG$12,$U38,"")</f>
        <v/>
      </c>
      <c r="BH38" s="85" t="str">
        <f aca="false">IF($B38=BH$12,$U38,"")</f>
        <v/>
      </c>
      <c r="BI38" s="85" t="str">
        <f aca="false">IF($B38=BI$12,$U38,"")</f>
        <v/>
      </c>
      <c r="BJ38" s="85" t="str">
        <f aca="false">IF($B38=BJ$12,$U38,"")</f>
        <v/>
      </c>
      <c r="BK38" s="85" t="str">
        <f aca="false">IF($B38=BK$12,$U38,"")</f>
        <v/>
      </c>
      <c r="BL38" s="85" t="str">
        <f aca="false">IF($B38=BL$12,$U38,"")</f>
        <v/>
      </c>
      <c r="BM38" s="85" t="str">
        <f aca="false">IF($B38=BM$12,$U38,"")</f>
        <v/>
      </c>
      <c r="BN38" s="85" t="str">
        <f aca="false">IF($B38=BN$12,$U38,"")</f>
        <v/>
      </c>
      <c r="BO38" s="85" t="str">
        <f aca="false">IF($B38=BO$12,$U38,"")</f>
        <v/>
      </c>
      <c r="BP38" s="85" t="str">
        <f aca="false">IF($B38=BP$12,$U38,"")</f>
        <v/>
      </c>
      <c r="BQ38" s="85" t="str">
        <f aca="false">IF($B38=BQ$12,$U38,"")</f>
        <v/>
      </c>
      <c r="BR38" s="85" t="str">
        <f aca="false">IF($B38=BR$12,$U38,"")</f>
        <v/>
      </c>
      <c r="BS38" s="85" t="str">
        <f aca="false">IF($B38=BS$12,$U38,"")</f>
        <v/>
      </c>
      <c r="BT38" s="85" t="str">
        <f aca="false">IF($B38=BT$12,$U38,"")</f>
        <v/>
      </c>
      <c r="BU38" s="85" t="str">
        <f aca="false">IF($B38=BU$12,$U38,"")</f>
        <v/>
      </c>
      <c r="BV38" s="85" t="str">
        <f aca="false">IF($B38=BV$12,$U38,"")</f>
        <v/>
      </c>
      <c r="BW38" s="85" t="str">
        <f aca="false">IF($B38=BW$12,$U38,"")</f>
        <v/>
      </c>
      <c r="BX38" s="85" t="str">
        <f aca="false">IF($B38=BX$12,$U38,"")</f>
        <v/>
      </c>
      <c r="BY38" s="85" t="str">
        <f aca="false">IF($B38=BY$12,$U38,"")</f>
        <v/>
      </c>
      <c r="BZ38" s="85" t="str">
        <f aca="false">IF($B38=BZ$12,$U38,"")</f>
        <v/>
      </c>
      <c r="CA38" s="85" t="str">
        <f aca="false">IF($B38=CA$12,$U38,"")</f>
        <v/>
      </c>
      <c r="CB38" s="85" t="str">
        <f aca="false">IF($B38=CB$12,$U38,"")</f>
        <v/>
      </c>
      <c r="CC38" s="85" t="str">
        <f aca="false">IF($B38=CC$12,$U38,"")</f>
        <v/>
      </c>
      <c r="CD38" s="85" t="str">
        <f aca="false">IF($B38=CD$12,$U38,"")</f>
        <v/>
      </c>
      <c r="CE38" s="85" t="str">
        <f aca="false">IF($B38=CE$12,$U38,"")</f>
        <v/>
      </c>
      <c r="CF38" s="85" t="str">
        <f aca="false">IF($B38=CF$12,$U38,"")</f>
        <v/>
      </c>
      <c r="CG38" s="85" t="str">
        <f aca="false">IF($B38=CG$12,$U38,"")</f>
        <v/>
      </c>
      <c r="CH38" s="85" t="str">
        <f aca="false">IF($B38=CH$12,$U38,"")</f>
        <v/>
      </c>
      <c r="CI38" s="85" t="str">
        <f aca="false">IF($B38=CI$12,$U38,"")</f>
        <v/>
      </c>
      <c r="CJ38" s="85" t="str">
        <f aca="false">IF($B38=CJ$12,$U38,"")</f>
        <v/>
      </c>
      <c r="CK38" s="85" t="str">
        <f aca="false">IF($B38=CK$12,$U38,"")</f>
        <v/>
      </c>
      <c r="CL38" s="85" t="str">
        <f aca="false">IF($B38=CL$12,$U38,"")</f>
        <v/>
      </c>
      <c r="CM38" s="85" t="str">
        <f aca="false">IF($B38=CM$12,$U38,"")</f>
        <v/>
      </c>
      <c r="CN38" s="85" t="str">
        <f aca="false">IF($B38=CN$12,$U38,"")</f>
        <v/>
      </c>
      <c r="CO38" s="85" t="str">
        <f aca="false">IF($B38=CO$12,$U38,"")</f>
        <v/>
      </c>
      <c r="CP38" s="85" t="str">
        <f aca="false">IF($B38=CP$12,$U38,"")</f>
        <v/>
      </c>
      <c r="CQ38" s="85" t="str">
        <f aca="false">IF($B38=CQ$12,$U38,"")</f>
        <v/>
      </c>
      <c r="CR38" s="85" t="str">
        <f aca="false">IF($B38=CR$12,$U38,"")</f>
        <v/>
      </c>
      <c r="CS38" s="85" t="str">
        <f aca="false">IF($B38=CS$12,$U38,"")</f>
        <v/>
      </c>
      <c r="CT38" s="85" t="str">
        <f aca="false">IF($B38=CT$12,$U38,"")</f>
        <v/>
      </c>
      <c r="CU38" s="85" t="str">
        <f aca="false">IF($B38=CU$12,$U38,"")</f>
        <v/>
      </c>
      <c r="CV38" s="85" t="str">
        <f aca="false">IF($B38=CV$12,$U38,"")</f>
        <v/>
      </c>
      <c r="CW38" s="85" t="str">
        <f aca="false">IF($B38=CW$12,$U38,"")</f>
        <v/>
      </c>
      <c r="CX38" s="85" t="str">
        <f aca="false">IF($B38=CX$12,$U38,"")</f>
        <v/>
      </c>
      <c r="CY38" s="85" t="str">
        <f aca="false">IF($B38=CY$12,$U38,"")</f>
        <v/>
      </c>
      <c r="CZ38" s="85" t="str">
        <f aca="false">IF($B38=CZ$12,$U38,"")</f>
        <v/>
      </c>
      <c r="DA38" s="85" t="str">
        <f aca="false">IF($B38=DA$12,$U38,"")</f>
        <v/>
      </c>
      <c r="DB38" s="85" t="str">
        <f aca="false">IF($B38=DB$12,$U38,"")</f>
        <v/>
      </c>
      <c r="DC38" s="85" t="str">
        <f aca="false">IF($B38=DC$12,$U38,"")</f>
        <v/>
      </c>
      <c r="DD38" s="85" t="str">
        <f aca="false">IF($B38=DD$12,$U38,"")</f>
        <v/>
      </c>
      <c r="DE38" s="85" t="str">
        <f aca="false">IF($B38=DE$12,$U38,"")</f>
        <v/>
      </c>
      <c r="DF38" s="85" t="str">
        <f aca="false">IF($B38=DF$12,$U38,"")</f>
        <v/>
      </c>
      <c r="DG38" s="85" t="str">
        <f aca="false">IF($B38=DG$12,$U38,"")</f>
        <v/>
      </c>
      <c r="DH38" s="85" t="str">
        <f aca="false">IF($B38=DH$12,$U38,"")</f>
        <v/>
      </c>
      <c r="DI38" s="85" t="str">
        <f aca="false">IF($B38=DI$12,$U38,"")</f>
        <v/>
      </c>
      <c r="DJ38" s="85" t="str">
        <f aca="false">IF($B38=DJ$12,$U38,"")</f>
        <v/>
      </c>
      <c r="DK38" s="85" t="str">
        <f aca="false">IF($B38=DK$12,$U38,"")</f>
        <v/>
      </c>
      <c r="DL38" s="85" t="str">
        <f aca="false">IF($B38=DL$12,$U38,"")</f>
        <v/>
      </c>
      <c r="DM38" s="85" t="str">
        <f aca="false">IF($B38=DM$12,$U38,"")</f>
        <v/>
      </c>
      <c r="DN38" s="85" t="str">
        <f aca="false">IF($B38=DN$12,$U38,"")</f>
        <v/>
      </c>
      <c r="DO38" s="85" t="str">
        <f aca="false">IF($B38=DO$12,$U38,"")</f>
        <v/>
      </c>
      <c r="DP38" s="85" t="str">
        <f aca="false">IF($B38=DP$12,$U38,"")</f>
        <v/>
      </c>
      <c r="DQ38" s="85" t="str">
        <f aca="false">IF($B38=DQ$12,$U38,"")</f>
        <v/>
      </c>
      <c r="DR38" s="85" t="str">
        <f aca="false">IF($B38=DR$12,$U38,"")</f>
        <v/>
      </c>
      <c r="DS38" s="85" t="str">
        <f aca="false">IF($B38=DS$12,$U38,"")</f>
        <v/>
      </c>
      <c r="DT38" s="86" t="str">
        <f aca="false">IF($B38=DT$12,$U38,"")</f>
        <v/>
      </c>
      <c r="DU38" s="55"/>
      <c r="DV38" s="83"/>
      <c r="DW38" s="87" t="str">
        <f aca="false">IF($B38=DW$12,$O38,"")</f>
        <v/>
      </c>
      <c r="DX38" s="88" t="str">
        <f aca="false">IF($B38=DX$12,$O38,"")</f>
        <v/>
      </c>
      <c r="DY38" s="88" t="str">
        <f aca="false">IF($B38=DY$12,$O38,"")</f>
        <v/>
      </c>
      <c r="DZ38" s="88" t="str">
        <f aca="false">IF($B38=DZ$12,$O38,"")</f>
        <v/>
      </c>
      <c r="EA38" s="88" t="str">
        <f aca="false">IF($B38=EA$12,$O38,"")</f>
        <v/>
      </c>
      <c r="EB38" s="88" t="str">
        <f aca="false">IF($B38=EB$12,$O38,"")</f>
        <v/>
      </c>
      <c r="EC38" s="88" t="str">
        <f aca="false">IF($B38=EC$12,$O38,"")</f>
        <v/>
      </c>
      <c r="ED38" s="88" t="str">
        <f aca="false">IF($B38=ED$12,$O38,"")</f>
        <v/>
      </c>
      <c r="EE38" s="88" t="str">
        <f aca="false">IF($B38=EE$12,$O38,"")</f>
        <v/>
      </c>
      <c r="EF38" s="88" t="str">
        <f aca="false">IF($B38=EF$12,$O38,"")</f>
        <v/>
      </c>
      <c r="EG38" s="88" t="str">
        <f aca="false">IF($B38=EG$12,$O38,"")</f>
        <v/>
      </c>
      <c r="EH38" s="88" t="str">
        <f aca="false">IF($B38=EH$12,$O38,"")</f>
        <v/>
      </c>
      <c r="EI38" s="88" t="str">
        <f aca="false">IF($B38=EI$12,$O38,"")</f>
        <v/>
      </c>
      <c r="EJ38" s="88" t="str">
        <f aca="false">IF($B38=EJ$12,$O38,"")</f>
        <v/>
      </c>
      <c r="EK38" s="88" t="str">
        <f aca="false">IF($B38=EK$12,$O38,"")</f>
        <v/>
      </c>
      <c r="EL38" s="88" t="str">
        <f aca="false">IF($B38=EL$12,$O38,"")</f>
        <v/>
      </c>
      <c r="EM38" s="88" t="str">
        <f aca="false">IF($B38=EM$12,$O38,"")</f>
        <v/>
      </c>
      <c r="EN38" s="88" t="str">
        <f aca="false">IF($B38=EN$12,$O38,"")</f>
        <v/>
      </c>
      <c r="EO38" s="88" t="str">
        <f aca="false">IF($B38=EO$12,$O38,"")</f>
        <v/>
      </c>
      <c r="EP38" s="88" t="str">
        <f aca="false">IF($B38=EP$12,$O38,"")</f>
        <v/>
      </c>
      <c r="EQ38" s="88" t="str">
        <f aca="false">IF($B38=EQ$12,$O38,"")</f>
        <v/>
      </c>
      <c r="ER38" s="88" t="str">
        <f aca="false">IF($B38=ER$12,$O38,"")</f>
        <v/>
      </c>
      <c r="ES38" s="88" t="str">
        <f aca="false">IF($B38=ES$12,$O38,"")</f>
        <v/>
      </c>
      <c r="ET38" s="88" t="str">
        <f aca="false">IF($B38=ET$12,$O38,"")</f>
        <v/>
      </c>
      <c r="EU38" s="88" t="str">
        <f aca="false">IF($B38=EU$12,$O38,"")</f>
        <v/>
      </c>
      <c r="EV38" s="88" t="str">
        <f aca="false">IF($B38=EV$12,$O38,"")</f>
        <v/>
      </c>
      <c r="EW38" s="88" t="str">
        <f aca="false">IF($B38=EW$12,$O38,"")</f>
        <v/>
      </c>
      <c r="EX38" s="88" t="str">
        <f aca="false">IF($B38=EX$12,$O38,"")</f>
        <v/>
      </c>
      <c r="EY38" s="88" t="str">
        <f aca="false">IF($B38=EY$12,$O38,"")</f>
        <v/>
      </c>
      <c r="EZ38" s="88" t="str">
        <f aca="false">IF($B38=EZ$12,$O38,"")</f>
        <v/>
      </c>
      <c r="FA38" s="88" t="str">
        <f aca="false">IF($B38=FA$12,$O38,"")</f>
        <v/>
      </c>
      <c r="FB38" s="88" t="str">
        <f aca="false">IF($B38=FB$12,$O38,"")</f>
        <v/>
      </c>
      <c r="FC38" s="88" t="str">
        <f aca="false">IF($B38=FC$12,$O38,"")</f>
        <v/>
      </c>
      <c r="FD38" s="88" t="str">
        <f aca="false">IF($B38=FD$12,$O38,"")</f>
        <v/>
      </c>
      <c r="FE38" s="88" t="str">
        <f aca="false">IF($B38=FE$12,$O38,"")</f>
        <v/>
      </c>
      <c r="FF38" s="88" t="str">
        <f aca="false">IF($B38=FF$12,$O38,"")</f>
        <v/>
      </c>
      <c r="FG38" s="88" t="str">
        <f aca="false">IF($B38=FG$12,$O38,"")</f>
        <v/>
      </c>
      <c r="FH38" s="88" t="str">
        <f aca="false">IF($B38=FH$12,$O38,"")</f>
        <v/>
      </c>
      <c r="FI38" s="88" t="str">
        <f aca="false">IF($B38=FI$12,$O38,"")</f>
        <v/>
      </c>
      <c r="FJ38" s="88" t="str">
        <f aca="false">IF($B38=FJ$12,$O38,"")</f>
        <v/>
      </c>
      <c r="FK38" s="88" t="str">
        <f aca="false">IF($B38=FK$12,$O38,"")</f>
        <v/>
      </c>
      <c r="FL38" s="88" t="str">
        <f aca="false">IF($B38=FL$12,$O38,"")</f>
        <v/>
      </c>
      <c r="FM38" s="88" t="str">
        <f aca="false">IF($B38=FM$12,$O38,"")</f>
        <v/>
      </c>
      <c r="FN38" s="88" t="str">
        <f aca="false">IF($B38=FN$12,$O38,"")</f>
        <v/>
      </c>
      <c r="FO38" s="88" t="str">
        <f aca="false">IF($B38=FO$12,$O38,"")</f>
        <v/>
      </c>
      <c r="FP38" s="88" t="str">
        <f aca="false">IF($B38=FP$12,$O38,"")</f>
        <v/>
      </c>
      <c r="FQ38" s="88" t="str">
        <f aca="false">IF($B38=FQ$12,$O38,"")</f>
        <v/>
      </c>
      <c r="FR38" s="88" t="str">
        <f aca="false">IF($B38=FR$12,$O38,"")</f>
        <v/>
      </c>
      <c r="FS38" s="88" t="str">
        <f aca="false">IF($B38=FS$12,$O38,"")</f>
        <v/>
      </c>
      <c r="FT38" s="88" t="str">
        <f aca="false">IF($B38=FT$12,$O38,"")</f>
        <v/>
      </c>
      <c r="FU38" s="88" t="str">
        <f aca="false">IF($B38=FU$12,$O38,"")</f>
        <v/>
      </c>
      <c r="FV38" s="88" t="str">
        <f aca="false">IF($B38=FV$12,$O38,"")</f>
        <v/>
      </c>
      <c r="FW38" s="88" t="str">
        <f aca="false">IF($B38=FW$12,$O38,"")</f>
        <v/>
      </c>
      <c r="FX38" s="88" t="str">
        <f aca="false">IF($B38=FX$12,$O38,"")</f>
        <v/>
      </c>
      <c r="FY38" s="88" t="str">
        <f aca="false">IF($B38=FY$12,$O38,"")</f>
        <v/>
      </c>
      <c r="FZ38" s="88" t="str">
        <f aca="false">IF($B38=FZ$12,$O38,"")</f>
        <v/>
      </c>
      <c r="GA38" s="88" t="str">
        <f aca="false">IF($B38=GA$12,$O38,"")</f>
        <v/>
      </c>
      <c r="GB38" s="88" t="str">
        <f aca="false">IF($B38=GB$12,$O38,"")</f>
        <v/>
      </c>
      <c r="GC38" s="88" t="str">
        <f aca="false">IF($B38=GC$12,$O38,"")</f>
        <v/>
      </c>
      <c r="GD38" s="88" t="str">
        <f aca="false">IF($B38=GD$12,$O38,"")</f>
        <v/>
      </c>
      <c r="GE38" s="88" t="str">
        <f aca="false">IF($B38=GE$12,$O38,"")</f>
        <v/>
      </c>
      <c r="GF38" s="88" t="str">
        <f aca="false">IF($B38=GF$12,$O38,"")</f>
        <v/>
      </c>
      <c r="GG38" s="88" t="str">
        <f aca="false">IF($B38=GG$12,$O38,"")</f>
        <v/>
      </c>
      <c r="GH38" s="88" t="str">
        <f aca="false">IF($B38=GH$12,$O38,"")</f>
        <v/>
      </c>
      <c r="GI38" s="88" t="str">
        <f aca="false">IF($B38=GI$12,$O38,"")</f>
        <v/>
      </c>
      <c r="GJ38" s="88" t="str">
        <f aca="false">IF($B38=GJ$12,$O38,"")</f>
        <v/>
      </c>
      <c r="GK38" s="88" t="str">
        <f aca="false">IF($B38=GK$12,$O38,"")</f>
        <v/>
      </c>
      <c r="GL38" s="88" t="str">
        <f aca="false">IF($B38=GL$12,$O38,"")</f>
        <v/>
      </c>
      <c r="GM38" s="88" t="str">
        <f aca="false">IF($B38=GM$12,$O38,"")</f>
        <v/>
      </c>
      <c r="GN38" s="88" t="str">
        <f aca="false">IF($B38=GN$12,$O38,"")</f>
        <v/>
      </c>
      <c r="GO38" s="88" t="str">
        <f aca="false">IF($B38=GO$12,$O38,"")</f>
        <v/>
      </c>
      <c r="GP38" s="88" t="str">
        <f aca="false">IF($B38=GP$12,$O38,"")</f>
        <v/>
      </c>
      <c r="GQ38" s="88" t="str">
        <f aca="false">IF($B38=GQ$12,$O38,"")</f>
        <v/>
      </c>
      <c r="GR38" s="88" t="str">
        <f aca="false">IF($B38=GR$12,$O38,"")</f>
        <v/>
      </c>
      <c r="GS38" s="88" t="str">
        <f aca="false">IF($B38=GS$12,$O38,"")</f>
        <v/>
      </c>
      <c r="GT38" s="88" t="str">
        <f aca="false">IF($B38=GT$12,$O38,"")</f>
        <v/>
      </c>
      <c r="GU38" s="88" t="str">
        <f aca="false">IF($B38=GU$12,$O38,"")</f>
        <v/>
      </c>
      <c r="GV38" s="88" t="str">
        <f aca="false">IF($B38=GV$12,$O38,"")</f>
        <v/>
      </c>
      <c r="GW38" s="88" t="str">
        <f aca="false">IF($B38=GW$12,$O38,"")</f>
        <v/>
      </c>
      <c r="GX38" s="88" t="str">
        <f aca="false">IF($B38=GX$12,$O38,"")</f>
        <v/>
      </c>
      <c r="GY38" s="88" t="str">
        <f aca="false">IF($B38=GY$12,$O38,"")</f>
        <v/>
      </c>
      <c r="GZ38" s="88" t="str">
        <f aca="false">IF($B38=GZ$12,$O38,"")</f>
        <v/>
      </c>
      <c r="HA38" s="88" t="str">
        <f aca="false">IF($B38=HA$12,$O38,"")</f>
        <v/>
      </c>
      <c r="HB38" s="88" t="str">
        <f aca="false">IF($B38=HB$12,$O38,"")</f>
        <v/>
      </c>
      <c r="HC38" s="88" t="str">
        <f aca="false">IF($B38=HC$12,$O38,"")</f>
        <v/>
      </c>
      <c r="HD38" s="88" t="str">
        <f aca="false">IF($B38=HD$12,$O38,"")</f>
        <v/>
      </c>
      <c r="HE38" s="88" t="str">
        <f aca="false">IF($B38=HE$12,$O38,"")</f>
        <v/>
      </c>
      <c r="HF38" s="88" t="str">
        <f aca="false">IF($B38=HF$12,$O38,"")</f>
        <v/>
      </c>
      <c r="HG38" s="88" t="str">
        <f aca="false">IF($B38=HG$12,$O38,"")</f>
        <v/>
      </c>
      <c r="HH38" s="88" t="str">
        <f aca="false">IF($B38=HH$12,$O38,"")</f>
        <v/>
      </c>
      <c r="HI38" s="88" t="str">
        <f aca="false">IF($B38=HI$12,$O38,"")</f>
        <v/>
      </c>
      <c r="HJ38" s="88" t="str">
        <f aca="false">IF($B38=HJ$12,$O38,"")</f>
        <v/>
      </c>
      <c r="HK38" s="88" t="str">
        <f aca="false">IF($B38=HK$12,$O38,"")</f>
        <v/>
      </c>
      <c r="HL38" s="88" t="str">
        <f aca="false">IF($B38=HL$12,$O38,"")</f>
        <v/>
      </c>
      <c r="HM38" s="88" t="str">
        <f aca="false">IF($B38=HM$12,$O38,"")</f>
        <v/>
      </c>
      <c r="HN38" s="88" t="str">
        <f aca="false">IF($B38=HN$12,$O38,"")</f>
        <v/>
      </c>
      <c r="HO38" s="88" t="str">
        <f aca="false">IF($B38=HO$12,$O38,"")</f>
        <v/>
      </c>
      <c r="HP38" s="88" t="str">
        <f aca="false">IF($B38=HP$12,$O38,"")</f>
        <v/>
      </c>
      <c r="HQ38" s="88" t="str">
        <f aca="false">IF($B38=HQ$12,$O38,"")</f>
        <v/>
      </c>
      <c r="HR38" s="89" t="str">
        <f aca="false">IF($B38=HR$12,$O38,"")</f>
        <v/>
      </c>
    </row>
    <row r="39" customFormat="false" ht="10.5" hidden="false" customHeight="true" outlineLevel="0" collapsed="false">
      <c r="A39" s="73"/>
      <c r="B39" s="74"/>
      <c r="C39" s="75" t="str">
        <f aca="false">IF(A39=0,"",VLOOKUP(A39,[3]CO!$A$3:$F$5311,2,0))</f>
        <v/>
      </c>
      <c r="D39" s="76"/>
      <c r="E39" s="76"/>
      <c r="F39" s="76"/>
      <c r="G39" s="77" t="str">
        <f aca="false">IF(A39=0,"",VLOOKUP(A39,[3]CO!$A$3:$F$5311,3,0))</f>
        <v/>
      </c>
      <c r="H39" s="76"/>
      <c r="I39" s="78"/>
      <c r="J39" s="78"/>
      <c r="K39" s="78"/>
      <c r="L39" s="78"/>
      <c r="M39" s="79" t="str">
        <f aca="false">IF(L39=0,"",PRODUCT(I39:L39))</f>
        <v/>
      </c>
      <c r="N39" s="79" t="str">
        <f aca="false">IF(B39=0,"",IF(H39="M",HLOOKUP(B39,$Y$12:$DT$13,2),IF(A39=0,"",VLOOKUP(A39,[3]CO!$A$3:$F$5311,4,0))))</f>
        <v/>
      </c>
      <c r="O39" s="79" t="str">
        <f aca="false">IF(L39=0,"",PRODUCT(M39:N39))</f>
        <v/>
      </c>
      <c r="P39" s="80"/>
      <c r="Q39" s="81" t="str">
        <f aca="false">IF(P39=0,"",(HLOOKUP(P39,$DW$12:$HR$13,2)))</f>
        <v/>
      </c>
      <c r="R39" s="82" t="str">
        <f aca="false"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RESIDENTE"),VLOOKUP(B39,P$14:Q$131,2),"")*S39)</f>
        <v/>
      </c>
      <c r="S39" s="5"/>
      <c r="T39" s="65" t="str">
        <f aca="false">IF(A39=0,"",VLOOKUP(A39,[3]CO!$A$3:$F$5302,5,0))</f>
        <v/>
      </c>
      <c r="U39" s="55" t="n">
        <f aca="false">IF(T39=1,O39*0.1,)</f>
        <v>0</v>
      </c>
      <c r="V39" s="66"/>
      <c r="W39" s="83"/>
      <c r="X39" s="83"/>
      <c r="Y39" s="84" t="str">
        <f aca="false">IF($B39=Y$12,$U39,"")</f>
        <v/>
      </c>
      <c r="Z39" s="85" t="str">
        <f aca="false">IF($B39=Z$12,$U39,"")</f>
        <v/>
      </c>
      <c r="AA39" s="85" t="str">
        <f aca="false">IF($B39=AA$12,$U39,"")</f>
        <v/>
      </c>
      <c r="AB39" s="85" t="str">
        <f aca="false">IF($B39=AB$12,$U39,"")</f>
        <v/>
      </c>
      <c r="AC39" s="85" t="str">
        <f aca="false">IF($B39=AC$12,$U39,"")</f>
        <v/>
      </c>
      <c r="AD39" s="85" t="str">
        <f aca="false">IF($B39=AD$12,$U39,"")</f>
        <v/>
      </c>
      <c r="AE39" s="85" t="str">
        <f aca="false">IF($B39=AE$12,$U39,"")</f>
        <v/>
      </c>
      <c r="AF39" s="85" t="str">
        <f aca="false">IF($B39=AF$12,$U39,"")</f>
        <v/>
      </c>
      <c r="AG39" s="85" t="str">
        <f aca="false">IF($B39=AG$12,$U39,"")</f>
        <v/>
      </c>
      <c r="AH39" s="85" t="str">
        <f aca="false">IF($B39=AH$12,$U39,"")</f>
        <v/>
      </c>
      <c r="AI39" s="85" t="str">
        <f aca="false">IF($B39=AI$12,$U39,"")</f>
        <v/>
      </c>
      <c r="AJ39" s="85" t="str">
        <f aca="false">IF($B39=AJ$12,$U39,"")</f>
        <v/>
      </c>
      <c r="AK39" s="85" t="str">
        <f aca="false">IF($B39=AK$12,$U39,"")</f>
        <v/>
      </c>
      <c r="AL39" s="85" t="str">
        <f aca="false">IF($B39=AL$12,$U39,"")</f>
        <v/>
      </c>
      <c r="AM39" s="85" t="str">
        <f aca="false">IF($B39=AM$12,$U39,"")</f>
        <v/>
      </c>
      <c r="AN39" s="85" t="str">
        <f aca="false">IF($B39=AN$12,$U39,"")</f>
        <v/>
      </c>
      <c r="AO39" s="85" t="str">
        <f aca="false">IF($B39=AO$12,$U39,"")</f>
        <v/>
      </c>
      <c r="AP39" s="85" t="str">
        <f aca="false">IF($B39=AP$12,$U39,"")</f>
        <v/>
      </c>
      <c r="AQ39" s="85" t="str">
        <f aca="false">IF($B39=AQ$12,$U39,"")</f>
        <v/>
      </c>
      <c r="AR39" s="85" t="str">
        <f aca="false">IF($B39=AR$12,$U39,"")</f>
        <v/>
      </c>
      <c r="AS39" s="85" t="str">
        <f aca="false">IF($B39=AS$12,$U39,"")</f>
        <v/>
      </c>
      <c r="AT39" s="85" t="str">
        <f aca="false">IF($B39=AT$12,$U39,"")</f>
        <v/>
      </c>
      <c r="AU39" s="85" t="str">
        <f aca="false">IF($B39=AU$12,$U39,"")</f>
        <v/>
      </c>
      <c r="AV39" s="85" t="str">
        <f aca="false">IF($B39=AV$12,$U39,"")</f>
        <v/>
      </c>
      <c r="AW39" s="85" t="str">
        <f aca="false">IF($B39=AW$12,$U39,"")</f>
        <v/>
      </c>
      <c r="AX39" s="85" t="str">
        <f aca="false">IF($B39=AX$12,$U39,"")</f>
        <v/>
      </c>
      <c r="AY39" s="85" t="str">
        <f aca="false">IF($B39=AY$12,$U39,"")</f>
        <v/>
      </c>
      <c r="AZ39" s="85" t="str">
        <f aca="false">IF($B39=AZ$12,$U39,"")</f>
        <v/>
      </c>
      <c r="BA39" s="85" t="str">
        <f aca="false">IF($B39=BA$12,$U39,"")</f>
        <v/>
      </c>
      <c r="BB39" s="85" t="str">
        <f aca="false">IF($B39=BB$12,$U39,"")</f>
        <v/>
      </c>
      <c r="BC39" s="85" t="str">
        <f aca="false">IF($B39=BC$12,$U39,"")</f>
        <v/>
      </c>
      <c r="BD39" s="85" t="str">
        <f aca="false">IF($B39=BD$12,$U39,"")</f>
        <v/>
      </c>
      <c r="BE39" s="85" t="str">
        <f aca="false">IF($B39=BE$12,$U39,"")</f>
        <v/>
      </c>
      <c r="BF39" s="85" t="str">
        <f aca="false">IF($B39=BF$12,$U39,"")</f>
        <v/>
      </c>
      <c r="BG39" s="85" t="str">
        <f aca="false">IF($B39=BG$12,$U39,"")</f>
        <v/>
      </c>
      <c r="BH39" s="85" t="str">
        <f aca="false">IF($B39=BH$12,$U39,"")</f>
        <v/>
      </c>
      <c r="BI39" s="85" t="str">
        <f aca="false">IF($B39=BI$12,$U39,"")</f>
        <v/>
      </c>
      <c r="BJ39" s="85" t="str">
        <f aca="false">IF($B39=BJ$12,$U39,"")</f>
        <v/>
      </c>
      <c r="BK39" s="85" t="str">
        <f aca="false">IF($B39=BK$12,$U39,"")</f>
        <v/>
      </c>
      <c r="BL39" s="85" t="str">
        <f aca="false">IF($B39=BL$12,$U39,"")</f>
        <v/>
      </c>
      <c r="BM39" s="85" t="str">
        <f aca="false">IF($B39=BM$12,$U39,"")</f>
        <v/>
      </c>
      <c r="BN39" s="85" t="str">
        <f aca="false">IF($B39=BN$12,$U39,"")</f>
        <v/>
      </c>
      <c r="BO39" s="85" t="str">
        <f aca="false">IF($B39=BO$12,$U39,"")</f>
        <v/>
      </c>
      <c r="BP39" s="85" t="str">
        <f aca="false">IF($B39=BP$12,$U39,"")</f>
        <v/>
      </c>
      <c r="BQ39" s="85" t="str">
        <f aca="false">IF($B39=BQ$12,$U39,"")</f>
        <v/>
      </c>
      <c r="BR39" s="85" t="str">
        <f aca="false">IF($B39=BR$12,$U39,"")</f>
        <v/>
      </c>
      <c r="BS39" s="85" t="str">
        <f aca="false">IF($B39=BS$12,$U39,"")</f>
        <v/>
      </c>
      <c r="BT39" s="85" t="str">
        <f aca="false">IF($B39=BT$12,$U39,"")</f>
        <v/>
      </c>
      <c r="BU39" s="85" t="str">
        <f aca="false">IF($B39=BU$12,$U39,"")</f>
        <v/>
      </c>
      <c r="BV39" s="85" t="str">
        <f aca="false">IF($B39=BV$12,$U39,"")</f>
        <v/>
      </c>
      <c r="BW39" s="85" t="str">
        <f aca="false">IF($B39=BW$12,$U39,"")</f>
        <v/>
      </c>
      <c r="BX39" s="85" t="str">
        <f aca="false">IF($B39=BX$12,$U39,"")</f>
        <v/>
      </c>
      <c r="BY39" s="85" t="str">
        <f aca="false">IF($B39=BY$12,$U39,"")</f>
        <v/>
      </c>
      <c r="BZ39" s="85" t="str">
        <f aca="false">IF($B39=BZ$12,$U39,"")</f>
        <v/>
      </c>
      <c r="CA39" s="85" t="str">
        <f aca="false">IF($B39=CA$12,$U39,"")</f>
        <v/>
      </c>
      <c r="CB39" s="85" t="str">
        <f aca="false">IF($B39=CB$12,$U39,"")</f>
        <v/>
      </c>
      <c r="CC39" s="85" t="str">
        <f aca="false">IF($B39=CC$12,$U39,"")</f>
        <v/>
      </c>
      <c r="CD39" s="85" t="str">
        <f aca="false">IF($B39=CD$12,$U39,"")</f>
        <v/>
      </c>
      <c r="CE39" s="85" t="str">
        <f aca="false">IF($B39=CE$12,$U39,"")</f>
        <v/>
      </c>
      <c r="CF39" s="85" t="str">
        <f aca="false">IF($B39=CF$12,$U39,"")</f>
        <v/>
      </c>
      <c r="CG39" s="85" t="str">
        <f aca="false">IF($B39=CG$12,$U39,"")</f>
        <v/>
      </c>
      <c r="CH39" s="85" t="str">
        <f aca="false">IF($B39=CH$12,$U39,"")</f>
        <v/>
      </c>
      <c r="CI39" s="85" t="str">
        <f aca="false">IF($B39=CI$12,$U39,"")</f>
        <v/>
      </c>
      <c r="CJ39" s="85" t="str">
        <f aca="false">IF($B39=CJ$12,$U39,"")</f>
        <v/>
      </c>
      <c r="CK39" s="85" t="str">
        <f aca="false">IF($B39=CK$12,$U39,"")</f>
        <v/>
      </c>
      <c r="CL39" s="85" t="str">
        <f aca="false">IF($B39=CL$12,$U39,"")</f>
        <v/>
      </c>
      <c r="CM39" s="85" t="str">
        <f aca="false">IF($B39=CM$12,$U39,"")</f>
        <v/>
      </c>
      <c r="CN39" s="85" t="str">
        <f aca="false">IF($B39=CN$12,$U39,"")</f>
        <v/>
      </c>
      <c r="CO39" s="85" t="str">
        <f aca="false">IF($B39=CO$12,$U39,"")</f>
        <v/>
      </c>
      <c r="CP39" s="85" t="str">
        <f aca="false">IF($B39=CP$12,$U39,"")</f>
        <v/>
      </c>
      <c r="CQ39" s="85" t="str">
        <f aca="false">IF($B39=CQ$12,$U39,"")</f>
        <v/>
      </c>
      <c r="CR39" s="85" t="str">
        <f aca="false">IF($B39=CR$12,$U39,"")</f>
        <v/>
      </c>
      <c r="CS39" s="85" t="str">
        <f aca="false">IF($B39=CS$12,$U39,"")</f>
        <v/>
      </c>
      <c r="CT39" s="85" t="str">
        <f aca="false">IF($B39=CT$12,$U39,"")</f>
        <v/>
      </c>
      <c r="CU39" s="85" t="str">
        <f aca="false">IF($B39=CU$12,$U39,"")</f>
        <v/>
      </c>
      <c r="CV39" s="85" t="str">
        <f aca="false">IF($B39=CV$12,$U39,"")</f>
        <v/>
      </c>
      <c r="CW39" s="85" t="str">
        <f aca="false">IF($B39=CW$12,$U39,"")</f>
        <v/>
      </c>
      <c r="CX39" s="85" t="str">
        <f aca="false">IF($B39=CX$12,$U39,"")</f>
        <v/>
      </c>
      <c r="CY39" s="85" t="str">
        <f aca="false">IF($B39=CY$12,$U39,"")</f>
        <v/>
      </c>
      <c r="CZ39" s="85" t="str">
        <f aca="false">IF($B39=CZ$12,$U39,"")</f>
        <v/>
      </c>
      <c r="DA39" s="85" t="str">
        <f aca="false">IF($B39=DA$12,$U39,"")</f>
        <v/>
      </c>
      <c r="DB39" s="85" t="str">
        <f aca="false">IF($B39=DB$12,$U39,"")</f>
        <v/>
      </c>
      <c r="DC39" s="85" t="str">
        <f aca="false">IF($B39=DC$12,$U39,"")</f>
        <v/>
      </c>
      <c r="DD39" s="85" t="str">
        <f aca="false">IF($B39=DD$12,$U39,"")</f>
        <v/>
      </c>
      <c r="DE39" s="85" t="str">
        <f aca="false">IF($B39=DE$12,$U39,"")</f>
        <v/>
      </c>
      <c r="DF39" s="85" t="str">
        <f aca="false">IF($B39=DF$12,$U39,"")</f>
        <v/>
      </c>
      <c r="DG39" s="85" t="str">
        <f aca="false">IF($B39=DG$12,$U39,"")</f>
        <v/>
      </c>
      <c r="DH39" s="85" t="str">
        <f aca="false">IF($B39=DH$12,$U39,"")</f>
        <v/>
      </c>
      <c r="DI39" s="85" t="str">
        <f aca="false">IF($B39=DI$12,$U39,"")</f>
        <v/>
      </c>
      <c r="DJ39" s="85" t="str">
        <f aca="false">IF($B39=DJ$12,$U39,"")</f>
        <v/>
      </c>
      <c r="DK39" s="85" t="str">
        <f aca="false">IF($B39=DK$12,$U39,"")</f>
        <v/>
      </c>
      <c r="DL39" s="85" t="str">
        <f aca="false">IF($B39=DL$12,$U39,"")</f>
        <v/>
      </c>
      <c r="DM39" s="85" t="str">
        <f aca="false">IF($B39=DM$12,$U39,"")</f>
        <v/>
      </c>
      <c r="DN39" s="85" t="str">
        <f aca="false">IF($B39=DN$12,$U39,"")</f>
        <v/>
      </c>
      <c r="DO39" s="85" t="str">
        <f aca="false">IF($B39=DO$12,$U39,"")</f>
        <v/>
      </c>
      <c r="DP39" s="85" t="str">
        <f aca="false">IF($B39=DP$12,$U39,"")</f>
        <v/>
      </c>
      <c r="DQ39" s="85" t="str">
        <f aca="false">IF($B39=DQ$12,$U39,"")</f>
        <v/>
      </c>
      <c r="DR39" s="85" t="str">
        <f aca="false">IF($B39=DR$12,$U39,"")</f>
        <v/>
      </c>
      <c r="DS39" s="85" t="str">
        <f aca="false">IF($B39=DS$12,$U39,"")</f>
        <v/>
      </c>
      <c r="DT39" s="86" t="str">
        <f aca="false">IF($B39=DT$12,$U39,"")</f>
        <v/>
      </c>
      <c r="DU39" s="55"/>
      <c r="DV39" s="83"/>
      <c r="DW39" s="87" t="str">
        <f aca="false">IF($B39=DW$12,$O39,"")</f>
        <v/>
      </c>
      <c r="DX39" s="88" t="str">
        <f aca="false">IF($B39=DX$12,$O39,"")</f>
        <v/>
      </c>
      <c r="DY39" s="88" t="str">
        <f aca="false">IF($B39=DY$12,$O39,"")</f>
        <v/>
      </c>
      <c r="DZ39" s="88" t="str">
        <f aca="false">IF($B39=DZ$12,$O39,"")</f>
        <v/>
      </c>
      <c r="EA39" s="88" t="str">
        <f aca="false">IF($B39=EA$12,$O39,"")</f>
        <v/>
      </c>
      <c r="EB39" s="88" t="str">
        <f aca="false">IF($B39=EB$12,$O39,"")</f>
        <v/>
      </c>
      <c r="EC39" s="88" t="str">
        <f aca="false">IF($B39=EC$12,$O39,"")</f>
        <v/>
      </c>
      <c r="ED39" s="88" t="str">
        <f aca="false">IF($B39=ED$12,$O39,"")</f>
        <v/>
      </c>
      <c r="EE39" s="88" t="str">
        <f aca="false">IF($B39=EE$12,$O39,"")</f>
        <v/>
      </c>
      <c r="EF39" s="88" t="str">
        <f aca="false">IF($B39=EF$12,$O39,"")</f>
        <v/>
      </c>
      <c r="EG39" s="88" t="str">
        <f aca="false">IF($B39=EG$12,$O39,"")</f>
        <v/>
      </c>
      <c r="EH39" s="88" t="str">
        <f aca="false">IF($B39=EH$12,$O39,"")</f>
        <v/>
      </c>
      <c r="EI39" s="88" t="str">
        <f aca="false">IF($B39=EI$12,$O39,"")</f>
        <v/>
      </c>
      <c r="EJ39" s="88" t="str">
        <f aca="false">IF($B39=EJ$12,$O39,"")</f>
        <v/>
      </c>
      <c r="EK39" s="88" t="str">
        <f aca="false">IF($B39=EK$12,$O39,"")</f>
        <v/>
      </c>
      <c r="EL39" s="88" t="str">
        <f aca="false">IF($B39=EL$12,$O39,"")</f>
        <v/>
      </c>
      <c r="EM39" s="88" t="str">
        <f aca="false">IF($B39=EM$12,$O39,"")</f>
        <v/>
      </c>
      <c r="EN39" s="88" t="str">
        <f aca="false">IF($B39=EN$12,$O39,"")</f>
        <v/>
      </c>
      <c r="EO39" s="88" t="str">
        <f aca="false">IF($B39=EO$12,$O39,"")</f>
        <v/>
      </c>
      <c r="EP39" s="88" t="str">
        <f aca="false">IF($B39=EP$12,$O39,"")</f>
        <v/>
      </c>
      <c r="EQ39" s="88" t="str">
        <f aca="false">IF($B39=EQ$12,$O39,"")</f>
        <v/>
      </c>
      <c r="ER39" s="88" t="str">
        <f aca="false">IF($B39=ER$12,$O39,"")</f>
        <v/>
      </c>
      <c r="ES39" s="88" t="str">
        <f aca="false">IF($B39=ES$12,$O39,"")</f>
        <v/>
      </c>
      <c r="ET39" s="88" t="str">
        <f aca="false">IF($B39=ET$12,$O39,"")</f>
        <v/>
      </c>
      <c r="EU39" s="88" t="str">
        <f aca="false">IF($B39=EU$12,$O39,"")</f>
        <v/>
      </c>
      <c r="EV39" s="88" t="str">
        <f aca="false">IF($B39=EV$12,$O39,"")</f>
        <v/>
      </c>
      <c r="EW39" s="88" t="str">
        <f aca="false">IF($B39=EW$12,$O39,"")</f>
        <v/>
      </c>
      <c r="EX39" s="88" t="str">
        <f aca="false">IF($B39=EX$12,$O39,"")</f>
        <v/>
      </c>
      <c r="EY39" s="88" t="str">
        <f aca="false">IF($B39=EY$12,$O39,"")</f>
        <v/>
      </c>
      <c r="EZ39" s="88" t="str">
        <f aca="false">IF($B39=EZ$12,$O39,"")</f>
        <v/>
      </c>
      <c r="FA39" s="88" t="str">
        <f aca="false">IF($B39=FA$12,$O39,"")</f>
        <v/>
      </c>
      <c r="FB39" s="88" t="str">
        <f aca="false">IF($B39=FB$12,$O39,"")</f>
        <v/>
      </c>
      <c r="FC39" s="88" t="str">
        <f aca="false">IF($B39=FC$12,$O39,"")</f>
        <v/>
      </c>
      <c r="FD39" s="88" t="str">
        <f aca="false">IF($B39=FD$12,$O39,"")</f>
        <v/>
      </c>
      <c r="FE39" s="88" t="str">
        <f aca="false">IF($B39=FE$12,$O39,"")</f>
        <v/>
      </c>
      <c r="FF39" s="88" t="str">
        <f aca="false">IF($B39=FF$12,$O39,"")</f>
        <v/>
      </c>
      <c r="FG39" s="88" t="str">
        <f aca="false">IF($B39=FG$12,$O39,"")</f>
        <v/>
      </c>
      <c r="FH39" s="88" t="str">
        <f aca="false">IF($B39=FH$12,$O39,"")</f>
        <v/>
      </c>
      <c r="FI39" s="88" t="str">
        <f aca="false">IF($B39=FI$12,$O39,"")</f>
        <v/>
      </c>
      <c r="FJ39" s="88" t="str">
        <f aca="false">IF($B39=FJ$12,$O39,"")</f>
        <v/>
      </c>
      <c r="FK39" s="88" t="str">
        <f aca="false">IF($B39=FK$12,$O39,"")</f>
        <v/>
      </c>
      <c r="FL39" s="88" t="str">
        <f aca="false">IF($B39=FL$12,$O39,"")</f>
        <v/>
      </c>
      <c r="FM39" s="88" t="str">
        <f aca="false">IF($B39=FM$12,$O39,"")</f>
        <v/>
      </c>
      <c r="FN39" s="88" t="str">
        <f aca="false">IF($B39=FN$12,$O39,"")</f>
        <v/>
      </c>
      <c r="FO39" s="88" t="str">
        <f aca="false">IF($B39=FO$12,$O39,"")</f>
        <v/>
      </c>
      <c r="FP39" s="88" t="str">
        <f aca="false">IF($B39=FP$12,$O39,"")</f>
        <v/>
      </c>
      <c r="FQ39" s="88" t="str">
        <f aca="false">IF($B39=FQ$12,$O39,"")</f>
        <v/>
      </c>
      <c r="FR39" s="88" t="str">
        <f aca="false">IF($B39=FR$12,$O39,"")</f>
        <v/>
      </c>
      <c r="FS39" s="88" t="str">
        <f aca="false">IF($B39=FS$12,$O39,"")</f>
        <v/>
      </c>
      <c r="FT39" s="88" t="str">
        <f aca="false">IF($B39=FT$12,$O39,"")</f>
        <v/>
      </c>
      <c r="FU39" s="88" t="str">
        <f aca="false">IF($B39=FU$12,$O39,"")</f>
        <v/>
      </c>
      <c r="FV39" s="88" t="str">
        <f aca="false">IF($B39=FV$12,$O39,"")</f>
        <v/>
      </c>
      <c r="FW39" s="88" t="str">
        <f aca="false">IF($B39=FW$12,$O39,"")</f>
        <v/>
      </c>
      <c r="FX39" s="88" t="str">
        <f aca="false">IF($B39=FX$12,$O39,"")</f>
        <v/>
      </c>
      <c r="FY39" s="88" t="str">
        <f aca="false">IF($B39=FY$12,$O39,"")</f>
        <v/>
      </c>
      <c r="FZ39" s="88" t="str">
        <f aca="false">IF($B39=FZ$12,$O39,"")</f>
        <v/>
      </c>
      <c r="GA39" s="88" t="str">
        <f aca="false">IF($B39=GA$12,$O39,"")</f>
        <v/>
      </c>
      <c r="GB39" s="88" t="str">
        <f aca="false">IF($B39=GB$12,$O39,"")</f>
        <v/>
      </c>
      <c r="GC39" s="88" t="str">
        <f aca="false">IF($B39=GC$12,$O39,"")</f>
        <v/>
      </c>
      <c r="GD39" s="88" t="str">
        <f aca="false">IF($B39=GD$12,$O39,"")</f>
        <v/>
      </c>
      <c r="GE39" s="88" t="str">
        <f aca="false">IF($B39=GE$12,$O39,"")</f>
        <v/>
      </c>
      <c r="GF39" s="88" t="str">
        <f aca="false">IF($B39=GF$12,$O39,"")</f>
        <v/>
      </c>
      <c r="GG39" s="88" t="str">
        <f aca="false">IF($B39=GG$12,$O39,"")</f>
        <v/>
      </c>
      <c r="GH39" s="88" t="str">
        <f aca="false">IF($B39=GH$12,$O39,"")</f>
        <v/>
      </c>
      <c r="GI39" s="88" t="str">
        <f aca="false">IF($B39=GI$12,$O39,"")</f>
        <v/>
      </c>
      <c r="GJ39" s="88" t="str">
        <f aca="false">IF($B39=GJ$12,$O39,"")</f>
        <v/>
      </c>
      <c r="GK39" s="88" t="str">
        <f aca="false">IF($B39=GK$12,$O39,"")</f>
        <v/>
      </c>
      <c r="GL39" s="88" t="str">
        <f aca="false">IF($B39=GL$12,$O39,"")</f>
        <v/>
      </c>
      <c r="GM39" s="88" t="str">
        <f aca="false">IF($B39=GM$12,$O39,"")</f>
        <v/>
      </c>
      <c r="GN39" s="88" t="str">
        <f aca="false">IF($B39=GN$12,$O39,"")</f>
        <v/>
      </c>
      <c r="GO39" s="88" t="str">
        <f aca="false">IF($B39=GO$12,$O39,"")</f>
        <v/>
      </c>
      <c r="GP39" s="88" t="str">
        <f aca="false">IF($B39=GP$12,$O39,"")</f>
        <v/>
      </c>
      <c r="GQ39" s="88" t="str">
        <f aca="false">IF($B39=GQ$12,$O39,"")</f>
        <v/>
      </c>
      <c r="GR39" s="88" t="str">
        <f aca="false">IF($B39=GR$12,$O39,"")</f>
        <v/>
      </c>
      <c r="GS39" s="88" t="str">
        <f aca="false">IF($B39=GS$12,$O39,"")</f>
        <v/>
      </c>
      <c r="GT39" s="88" t="str">
        <f aca="false">IF($B39=GT$12,$O39,"")</f>
        <v/>
      </c>
      <c r="GU39" s="88" t="str">
        <f aca="false">IF($B39=GU$12,$O39,"")</f>
        <v/>
      </c>
      <c r="GV39" s="88" t="str">
        <f aca="false">IF($B39=GV$12,$O39,"")</f>
        <v/>
      </c>
      <c r="GW39" s="88" t="str">
        <f aca="false">IF($B39=GW$12,$O39,"")</f>
        <v/>
      </c>
      <c r="GX39" s="88" t="str">
        <f aca="false">IF($B39=GX$12,$O39,"")</f>
        <v/>
      </c>
      <c r="GY39" s="88" t="str">
        <f aca="false">IF($B39=GY$12,$O39,"")</f>
        <v/>
      </c>
      <c r="GZ39" s="88" t="str">
        <f aca="false">IF($B39=GZ$12,$O39,"")</f>
        <v/>
      </c>
      <c r="HA39" s="88" t="str">
        <f aca="false">IF($B39=HA$12,$O39,"")</f>
        <v/>
      </c>
      <c r="HB39" s="88" t="str">
        <f aca="false">IF($B39=HB$12,$O39,"")</f>
        <v/>
      </c>
      <c r="HC39" s="88" t="str">
        <f aca="false">IF($B39=HC$12,$O39,"")</f>
        <v/>
      </c>
      <c r="HD39" s="88" t="str">
        <f aca="false">IF($B39=HD$12,$O39,"")</f>
        <v/>
      </c>
      <c r="HE39" s="88" t="str">
        <f aca="false">IF($B39=HE$12,$O39,"")</f>
        <v/>
      </c>
      <c r="HF39" s="88" t="str">
        <f aca="false">IF($B39=HF$12,$O39,"")</f>
        <v/>
      </c>
      <c r="HG39" s="88" t="str">
        <f aca="false">IF($B39=HG$12,$O39,"")</f>
        <v/>
      </c>
      <c r="HH39" s="88" t="str">
        <f aca="false">IF($B39=HH$12,$O39,"")</f>
        <v/>
      </c>
      <c r="HI39" s="88" t="str">
        <f aca="false">IF($B39=HI$12,$O39,"")</f>
        <v/>
      </c>
      <c r="HJ39" s="88" t="str">
        <f aca="false">IF($B39=HJ$12,$O39,"")</f>
        <v/>
      </c>
      <c r="HK39" s="88" t="str">
        <f aca="false">IF($B39=HK$12,$O39,"")</f>
        <v/>
      </c>
      <c r="HL39" s="88" t="str">
        <f aca="false">IF($B39=HL$12,$O39,"")</f>
        <v/>
      </c>
      <c r="HM39" s="88" t="str">
        <f aca="false">IF($B39=HM$12,$O39,"")</f>
        <v/>
      </c>
      <c r="HN39" s="88" t="str">
        <f aca="false">IF($B39=HN$12,$O39,"")</f>
        <v/>
      </c>
      <c r="HO39" s="88" t="str">
        <f aca="false">IF($B39=HO$12,$O39,"")</f>
        <v/>
      </c>
      <c r="HP39" s="88" t="str">
        <f aca="false">IF($B39=HP$12,$O39,"")</f>
        <v/>
      </c>
      <c r="HQ39" s="88" t="str">
        <f aca="false">IF($B39=HQ$12,$O39,"")</f>
        <v/>
      </c>
      <c r="HR39" s="89" t="str">
        <f aca="false">IF($B39=HR$12,$O39,"")</f>
        <v/>
      </c>
    </row>
    <row r="40" customFormat="false" ht="10.5" hidden="false" customHeight="true" outlineLevel="0" collapsed="false">
      <c r="A40" s="73"/>
      <c r="B40" s="74"/>
      <c r="C40" s="75" t="str">
        <f aca="false">IF(A40=0,"",VLOOKUP(A40,[3]CO!$A$3:$F$5311,2,0))</f>
        <v/>
      </c>
      <c r="D40" s="76"/>
      <c r="E40" s="76"/>
      <c r="F40" s="76"/>
      <c r="G40" s="77" t="str">
        <f aca="false">IF(A40=0,"",VLOOKUP(A40,[3]CO!$A$3:$F$5311,3,0))</f>
        <v/>
      </c>
      <c r="H40" s="76"/>
      <c r="I40" s="78"/>
      <c r="J40" s="78"/>
      <c r="K40" s="78"/>
      <c r="L40" s="78"/>
      <c r="M40" s="79" t="str">
        <f aca="false">IF(L40=0,"",PRODUCT(I40:L40))</f>
        <v/>
      </c>
      <c r="N40" s="79" t="str">
        <f aca="false">IF(B40=0,"",IF(H40="M",HLOOKUP(B40,$Y$12:$DT$13,2),IF(A40=0,"",VLOOKUP(A40,[3]CO!$A$3:$F$5311,4,0))))</f>
        <v/>
      </c>
      <c r="O40" s="79" t="str">
        <f aca="false">IF(L40=0,"",PRODUCT(M40:N40))</f>
        <v/>
      </c>
      <c r="P40" s="80"/>
      <c r="Q40" s="81" t="str">
        <f aca="false">IF(P40=0,"",(HLOOKUP(P40,$DW$12:$HR$13,2)))</f>
        <v/>
      </c>
      <c r="R40" s="82" t="str">
        <f aca="false"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RESIDENTE"),VLOOKUP(B40,P$14:Q$131,2),"")*S40)</f>
        <v/>
      </c>
      <c r="S40" s="5"/>
      <c r="T40" s="65" t="str">
        <f aca="false">IF(A40=0,"",VLOOKUP(A40,[3]CO!$A$3:$F$5302,5,0))</f>
        <v/>
      </c>
      <c r="U40" s="55" t="n">
        <f aca="false">IF(T40=1,O40*0.1,)</f>
        <v>0</v>
      </c>
      <c r="V40" s="66"/>
      <c r="W40" s="83"/>
      <c r="X40" s="83"/>
      <c r="Y40" s="84" t="str">
        <f aca="false">IF($B40=Y$12,$U40,"")</f>
        <v/>
      </c>
      <c r="Z40" s="85" t="str">
        <f aca="false">IF($B40=Z$12,$U40,"")</f>
        <v/>
      </c>
      <c r="AA40" s="85" t="str">
        <f aca="false">IF($B40=AA$12,$U40,"")</f>
        <v/>
      </c>
      <c r="AB40" s="85" t="str">
        <f aca="false">IF($B40=AB$12,$U40,"")</f>
        <v/>
      </c>
      <c r="AC40" s="85" t="str">
        <f aca="false">IF($B40=AC$12,$U40,"")</f>
        <v/>
      </c>
      <c r="AD40" s="85" t="str">
        <f aca="false">IF($B40=AD$12,$U40,"")</f>
        <v/>
      </c>
      <c r="AE40" s="85" t="str">
        <f aca="false">IF($B40=AE$12,$U40,"")</f>
        <v/>
      </c>
      <c r="AF40" s="85" t="str">
        <f aca="false">IF($B40=AF$12,$U40,"")</f>
        <v/>
      </c>
      <c r="AG40" s="85" t="str">
        <f aca="false">IF($B40=AG$12,$U40,"")</f>
        <v/>
      </c>
      <c r="AH40" s="85" t="str">
        <f aca="false">IF($B40=AH$12,$U40,"")</f>
        <v/>
      </c>
      <c r="AI40" s="85" t="str">
        <f aca="false">IF($B40=AI$12,$U40,"")</f>
        <v/>
      </c>
      <c r="AJ40" s="85" t="str">
        <f aca="false">IF($B40=AJ$12,$U40,"")</f>
        <v/>
      </c>
      <c r="AK40" s="85" t="str">
        <f aca="false">IF($B40=AK$12,$U40,"")</f>
        <v/>
      </c>
      <c r="AL40" s="85" t="str">
        <f aca="false">IF($B40=AL$12,$U40,"")</f>
        <v/>
      </c>
      <c r="AM40" s="85" t="str">
        <f aca="false">IF($B40=AM$12,$U40,"")</f>
        <v/>
      </c>
      <c r="AN40" s="85" t="str">
        <f aca="false">IF($B40=AN$12,$U40,"")</f>
        <v/>
      </c>
      <c r="AO40" s="85" t="str">
        <f aca="false">IF($B40=AO$12,$U40,"")</f>
        <v/>
      </c>
      <c r="AP40" s="85" t="str">
        <f aca="false">IF($B40=AP$12,$U40,"")</f>
        <v/>
      </c>
      <c r="AQ40" s="85" t="str">
        <f aca="false">IF($B40=AQ$12,$U40,"")</f>
        <v/>
      </c>
      <c r="AR40" s="85" t="str">
        <f aca="false">IF($B40=AR$12,$U40,"")</f>
        <v/>
      </c>
      <c r="AS40" s="85" t="str">
        <f aca="false">IF($B40=AS$12,$U40,"")</f>
        <v/>
      </c>
      <c r="AT40" s="85" t="str">
        <f aca="false">IF($B40=AT$12,$U40,"")</f>
        <v/>
      </c>
      <c r="AU40" s="85" t="str">
        <f aca="false">IF($B40=AU$12,$U40,"")</f>
        <v/>
      </c>
      <c r="AV40" s="85" t="str">
        <f aca="false">IF($B40=AV$12,$U40,"")</f>
        <v/>
      </c>
      <c r="AW40" s="85" t="str">
        <f aca="false">IF($B40=AW$12,$U40,"")</f>
        <v/>
      </c>
      <c r="AX40" s="85" t="str">
        <f aca="false">IF($B40=AX$12,$U40,"")</f>
        <v/>
      </c>
      <c r="AY40" s="85" t="str">
        <f aca="false">IF($B40=AY$12,$U40,"")</f>
        <v/>
      </c>
      <c r="AZ40" s="85" t="str">
        <f aca="false">IF($B40=AZ$12,$U40,"")</f>
        <v/>
      </c>
      <c r="BA40" s="85" t="str">
        <f aca="false">IF($B40=BA$12,$U40,"")</f>
        <v/>
      </c>
      <c r="BB40" s="85" t="str">
        <f aca="false">IF($B40=BB$12,$U40,"")</f>
        <v/>
      </c>
      <c r="BC40" s="85" t="str">
        <f aca="false">IF($B40=BC$12,$U40,"")</f>
        <v/>
      </c>
      <c r="BD40" s="85" t="str">
        <f aca="false">IF($B40=BD$12,$U40,"")</f>
        <v/>
      </c>
      <c r="BE40" s="85" t="str">
        <f aca="false">IF($B40=BE$12,$U40,"")</f>
        <v/>
      </c>
      <c r="BF40" s="85" t="str">
        <f aca="false">IF($B40=BF$12,$U40,"")</f>
        <v/>
      </c>
      <c r="BG40" s="85" t="str">
        <f aca="false">IF($B40=BG$12,$U40,"")</f>
        <v/>
      </c>
      <c r="BH40" s="85" t="str">
        <f aca="false">IF($B40=BH$12,$U40,"")</f>
        <v/>
      </c>
      <c r="BI40" s="85" t="str">
        <f aca="false">IF($B40=BI$12,$U40,"")</f>
        <v/>
      </c>
      <c r="BJ40" s="85" t="str">
        <f aca="false">IF($B40=BJ$12,$U40,"")</f>
        <v/>
      </c>
      <c r="BK40" s="85" t="str">
        <f aca="false">IF($B40=BK$12,$U40,"")</f>
        <v/>
      </c>
      <c r="BL40" s="85" t="str">
        <f aca="false">IF($B40=BL$12,$U40,"")</f>
        <v/>
      </c>
      <c r="BM40" s="85" t="str">
        <f aca="false">IF($B40=BM$12,$U40,"")</f>
        <v/>
      </c>
      <c r="BN40" s="85" t="str">
        <f aca="false">IF($B40=BN$12,$U40,"")</f>
        <v/>
      </c>
      <c r="BO40" s="85" t="str">
        <f aca="false">IF($B40=BO$12,$U40,"")</f>
        <v/>
      </c>
      <c r="BP40" s="85" t="str">
        <f aca="false">IF($B40=BP$12,$U40,"")</f>
        <v/>
      </c>
      <c r="BQ40" s="85" t="str">
        <f aca="false">IF($B40=BQ$12,$U40,"")</f>
        <v/>
      </c>
      <c r="BR40" s="85" t="str">
        <f aca="false">IF($B40=BR$12,$U40,"")</f>
        <v/>
      </c>
      <c r="BS40" s="85" t="str">
        <f aca="false">IF($B40=BS$12,$U40,"")</f>
        <v/>
      </c>
      <c r="BT40" s="85" t="str">
        <f aca="false">IF($B40=BT$12,$U40,"")</f>
        <v/>
      </c>
      <c r="BU40" s="85" t="str">
        <f aca="false">IF($B40=BU$12,$U40,"")</f>
        <v/>
      </c>
      <c r="BV40" s="85" t="str">
        <f aca="false">IF($B40=BV$12,$U40,"")</f>
        <v/>
      </c>
      <c r="BW40" s="85" t="str">
        <f aca="false">IF($B40=BW$12,$U40,"")</f>
        <v/>
      </c>
      <c r="BX40" s="85" t="str">
        <f aca="false">IF($B40=BX$12,$U40,"")</f>
        <v/>
      </c>
      <c r="BY40" s="85" t="str">
        <f aca="false">IF($B40=BY$12,$U40,"")</f>
        <v/>
      </c>
      <c r="BZ40" s="85" t="str">
        <f aca="false">IF($B40=BZ$12,$U40,"")</f>
        <v/>
      </c>
      <c r="CA40" s="85" t="str">
        <f aca="false">IF($B40=CA$12,$U40,"")</f>
        <v/>
      </c>
      <c r="CB40" s="85" t="str">
        <f aca="false">IF($B40=CB$12,$U40,"")</f>
        <v/>
      </c>
      <c r="CC40" s="85" t="str">
        <f aca="false">IF($B40=CC$12,$U40,"")</f>
        <v/>
      </c>
      <c r="CD40" s="85" t="str">
        <f aca="false">IF($B40=CD$12,$U40,"")</f>
        <v/>
      </c>
      <c r="CE40" s="85" t="str">
        <f aca="false">IF($B40=CE$12,$U40,"")</f>
        <v/>
      </c>
      <c r="CF40" s="85" t="str">
        <f aca="false">IF($B40=CF$12,$U40,"")</f>
        <v/>
      </c>
      <c r="CG40" s="85" t="str">
        <f aca="false">IF($B40=CG$12,$U40,"")</f>
        <v/>
      </c>
      <c r="CH40" s="85" t="str">
        <f aca="false">IF($B40=CH$12,$U40,"")</f>
        <v/>
      </c>
      <c r="CI40" s="85" t="str">
        <f aca="false">IF($B40=CI$12,$U40,"")</f>
        <v/>
      </c>
      <c r="CJ40" s="85" t="str">
        <f aca="false">IF($B40=CJ$12,$U40,"")</f>
        <v/>
      </c>
      <c r="CK40" s="85" t="str">
        <f aca="false">IF($B40=CK$12,$U40,"")</f>
        <v/>
      </c>
      <c r="CL40" s="85" t="str">
        <f aca="false">IF($B40=CL$12,$U40,"")</f>
        <v/>
      </c>
      <c r="CM40" s="85" t="str">
        <f aca="false">IF($B40=CM$12,$U40,"")</f>
        <v/>
      </c>
      <c r="CN40" s="85" t="str">
        <f aca="false">IF($B40=CN$12,$U40,"")</f>
        <v/>
      </c>
      <c r="CO40" s="85" t="str">
        <f aca="false">IF($B40=CO$12,$U40,"")</f>
        <v/>
      </c>
      <c r="CP40" s="85" t="str">
        <f aca="false">IF($B40=CP$12,$U40,"")</f>
        <v/>
      </c>
      <c r="CQ40" s="85" t="str">
        <f aca="false">IF($B40=CQ$12,$U40,"")</f>
        <v/>
      </c>
      <c r="CR40" s="85" t="str">
        <f aca="false">IF($B40=CR$12,$U40,"")</f>
        <v/>
      </c>
      <c r="CS40" s="85" t="str">
        <f aca="false">IF($B40=CS$12,$U40,"")</f>
        <v/>
      </c>
      <c r="CT40" s="85" t="str">
        <f aca="false">IF($B40=CT$12,$U40,"")</f>
        <v/>
      </c>
      <c r="CU40" s="85" t="str">
        <f aca="false">IF($B40=CU$12,$U40,"")</f>
        <v/>
      </c>
      <c r="CV40" s="85" t="str">
        <f aca="false">IF($B40=CV$12,$U40,"")</f>
        <v/>
      </c>
      <c r="CW40" s="85" t="str">
        <f aca="false">IF($B40=CW$12,$U40,"")</f>
        <v/>
      </c>
      <c r="CX40" s="85" t="str">
        <f aca="false">IF($B40=CX$12,$U40,"")</f>
        <v/>
      </c>
      <c r="CY40" s="85" t="str">
        <f aca="false">IF($B40=CY$12,$U40,"")</f>
        <v/>
      </c>
      <c r="CZ40" s="85" t="str">
        <f aca="false">IF($B40=CZ$12,$U40,"")</f>
        <v/>
      </c>
      <c r="DA40" s="85" t="str">
        <f aca="false">IF($B40=DA$12,$U40,"")</f>
        <v/>
      </c>
      <c r="DB40" s="85" t="str">
        <f aca="false">IF($B40=DB$12,$U40,"")</f>
        <v/>
      </c>
      <c r="DC40" s="85" t="str">
        <f aca="false">IF($B40=DC$12,$U40,"")</f>
        <v/>
      </c>
      <c r="DD40" s="85" t="str">
        <f aca="false">IF($B40=DD$12,$U40,"")</f>
        <v/>
      </c>
      <c r="DE40" s="85" t="str">
        <f aca="false">IF($B40=DE$12,$U40,"")</f>
        <v/>
      </c>
      <c r="DF40" s="85" t="str">
        <f aca="false">IF($B40=DF$12,$U40,"")</f>
        <v/>
      </c>
      <c r="DG40" s="85" t="str">
        <f aca="false">IF($B40=DG$12,$U40,"")</f>
        <v/>
      </c>
      <c r="DH40" s="85" t="str">
        <f aca="false">IF($B40=DH$12,$U40,"")</f>
        <v/>
      </c>
      <c r="DI40" s="85" t="str">
        <f aca="false">IF($B40=DI$12,$U40,"")</f>
        <v/>
      </c>
      <c r="DJ40" s="85" t="str">
        <f aca="false">IF($B40=DJ$12,$U40,"")</f>
        <v/>
      </c>
      <c r="DK40" s="85" t="str">
        <f aca="false">IF($B40=DK$12,$U40,"")</f>
        <v/>
      </c>
      <c r="DL40" s="85" t="str">
        <f aca="false">IF($B40=DL$12,$U40,"")</f>
        <v/>
      </c>
      <c r="DM40" s="85" t="str">
        <f aca="false">IF($B40=DM$12,$U40,"")</f>
        <v/>
      </c>
      <c r="DN40" s="85" t="str">
        <f aca="false">IF($B40=DN$12,$U40,"")</f>
        <v/>
      </c>
      <c r="DO40" s="85" t="str">
        <f aca="false">IF($B40=DO$12,$U40,"")</f>
        <v/>
      </c>
      <c r="DP40" s="85" t="str">
        <f aca="false">IF($B40=DP$12,$U40,"")</f>
        <v/>
      </c>
      <c r="DQ40" s="85" t="str">
        <f aca="false">IF($B40=DQ$12,$U40,"")</f>
        <v/>
      </c>
      <c r="DR40" s="85" t="str">
        <f aca="false">IF($B40=DR$12,$U40,"")</f>
        <v/>
      </c>
      <c r="DS40" s="85" t="str">
        <f aca="false">IF($B40=DS$12,$U40,"")</f>
        <v/>
      </c>
      <c r="DT40" s="86" t="str">
        <f aca="false">IF($B40=DT$12,$U40,"")</f>
        <v/>
      </c>
      <c r="DU40" s="55"/>
      <c r="DV40" s="83"/>
      <c r="DW40" s="87" t="str">
        <f aca="false">IF($B40=DW$12,$O40,"")</f>
        <v/>
      </c>
      <c r="DX40" s="88" t="str">
        <f aca="false">IF($B40=DX$12,$O40,"")</f>
        <v/>
      </c>
      <c r="DY40" s="88" t="str">
        <f aca="false">IF($B40=DY$12,$O40,"")</f>
        <v/>
      </c>
      <c r="DZ40" s="88" t="str">
        <f aca="false">IF($B40=DZ$12,$O40,"")</f>
        <v/>
      </c>
      <c r="EA40" s="88" t="str">
        <f aca="false">IF($B40=EA$12,$O40,"")</f>
        <v/>
      </c>
      <c r="EB40" s="88" t="str">
        <f aca="false">IF($B40=EB$12,$O40,"")</f>
        <v/>
      </c>
      <c r="EC40" s="88" t="str">
        <f aca="false">IF($B40=EC$12,$O40,"")</f>
        <v/>
      </c>
      <c r="ED40" s="88" t="str">
        <f aca="false">IF($B40=ED$12,$O40,"")</f>
        <v/>
      </c>
      <c r="EE40" s="88" t="str">
        <f aca="false">IF($B40=EE$12,$O40,"")</f>
        <v/>
      </c>
      <c r="EF40" s="88" t="str">
        <f aca="false">IF($B40=EF$12,$O40,"")</f>
        <v/>
      </c>
      <c r="EG40" s="88" t="str">
        <f aca="false">IF($B40=EG$12,$O40,"")</f>
        <v/>
      </c>
      <c r="EH40" s="88" t="str">
        <f aca="false">IF($B40=EH$12,$O40,"")</f>
        <v/>
      </c>
      <c r="EI40" s="88" t="str">
        <f aca="false">IF($B40=EI$12,$O40,"")</f>
        <v/>
      </c>
      <c r="EJ40" s="88" t="str">
        <f aca="false">IF($B40=EJ$12,$O40,"")</f>
        <v/>
      </c>
      <c r="EK40" s="88" t="str">
        <f aca="false">IF($B40=EK$12,$O40,"")</f>
        <v/>
      </c>
      <c r="EL40" s="88" t="str">
        <f aca="false">IF($B40=EL$12,$O40,"")</f>
        <v/>
      </c>
      <c r="EM40" s="88" t="str">
        <f aca="false">IF($B40=EM$12,$O40,"")</f>
        <v/>
      </c>
      <c r="EN40" s="88" t="str">
        <f aca="false">IF($B40=EN$12,$O40,"")</f>
        <v/>
      </c>
      <c r="EO40" s="88" t="str">
        <f aca="false">IF($B40=EO$12,$O40,"")</f>
        <v/>
      </c>
      <c r="EP40" s="88" t="str">
        <f aca="false">IF($B40=EP$12,$O40,"")</f>
        <v/>
      </c>
      <c r="EQ40" s="88" t="str">
        <f aca="false">IF($B40=EQ$12,$O40,"")</f>
        <v/>
      </c>
      <c r="ER40" s="88" t="str">
        <f aca="false">IF($B40=ER$12,$O40,"")</f>
        <v/>
      </c>
      <c r="ES40" s="88" t="str">
        <f aca="false">IF($B40=ES$12,$O40,"")</f>
        <v/>
      </c>
      <c r="ET40" s="88" t="str">
        <f aca="false">IF($B40=ET$12,$O40,"")</f>
        <v/>
      </c>
      <c r="EU40" s="88" t="str">
        <f aca="false">IF($B40=EU$12,$O40,"")</f>
        <v/>
      </c>
      <c r="EV40" s="88" t="str">
        <f aca="false">IF($B40=EV$12,$O40,"")</f>
        <v/>
      </c>
      <c r="EW40" s="88" t="str">
        <f aca="false">IF($B40=EW$12,$O40,"")</f>
        <v/>
      </c>
      <c r="EX40" s="88" t="str">
        <f aca="false">IF($B40=EX$12,$O40,"")</f>
        <v/>
      </c>
      <c r="EY40" s="88" t="str">
        <f aca="false">IF($B40=EY$12,$O40,"")</f>
        <v/>
      </c>
      <c r="EZ40" s="88" t="str">
        <f aca="false">IF($B40=EZ$12,$O40,"")</f>
        <v/>
      </c>
      <c r="FA40" s="88" t="str">
        <f aca="false">IF($B40=FA$12,$O40,"")</f>
        <v/>
      </c>
      <c r="FB40" s="88" t="str">
        <f aca="false">IF($B40=FB$12,$O40,"")</f>
        <v/>
      </c>
      <c r="FC40" s="88" t="str">
        <f aca="false">IF($B40=FC$12,$O40,"")</f>
        <v/>
      </c>
      <c r="FD40" s="88" t="str">
        <f aca="false">IF($B40=FD$12,$O40,"")</f>
        <v/>
      </c>
      <c r="FE40" s="88" t="str">
        <f aca="false">IF($B40=FE$12,$O40,"")</f>
        <v/>
      </c>
      <c r="FF40" s="88" t="str">
        <f aca="false">IF($B40=FF$12,$O40,"")</f>
        <v/>
      </c>
      <c r="FG40" s="88" t="str">
        <f aca="false">IF($B40=FG$12,$O40,"")</f>
        <v/>
      </c>
      <c r="FH40" s="88" t="str">
        <f aca="false">IF($B40=FH$12,$O40,"")</f>
        <v/>
      </c>
      <c r="FI40" s="88" t="str">
        <f aca="false">IF($B40=FI$12,$O40,"")</f>
        <v/>
      </c>
      <c r="FJ40" s="88" t="str">
        <f aca="false">IF($B40=FJ$12,$O40,"")</f>
        <v/>
      </c>
      <c r="FK40" s="88" t="str">
        <f aca="false">IF($B40=FK$12,$O40,"")</f>
        <v/>
      </c>
      <c r="FL40" s="88" t="str">
        <f aca="false">IF($B40=FL$12,$O40,"")</f>
        <v/>
      </c>
      <c r="FM40" s="88" t="str">
        <f aca="false">IF($B40=FM$12,$O40,"")</f>
        <v/>
      </c>
      <c r="FN40" s="88" t="str">
        <f aca="false">IF($B40=FN$12,$O40,"")</f>
        <v/>
      </c>
      <c r="FO40" s="88" t="str">
        <f aca="false">IF($B40=FO$12,$O40,"")</f>
        <v/>
      </c>
      <c r="FP40" s="88" t="str">
        <f aca="false">IF($B40=FP$12,$O40,"")</f>
        <v/>
      </c>
      <c r="FQ40" s="88" t="str">
        <f aca="false">IF($B40=FQ$12,$O40,"")</f>
        <v/>
      </c>
      <c r="FR40" s="88" t="str">
        <f aca="false">IF($B40=FR$12,$O40,"")</f>
        <v/>
      </c>
      <c r="FS40" s="88" t="str">
        <f aca="false">IF($B40=FS$12,$O40,"")</f>
        <v/>
      </c>
      <c r="FT40" s="88" t="str">
        <f aca="false">IF($B40=FT$12,$O40,"")</f>
        <v/>
      </c>
      <c r="FU40" s="88" t="str">
        <f aca="false">IF($B40=FU$12,$O40,"")</f>
        <v/>
      </c>
      <c r="FV40" s="88" t="str">
        <f aca="false">IF($B40=FV$12,$O40,"")</f>
        <v/>
      </c>
      <c r="FW40" s="88" t="str">
        <f aca="false">IF($B40=FW$12,$O40,"")</f>
        <v/>
      </c>
      <c r="FX40" s="88" t="str">
        <f aca="false">IF($B40=FX$12,$O40,"")</f>
        <v/>
      </c>
      <c r="FY40" s="88" t="str">
        <f aca="false">IF($B40=FY$12,$O40,"")</f>
        <v/>
      </c>
      <c r="FZ40" s="88" t="str">
        <f aca="false">IF($B40=FZ$12,$O40,"")</f>
        <v/>
      </c>
      <c r="GA40" s="88" t="str">
        <f aca="false">IF($B40=GA$12,$O40,"")</f>
        <v/>
      </c>
      <c r="GB40" s="88" t="str">
        <f aca="false">IF($B40=GB$12,$O40,"")</f>
        <v/>
      </c>
      <c r="GC40" s="88" t="str">
        <f aca="false">IF($B40=GC$12,$O40,"")</f>
        <v/>
      </c>
      <c r="GD40" s="88" t="str">
        <f aca="false">IF($B40=GD$12,$O40,"")</f>
        <v/>
      </c>
      <c r="GE40" s="88" t="str">
        <f aca="false">IF($B40=GE$12,$O40,"")</f>
        <v/>
      </c>
      <c r="GF40" s="88" t="str">
        <f aca="false">IF($B40=GF$12,$O40,"")</f>
        <v/>
      </c>
      <c r="GG40" s="88" t="str">
        <f aca="false">IF($B40=GG$12,$O40,"")</f>
        <v/>
      </c>
      <c r="GH40" s="88" t="str">
        <f aca="false">IF($B40=GH$12,$O40,"")</f>
        <v/>
      </c>
      <c r="GI40" s="88" t="str">
        <f aca="false">IF($B40=GI$12,$O40,"")</f>
        <v/>
      </c>
      <c r="GJ40" s="88" t="str">
        <f aca="false">IF($B40=GJ$12,$O40,"")</f>
        <v/>
      </c>
      <c r="GK40" s="88" t="str">
        <f aca="false">IF($B40=GK$12,$O40,"")</f>
        <v/>
      </c>
      <c r="GL40" s="88" t="str">
        <f aca="false">IF($B40=GL$12,$O40,"")</f>
        <v/>
      </c>
      <c r="GM40" s="88" t="str">
        <f aca="false">IF($B40=GM$12,$O40,"")</f>
        <v/>
      </c>
      <c r="GN40" s="88" t="str">
        <f aca="false">IF($B40=GN$12,$O40,"")</f>
        <v/>
      </c>
      <c r="GO40" s="88" t="str">
        <f aca="false">IF($B40=GO$12,$O40,"")</f>
        <v/>
      </c>
      <c r="GP40" s="88" t="str">
        <f aca="false">IF($B40=GP$12,$O40,"")</f>
        <v/>
      </c>
      <c r="GQ40" s="88" t="str">
        <f aca="false">IF($B40=GQ$12,$O40,"")</f>
        <v/>
      </c>
      <c r="GR40" s="88" t="str">
        <f aca="false">IF($B40=GR$12,$O40,"")</f>
        <v/>
      </c>
      <c r="GS40" s="88" t="str">
        <f aca="false">IF($B40=GS$12,$O40,"")</f>
        <v/>
      </c>
      <c r="GT40" s="88" t="str">
        <f aca="false">IF($B40=GT$12,$O40,"")</f>
        <v/>
      </c>
      <c r="GU40" s="88" t="str">
        <f aca="false">IF($B40=GU$12,$O40,"")</f>
        <v/>
      </c>
      <c r="GV40" s="88" t="str">
        <f aca="false">IF($B40=GV$12,$O40,"")</f>
        <v/>
      </c>
      <c r="GW40" s="88" t="str">
        <f aca="false">IF($B40=GW$12,$O40,"")</f>
        <v/>
      </c>
      <c r="GX40" s="88" t="str">
        <f aca="false">IF($B40=GX$12,$O40,"")</f>
        <v/>
      </c>
      <c r="GY40" s="88" t="str">
        <f aca="false">IF($B40=GY$12,$O40,"")</f>
        <v/>
      </c>
      <c r="GZ40" s="88" t="str">
        <f aca="false">IF($B40=GZ$12,$O40,"")</f>
        <v/>
      </c>
      <c r="HA40" s="88" t="str">
        <f aca="false">IF($B40=HA$12,$O40,"")</f>
        <v/>
      </c>
      <c r="HB40" s="88" t="str">
        <f aca="false">IF($B40=HB$12,$O40,"")</f>
        <v/>
      </c>
      <c r="HC40" s="88" t="str">
        <f aca="false">IF($B40=HC$12,$O40,"")</f>
        <v/>
      </c>
      <c r="HD40" s="88" t="str">
        <f aca="false">IF($B40=HD$12,$O40,"")</f>
        <v/>
      </c>
      <c r="HE40" s="88" t="str">
        <f aca="false">IF($B40=HE$12,$O40,"")</f>
        <v/>
      </c>
      <c r="HF40" s="88" t="str">
        <f aca="false">IF($B40=HF$12,$O40,"")</f>
        <v/>
      </c>
      <c r="HG40" s="88" t="str">
        <f aca="false">IF($B40=HG$12,$O40,"")</f>
        <v/>
      </c>
      <c r="HH40" s="88" t="str">
        <f aca="false">IF($B40=HH$12,$O40,"")</f>
        <v/>
      </c>
      <c r="HI40" s="88" t="str">
        <f aca="false">IF($B40=HI$12,$O40,"")</f>
        <v/>
      </c>
      <c r="HJ40" s="88" t="str">
        <f aca="false">IF($B40=HJ$12,$O40,"")</f>
        <v/>
      </c>
      <c r="HK40" s="88" t="str">
        <f aca="false">IF($B40=HK$12,$O40,"")</f>
        <v/>
      </c>
      <c r="HL40" s="88" t="str">
        <f aca="false">IF($B40=HL$12,$O40,"")</f>
        <v/>
      </c>
      <c r="HM40" s="88" t="str">
        <f aca="false">IF($B40=HM$12,$O40,"")</f>
        <v/>
      </c>
      <c r="HN40" s="88" t="str">
        <f aca="false">IF($B40=HN$12,$O40,"")</f>
        <v/>
      </c>
      <c r="HO40" s="88" t="str">
        <f aca="false">IF($B40=HO$12,$O40,"")</f>
        <v/>
      </c>
      <c r="HP40" s="88" t="str">
        <f aca="false">IF($B40=HP$12,$O40,"")</f>
        <v/>
      </c>
      <c r="HQ40" s="88" t="str">
        <f aca="false">IF($B40=HQ$12,$O40,"")</f>
        <v/>
      </c>
      <c r="HR40" s="89" t="str">
        <f aca="false">IF($B40=HR$12,$O40,"")</f>
        <v/>
      </c>
    </row>
    <row r="41" customFormat="false" ht="10.5" hidden="false" customHeight="true" outlineLevel="0" collapsed="false">
      <c r="A41" s="73"/>
      <c r="B41" s="74"/>
      <c r="C41" s="75" t="str">
        <f aca="false">IF(A41=0,"",VLOOKUP(A41,[3]CO!$A$3:$F$5311,2,0))</f>
        <v/>
      </c>
      <c r="D41" s="76"/>
      <c r="E41" s="76"/>
      <c r="F41" s="76"/>
      <c r="G41" s="77" t="str">
        <f aca="false">IF(A41=0,"",VLOOKUP(A41,[3]CO!$A$3:$F$5311,3,0))</f>
        <v/>
      </c>
      <c r="H41" s="76"/>
      <c r="I41" s="78"/>
      <c r="J41" s="78"/>
      <c r="K41" s="78"/>
      <c r="L41" s="78"/>
      <c r="M41" s="79" t="str">
        <f aca="false">IF(L41=0,"",PRODUCT(I41:L41))</f>
        <v/>
      </c>
      <c r="N41" s="79" t="str">
        <f aca="false">IF(B41=0,"",IF(H41="M",HLOOKUP(B41,$Y$12:$DT$13,2),IF(A41=0,"",VLOOKUP(A41,[3]CO!$A$3:$F$5311,4,0))))</f>
        <v/>
      </c>
      <c r="O41" s="79" t="str">
        <f aca="false">IF(L41=0,"",PRODUCT(M41:N41))</f>
        <v/>
      </c>
      <c r="P41" s="80"/>
      <c r="Q41" s="81" t="str">
        <f aca="false">IF(P41=0,"",(HLOOKUP(P41,$DW$12:$HR$13,2)))</f>
        <v/>
      </c>
      <c r="R41" s="82" t="str">
        <f aca="false">IF(S41=0,"",IF(OR(G41="PEON",G41="OF",G41="JARD",G41="CARP",G41="MAESTRO",G41="SOLD",G41="BGRO",G41="CHOFER",G41="AYTE",G41="S.INTTE.",G41="ASEO",G41="P.PISOS",G41="VELADOR",G41="RESID",G41="PINTOR",G41="ELECT",G41="AZULE",G41="AUX CONT.",G41="SECRETARIA",G41="AUXILIAR ADMTVO.",G41="ARQUITECTO",G41="DIBUJANTE",G41="AUX. DE RESIDENTE"),VLOOKUP(B41,P$14:Q$131,2),"")*S41)</f>
        <v/>
      </c>
      <c r="S41" s="5"/>
      <c r="T41" s="65" t="str">
        <f aca="false">IF(A41=0,"",VLOOKUP(A41,[3]CO!$A$3:$F$5302,5,0))</f>
        <v/>
      </c>
      <c r="U41" s="55" t="n">
        <f aca="false">IF(T41=1,O41*0.1,)</f>
        <v>0</v>
      </c>
      <c r="V41" s="66"/>
      <c r="W41" s="83"/>
      <c r="X41" s="83"/>
      <c r="Y41" s="84" t="str">
        <f aca="false">IF($B41=Y$12,$U41,"")</f>
        <v/>
      </c>
      <c r="Z41" s="85" t="str">
        <f aca="false">IF($B41=Z$12,$U41,"")</f>
        <v/>
      </c>
      <c r="AA41" s="85" t="str">
        <f aca="false">IF($B41=AA$12,$U41,"")</f>
        <v/>
      </c>
      <c r="AB41" s="85" t="str">
        <f aca="false">IF($B41=AB$12,$U41,"")</f>
        <v/>
      </c>
      <c r="AC41" s="85" t="str">
        <f aca="false">IF($B41=AC$12,$U41,"")</f>
        <v/>
      </c>
      <c r="AD41" s="85" t="str">
        <f aca="false">IF($B41=AD$12,$U41,"")</f>
        <v/>
      </c>
      <c r="AE41" s="85" t="str">
        <f aca="false">IF($B41=AE$12,$U41,"")</f>
        <v/>
      </c>
      <c r="AF41" s="85" t="str">
        <f aca="false">IF($B41=AF$12,$U41,"")</f>
        <v/>
      </c>
      <c r="AG41" s="85" t="str">
        <f aca="false">IF($B41=AG$12,$U41,"")</f>
        <v/>
      </c>
      <c r="AH41" s="85" t="str">
        <f aca="false">IF($B41=AH$12,$U41,"")</f>
        <v/>
      </c>
      <c r="AI41" s="85" t="str">
        <f aca="false">IF($B41=AI$12,$U41,"")</f>
        <v/>
      </c>
      <c r="AJ41" s="85" t="str">
        <f aca="false">IF($B41=AJ$12,$U41,"")</f>
        <v/>
      </c>
      <c r="AK41" s="85" t="str">
        <f aca="false">IF($B41=AK$12,$U41,"")</f>
        <v/>
      </c>
      <c r="AL41" s="85" t="str">
        <f aca="false">IF($B41=AL$12,$U41,"")</f>
        <v/>
      </c>
      <c r="AM41" s="85" t="str">
        <f aca="false">IF($B41=AM$12,$U41,"")</f>
        <v/>
      </c>
      <c r="AN41" s="85" t="str">
        <f aca="false">IF($B41=AN$12,$U41,"")</f>
        <v/>
      </c>
      <c r="AO41" s="85" t="str">
        <f aca="false">IF($B41=AO$12,$U41,"")</f>
        <v/>
      </c>
      <c r="AP41" s="85" t="str">
        <f aca="false">IF($B41=AP$12,$U41,"")</f>
        <v/>
      </c>
      <c r="AQ41" s="85" t="str">
        <f aca="false">IF($B41=AQ$12,$U41,"")</f>
        <v/>
      </c>
      <c r="AR41" s="85" t="str">
        <f aca="false">IF($B41=AR$12,$U41,"")</f>
        <v/>
      </c>
      <c r="AS41" s="85" t="str">
        <f aca="false">IF($B41=AS$12,$U41,"")</f>
        <v/>
      </c>
      <c r="AT41" s="85" t="str">
        <f aca="false">IF($B41=AT$12,$U41,"")</f>
        <v/>
      </c>
      <c r="AU41" s="85" t="str">
        <f aca="false">IF($B41=AU$12,$U41,"")</f>
        <v/>
      </c>
      <c r="AV41" s="85" t="str">
        <f aca="false">IF($B41=AV$12,$U41,"")</f>
        <v/>
      </c>
      <c r="AW41" s="85" t="str">
        <f aca="false">IF($B41=AW$12,$U41,"")</f>
        <v/>
      </c>
      <c r="AX41" s="85" t="str">
        <f aca="false">IF($B41=AX$12,$U41,"")</f>
        <v/>
      </c>
      <c r="AY41" s="85" t="str">
        <f aca="false">IF($B41=AY$12,$U41,"")</f>
        <v/>
      </c>
      <c r="AZ41" s="85" t="str">
        <f aca="false">IF($B41=AZ$12,$U41,"")</f>
        <v/>
      </c>
      <c r="BA41" s="85" t="str">
        <f aca="false">IF($B41=BA$12,$U41,"")</f>
        <v/>
      </c>
      <c r="BB41" s="85" t="str">
        <f aca="false">IF($B41=BB$12,$U41,"")</f>
        <v/>
      </c>
      <c r="BC41" s="85" t="str">
        <f aca="false">IF($B41=BC$12,$U41,"")</f>
        <v/>
      </c>
      <c r="BD41" s="85" t="str">
        <f aca="false">IF($B41=BD$12,$U41,"")</f>
        <v/>
      </c>
      <c r="BE41" s="85" t="str">
        <f aca="false">IF($B41=BE$12,$U41,"")</f>
        <v/>
      </c>
      <c r="BF41" s="85" t="str">
        <f aca="false">IF($B41=BF$12,$U41,"")</f>
        <v/>
      </c>
      <c r="BG41" s="85" t="str">
        <f aca="false">IF($B41=BG$12,$U41,"")</f>
        <v/>
      </c>
      <c r="BH41" s="85" t="str">
        <f aca="false">IF($B41=BH$12,$U41,"")</f>
        <v/>
      </c>
      <c r="BI41" s="85" t="str">
        <f aca="false">IF($B41=BI$12,$U41,"")</f>
        <v/>
      </c>
      <c r="BJ41" s="85" t="str">
        <f aca="false">IF($B41=BJ$12,$U41,"")</f>
        <v/>
      </c>
      <c r="BK41" s="85" t="str">
        <f aca="false">IF($B41=BK$12,$U41,"")</f>
        <v/>
      </c>
      <c r="BL41" s="85" t="str">
        <f aca="false">IF($B41=BL$12,$U41,"")</f>
        <v/>
      </c>
      <c r="BM41" s="85" t="str">
        <f aca="false">IF($B41=BM$12,$U41,"")</f>
        <v/>
      </c>
      <c r="BN41" s="85" t="str">
        <f aca="false">IF($B41=BN$12,$U41,"")</f>
        <v/>
      </c>
      <c r="BO41" s="85" t="str">
        <f aca="false">IF($B41=BO$12,$U41,"")</f>
        <v/>
      </c>
      <c r="BP41" s="85" t="str">
        <f aca="false">IF($B41=BP$12,$U41,"")</f>
        <v/>
      </c>
      <c r="BQ41" s="85" t="str">
        <f aca="false">IF($B41=BQ$12,$U41,"")</f>
        <v/>
      </c>
      <c r="BR41" s="85" t="str">
        <f aca="false">IF($B41=BR$12,$U41,"")</f>
        <v/>
      </c>
      <c r="BS41" s="85" t="str">
        <f aca="false">IF($B41=BS$12,$U41,"")</f>
        <v/>
      </c>
      <c r="BT41" s="85" t="str">
        <f aca="false">IF($B41=BT$12,$U41,"")</f>
        <v/>
      </c>
      <c r="BU41" s="85" t="str">
        <f aca="false">IF($B41=BU$12,$U41,"")</f>
        <v/>
      </c>
      <c r="BV41" s="85" t="str">
        <f aca="false">IF($B41=BV$12,$U41,"")</f>
        <v/>
      </c>
      <c r="BW41" s="85" t="str">
        <f aca="false">IF($B41=BW$12,$U41,"")</f>
        <v/>
      </c>
      <c r="BX41" s="85" t="str">
        <f aca="false">IF($B41=BX$12,$U41,"")</f>
        <v/>
      </c>
      <c r="BY41" s="85" t="str">
        <f aca="false">IF($B41=BY$12,$U41,"")</f>
        <v/>
      </c>
      <c r="BZ41" s="85" t="str">
        <f aca="false">IF($B41=BZ$12,$U41,"")</f>
        <v/>
      </c>
      <c r="CA41" s="85" t="str">
        <f aca="false">IF($B41=CA$12,$U41,"")</f>
        <v/>
      </c>
      <c r="CB41" s="85" t="str">
        <f aca="false">IF($B41=CB$12,$U41,"")</f>
        <v/>
      </c>
      <c r="CC41" s="85" t="str">
        <f aca="false">IF($B41=CC$12,$U41,"")</f>
        <v/>
      </c>
      <c r="CD41" s="85" t="str">
        <f aca="false">IF($B41=CD$12,$U41,"")</f>
        <v/>
      </c>
      <c r="CE41" s="85" t="str">
        <f aca="false">IF($B41=CE$12,$U41,"")</f>
        <v/>
      </c>
      <c r="CF41" s="85" t="str">
        <f aca="false">IF($B41=CF$12,$U41,"")</f>
        <v/>
      </c>
      <c r="CG41" s="85" t="str">
        <f aca="false">IF($B41=CG$12,$U41,"")</f>
        <v/>
      </c>
      <c r="CH41" s="85" t="str">
        <f aca="false">IF($B41=CH$12,$U41,"")</f>
        <v/>
      </c>
      <c r="CI41" s="85" t="str">
        <f aca="false">IF($B41=CI$12,$U41,"")</f>
        <v/>
      </c>
      <c r="CJ41" s="85" t="str">
        <f aca="false">IF($B41=CJ$12,$U41,"")</f>
        <v/>
      </c>
      <c r="CK41" s="85" t="str">
        <f aca="false">IF($B41=CK$12,$U41,"")</f>
        <v/>
      </c>
      <c r="CL41" s="85" t="str">
        <f aca="false">IF($B41=CL$12,$U41,"")</f>
        <v/>
      </c>
      <c r="CM41" s="85" t="str">
        <f aca="false">IF($B41=CM$12,$U41,"")</f>
        <v/>
      </c>
      <c r="CN41" s="85" t="str">
        <f aca="false">IF($B41=CN$12,$U41,"")</f>
        <v/>
      </c>
      <c r="CO41" s="85" t="str">
        <f aca="false">IF($B41=CO$12,$U41,"")</f>
        <v/>
      </c>
      <c r="CP41" s="85" t="str">
        <f aca="false">IF($B41=CP$12,$U41,"")</f>
        <v/>
      </c>
      <c r="CQ41" s="85" t="str">
        <f aca="false">IF($B41=CQ$12,$U41,"")</f>
        <v/>
      </c>
      <c r="CR41" s="85" t="str">
        <f aca="false">IF($B41=CR$12,$U41,"")</f>
        <v/>
      </c>
      <c r="CS41" s="85" t="str">
        <f aca="false">IF($B41=CS$12,$U41,"")</f>
        <v/>
      </c>
      <c r="CT41" s="85" t="str">
        <f aca="false">IF($B41=CT$12,$U41,"")</f>
        <v/>
      </c>
      <c r="CU41" s="85" t="str">
        <f aca="false">IF($B41=CU$12,$U41,"")</f>
        <v/>
      </c>
      <c r="CV41" s="85" t="str">
        <f aca="false">IF($B41=CV$12,$U41,"")</f>
        <v/>
      </c>
      <c r="CW41" s="85" t="str">
        <f aca="false">IF($B41=CW$12,$U41,"")</f>
        <v/>
      </c>
      <c r="CX41" s="85" t="str">
        <f aca="false">IF($B41=CX$12,$U41,"")</f>
        <v/>
      </c>
      <c r="CY41" s="85" t="str">
        <f aca="false">IF($B41=CY$12,$U41,"")</f>
        <v/>
      </c>
      <c r="CZ41" s="85" t="str">
        <f aca="false">IF($B41=CZ$12,$U41,"")</f>
        <v/>
      </c>
      <c r="DA41" s="85" t="str">
        <f aca="false">IF($B41=DA$12,$U41,"")</f>
        <v/>
      </c>
      <c r="DB41" s="85" t="str">
        <f aca="false">IF($B41=DB$12,$U41,"")</f>
        <v/>
      </c>
      <c r="DC41" s="85" t="str">
        <f aca="false">IF($B41=DC$12,$U41,"")</f>
        <v/>
      </c>
      <c r="DD41" s="85" t="str">
        <f aca="false">IF($B41=DD$12,$U41,"")</f>
        <v/>
      </c>
      <c r="DE41" s="85" t="str">
        <f aca="false">IF($B41=DE$12,$U41,"")</f>
        <v/>
      </c>
      <c r="DF41" s="85" t="str">
        <f aca="false">IF($B41=DF$12,$U41,"")</f>
        <v/>
      </c>
      <c r="DG41" s="85" t="str">
        <f aca="false">IF($B41=DG$12,$U41,"")</f>
        <v/>
      </c>
      <c r="DH41" s="85" t="str">
        <f aca="false">IF($B41=DH$12,$U41,"")</f>
        <v/>
      </c>
      <c r="DI41" s="85" t="str">
        <f aca="false">IF($B41=DI$12,$U41,"")</f>
        <v/>
      </c>
      <c r="DJ41" s="85" t="str">
        <f aca="false">IF($B41=DJ$12,$U41,"")</f>
        <v/>
      </c>
      <c r="DK41" s="85" t="str">
        <f aca="false">IF($B41=DK$12,$U41,"")</f>
        <v/>
      </c>
      <c r="DL41" s="85" t="str">
        <f aca="false">IF($B41=DL$12,$U41,"")</f>
        <v/>
      </c>
      <c r="DM41" s="85" t="str">
        <f aca="false">IF($B41=DM$12,$U41,"")</f>
        <v/>
      </c>
      <c r="DN41" s="85" t="str">
        <f aca="false">IF($B41=DN$12,$U41,"")</f>
        <v/>
      </c>
      <c r="DO41" s="85" t="str">
        <f aca="false">IF($B41=DO$12,$U41,"")</f>
        <v/>
      </c>
      <c r="DP41" s="85" t="str">
        <f aca="false">IF($B41=DP$12,$U41,"")</f>
        <v/>
      </c>
      <c r="DQ41" s="85" t="str">
        <f aca="false">IF($B41=DQ$12,$U41,"")</f>
        <v/>
      </c>
      <c r="DR41" s="85" t="str">
        <f aca="false">IF($B41=DR$12,$U41,"")</f>
        <v/>
      </c>
      <c r="DS41" s="85" t="str">
        <f aca="false">IF($B41=DS$12,$U41,"")</f>
        <v/>
      </c>
      <c r="DT41" s="86" t="str">
        <f aca="false">IF($B41=DT$12,$U41,"")</f>
        <v/>
      </c>
      <c r="DU41" s="55"/>
      <c r="DV41" s="83"/>
      <c r="DW41" s="87" t="str">
        <f aca="false">IF($B41=DW$12,$O41,"")</f>
        <v/>
      </c>
      <c r="DX41" s="88" t="str">
        <f aca="false">IF($B41=DX$12,$O41,"")</f>
        <v/>
      </c>
      <c r="DY41" s="88" t="str">
        <f aca="false">IF($B41=DY$12,$O41,"")</f>
        <v/>
      </c>
      <c r="DZ41" s="88" t="str">
        <f aca="false">IF($B41=DZ$12,$O41,"")</f>
        <v/>
      </c>
      <c r="EA41" s="88" t="str">
        <f aca="false">IF($B41=EA$12,$O41,"")</f>
        <v/>
      </c>
      <c r="EB41" s="88" t="str">
        <f aca="false">IF($B41=EB$12,$O41,"")</f>
        <v/>
      </c>
      <c r="EC41" s="88" t="str">
        <f aca="false">IF($B41=EC$12,$O41,"")</f>
        <v/>
      </c>
      <c r="ED41" s="88" t="str">
        <f aca="false">IF($B41=ED$12,$O41,"")</f>
        <v/>
      </c>
      <c r="EE41" s="88" t="str">
        <f aca="false">IF($B41=EE$12,$O41,"")</f>
        <v/>
      </c>
      <c r="EF41" s="88" t="str">
        <f aca="false">IF($B41=EF$12,$O41,"")</f>
        <v/>
      </c>
      <c r="EG41" s="88" t="str">
        <f aca="false">IF($B41=EG$12,$O41,"")</f>
        <v/>
      </c>
      <c r="EH41" s="88" t="str">
        <f aca="false">IF($B41=EH$12,$O41,"")</f>
        <v/>
      </c>
      <c r="EI41" s="88" t="str">
        <f aca="false">IF($B41=EI$12,$O41,"")</f>
        <v/>
      </c>
      <c r="EJ41" s="88" t="str">
        <f aca="false">IF($B41=EJ$12,$O41,"")</f>
        <v/>
      </c>
      <c r="EK41" s="88" t="str">
        <f aca="false">IF($B41=EK$12,$O41,"")</f>
        <v/>
      </c>
      <c r="EL41" s="88" t="str">
        <f aca="false">IF($B41=EL$12,$O41,"")</f>
        <v/>
      </c>
      <c r="EM41" s="88" t="str">
        <f aca="false">IF($B41=EM$12,$O41,"")</f>
        <v/>
      </c>
      <c r="EN41" s="88" t="str">
        <f aca="false">IF($B41=EN$12,$O41,"")</f>
        <v/>
      </c>
      <c r="EO41" s="88" t="str">
        <f aca="false">IF($B41=EO$12,$O41,"")</f>
        <v/>
      </c>
      <c r="EP41" s="88" t="str">
        <f aca="false">IF($B41=EP$12,$O41,"")</f>
        <v/>
      </c>
      <c r="EQ41" s="88" t="str">
        <f aca="false">IF($B41=EQ$12,$O41,"")</f>
        <v/>
      </c>
      <c r="ER41" s="88" t="str">
        <f aca="false">IF($B41=ER$12,$O41,"")</f>
        <v/>
      </c>
      <c r="ES41" s="88" t="str">
        <f aca="false">IF($B41=ES$12,$O41,"")</f>
        <v/>
      </c>
      <c r="ET41" s="88" t="str">
        <f aca="false">IF($B41=ET$12,$O41,"")</f>
        <v/>
      </c>
      <c r="EU41" s="88" t="str">
        <f aca="false">IF($B41=EU$12,$O41,"")</f>
        <v/>
      </c>
      <c r="EV41" s="88" t="str">
        <f aca="false">IF($B41=EV$12,$O41,"")</f>
        <v/>
      </c>
      <c r="EW41" s="88" t="str">
        <f aca="false">IF($B41=EW$12,$O41,"")</f>
        <v/>
      </c>
      <c r="EX41" s="88" t="str">
        <f aca="false">IF($B41=EX$12,$O41,"")</f>
        <v/>
      </c>
      <c r="EY41" s="88" t="str">
        <f aca="false">IF($B41=EY$12,$O41,"")</f>
        <v/>
      </c>
      <c r="EZ41" s="88" t="str">
        <f aca="false">IF($B41=EZ$12,$O41,"")</f>
        <v/>
      </c>
      <c r="FA41" s="88" t="str">
        <f aca="false">IF($B41=FA$12,$O41,"")</f>
        <v/>
      </c>
      <c r="FB41" s="88" t="str">
        <f aca="false">IF($B41=FB$12,$O41,"")</f>
        <v/>
      </c>
      <c r="FC41" s="88" t="str">
        <f aca="false">IF($B41=FC$12,$O41,"")</f>
        <v/>
      </c>
      <c r="FD41" s="88" t="str">
        <f aca="false">IF($B41=FD$12,$O41,"")</f>
        <v/>
      </c>
      <c r="FE41" s="88" t="str">
        <f aca="false">IF($B41=FE$12,$O41,"")</f>
        <v/>
      </c>
      <c r="FF41" s="88" t="str">
        <f aca="false">IF($B41=FF$12,$O41,"")</f>
        <v/>
      </c>
      <c r="FG41" s="88" t="str">
        <f aca="false">IF($B41=FG$12,$O41,"")</f>
        <v/>
      </c>
      <c r="FH41" s="88" t="str">
        <f aca="false">IF($B41=FH$12,$O41,"")</f>
        <v/>
      </c>
      <c r="FI41" s="88" t="str">
        <f aca="false">IF($B41=FI$12,$O41,"")</f>
        <v/>
      </c>
      <c r="FJ41" s="88" t="str">
        <f aca="false">IF($B41=FJ$12,$O41,"")</f>
        <v/>
      </c>
      <c r="FK41" s="88" t="str">
        <f aca="false">IF($B41=FK$12,$O41,"")</f>
        <v/>
      </c>
      <c r="FL41" s="88" t="str">
        <f aca="false">IF($B41=FL$12,$O41,"")</f>
        <v/>
      </c>
      <c r="FM41" s="88" t="str">
        <f aca="false">IF($B41=FM$12,$O41,"")</f>
        <v/>
      </c>
      <c r="FN41" s="88" t="str">
        <f aca="false">IF($B41=FN$12,$O41,"")</f>
        <v/>
      </c>
      <c r="FO41" s="88" t="str">
        <f aca="false">IF($B41=FO$12,$O41,"")</f>
        <v/>
      </c>
      <c r="FP41" s="88" t="str">
        <f aca="false">IF($B41=FP$12,$O41,"")</f>
        <v/>
      </c>
      <c r="FQ41" s="88" t="str">
        <f aca="false">IF($B41=FQ$12,$O41,"")</f>
        <v/>
      </c>
      <c r="FR41" s="88" t="str">
        <f aca="false">IF($B41=FR$12,$O41,"")</f>
        <v/>
      </c>
      <c r="FS41" s="88" t="str">
        <f aca="false">IF($B41=FS$12,$O41,"")</f>
        <v/>
      </c>
      <c r="FT41" s="88" t="str">
        <f aca="false">IF($B41=FT$12,$O41,"")</f>
        <v/>
      </c>
      <c r="FU41" s="88" t="str">
        <f aca="false">IF($B41=FU$12,$O41,"")</f>
        <v/>
      </c>
      <c r="FV41" s="88" t="str">
        <f aca="false">IF($B41=FV$12,$O41,"")</f>
        <v/>
      </c>
      <c r="FW41" s="88" t="str">
        <f aca="false">IF($B41=FW$12,$O41,"")</f>
        <v/>
      </c>
      <c r="FX41" s="88" t="str">
        <f aca="false">IF($B41=FX$12,$O41,"")</f>
        <v/>
      </c>
      <c r="FY41" s="88" t="str">
        <f aca="false">IF($B41=FY$12,$O41,"")</f>
        <v/>
      </c>
      <c r="FZ41" s="88" t="str">
        <f aca="false">IF($B41=FZ$12,$O41,"")</f>
        <v/>
      </c>
      <c r="GA41" s="88" t="str">
        <f aca="false">IF($B41=GA$12,$O41,"")</f>
        <v/>
      </c>
      <c r="GB41" s="88" t="str">
        <f aca="false">IF($B41=GB$12,$O41,"")</f>
        <v/>
      </c>
      <c r="GC41" s="88" t="str">
        <f aca="false">IF($B41=GC$12,$O41,"")</f>
        <v/>
      </c>
      <c r="GD41" s="88" t="str">
        <f aca="false">IF($B41=GD$12,$O41,"")</f>
        <v/>
      </c>
      <c r="GE41" s="88" t="str">
        <f aca="false">IF($B41=GE$12,$O41,"")</f>
        <v/>
      </c>
      <c r="GF41" s="88" t="str">
        <f aca="false">IF($B41=GF$12,$O41,"")</f>
        <v/>
      </c>
      <c r="GG41" s="88" t="str">
        <f aca="false">IF($B41=GG$12,$O41,"")</f>
        <v/>
      </c>
      <c r="GH41" s="88" t="str">
        <f aca="false">IF($B41=GH$12,$O41,"")</f>
        <v/>
      </c>
      <c r="GI41" s="88" t="str">
        <f aca="false">IF($B41=GI$12,$O41,"")</f>
        <v/>
      </c>
      <c r="GJ41" s="88" t="str">
        <f aca="false">IF($B41=GJ$12,$O41,"")</f>
        <v/>
      </c>
      <c r="GK41" s="88" t="str">
        <f aca="false">IF($B41=GK$12,$O41,"")</f>
        <v/>
      </c>
      <c r="GL41" s="88" t="str">
        <f aca="false">IF($B41=GL$12,$O41,"")</f>
        <v/>
      </c>
      <c r="GM41" s="88" t="str">
        <f aca="false">IF($B41=GM$12,$O41,"")</f>
        <v/>
      </c>
      <c r="GN41" s="88" t="str">
        <f aca="false">IF($B41=GN$12,$O41,"")</f>
        <v/>
      </c>
      <c r="GO41" s="88" t="str">
        <f aca="false">IF($B41=GO$12,$O41,"")</f>
        <v/>
      </c>
      <c r="GP41" s="88" t="str">
        <f aca="false">IF($B41=GP$12,$O41,"")</f>
        <v/>
      </c>
      <c r="GQ41" s="88" t="str">
        <f aca="false">IF($B41=GQ$12,$O41,"")</f>
        <v/>
      </c>
      <c r="GR41" s="88" t="str">
        <f aca="false">IF($B41=GR$12,$O41,"")</f>
        <v/>
      </c>
      <c r="GS41" s="88" t="str">
        <f aca="false">IF($B41=GS$12,$O41,"")</f>
        <v/>
      </c>
      <c r="GT41" s="88" t="str">
        <f aca="false">IF($B41=GT$12,$O41,"")</f>
        <v/>
      </c>
      <c r="GU41" s="88" t="str">
        <f aca="false">IF($B41=GU$12,$O41,"")</f>
        <v/>
      </c>
      <c r="GV41" s="88" t="str">
        <f aca="false">IF($B41=GV$12,$O41,"")</f>
        <v/>
      </c>
      <c r="GW41" s="88" t="str">
        <f aca="false">IF($B41=GW$12,$O41,"")</f>
        <v/>
      </c>
      <c r="GX41" s="88" t="str">
        <f aca="false">IF($B41=GX$12,$O41,"")</f>
        <v/>
      </c>
      <c r="GY41" s="88" t="str">
        <f aca="false">IF($B41=GY$12,$O41,"")</f>
        <v/>
      </c>
      <c r="GZ41" s="88" t="str">
        <f aca="false">IF($B41=GZ$12,$O41,"")</f>
        <v/>
      </c>
      <c r="HA41" s="88" t="str">
        <f aca="false">IF($B41=HA$12,$O41,"")</f>
        <v/>
      </c>
      <c r="HB41" s="88" t="str">
        <f aca="false">IF($B41=HB$12,$O41,"")</f>
        <v/>
      </c>
      <c r="HC41" s="88" t="str">
        <f aca="false">IF($B41=HC$12,$O41,"")</f>
        <v/>
      </c>
      <c r="HD41" s="88" t="str">
        <f aca="false">IF($B41=HD$12,$O41,"")</f>
        <v/>
      </c>
      <c r="HE41" s="88" t="str">
        <f aca="false">IF($B41=HE$12,$O41,"")</f>
        <v/>
      </c>
      <c r="HF41" s="88" t="str">
        <f aca="false">IF($B41=HF$12,$O41,"")</f>
        <v/>
      </c>
      <c r="HG41" s="88" t="str">
        <f aca="false">IF($B41=HG$12,$O41,"")</f>
        <v/>
      </c>
      <c r="HH41" s="88" t="str">
        <f aca="false">IF($B41=HH$12,$O41,"")</f>
        <v/>
      </c>
      <c r="HI41" s="88" t="str">
        <f aca="false">IF($B41=HI$12,$O41,"")</f>
        <v/>
      </c>
      <c r="HJ41" s="88" t="str">
        <f aca="false">IF($B41=HJ$12,$O41,"")</f>
        <v/>
      </c>
      <c r="HK41" s="88" t="str">
        <f aca="false">IF($B41=HK$12,$O41,"")</f>
        <v/>
      </c>
      <c r="HL41" s="88" t="str">
        <f aca="false">IF($B41=HL$12,$O41,"")</f>
        <v/>
      </c>
      <c r="HM41" s="88" t="str">
        <f aca="false">IF($B41=HM$12,$O41,"")</f>
        <v/>
      </c>
      <c r="HN41" s="88" t="str">
        <f aca="false">IF($B41=HN$12,$O41,"")</f>
        <v/>
      </c>
      <c r="HO41" s="88" t="str">
        <f aca="false">IF($B41=HO$12,$O41,"")</f>
        <v/>
      </c>
      <c r="HP41" s="88" t="str">
        <f aca="false">IF($B41=HP$12,$O41,"")</f>
        <v/>
      </c>
      <c r="HQ41" s="88" t="str">
        <f aca="false">IF($B41=HQ$12,$O41,"")</f>
        <v/>
      </c>
      <c r="HR41" s="89" t="str">
        <f aca="false">IF($B41=HR$12,$O41,"")</f>
        <v/>
      </c>
    </row>
    <row r="42" customFormat="false" ht="10.5" hidden="false" customHeight="true" outlineLevel="0" collapsed="false">
      <c r="A42" s="73"/>
      <c r="B42" s="74"/>
      <c r="C42" s="75" t="str">
        <f aca="false">IF(A42=0,"",VLOOKUP(A42,[3]CO!$A$3:$F$5311,2,0))</f>
        <v/>
      </c>
      <c r="D42" s="76"/>
      <c r="E42" s="76"/>
      <c r="F42" s="76"/>
      <c r="G42" s="77" t="str">
        <f aca="false">IF(A42=0,"",VLOOKUP(A42,[3]CO!$A$3:$F$5311,3,0))</f>
        <v/>
      </c>
      <c r="H42" s="76"/>
      <c r="I42" s="78"/>
      <c r="J42" s="78"/>
      <c r="K42" s="78"/>
      <c r="L42" s="78"/>
      <c r="M42" s="79" t="str">
        <f aca="false">IF(L42=0,"",PRODUCT(I42:L42))</f>
        <v/>
      </c>
      <c r="N42" s="79" t="str">
        <f aca="false">IF(B42=0,"",IF(H42="M",HLOOKUP(B42,$Y$12:$DT$13,2),IF(A42=0,"",VLOOKUP(A42,[3]CO!$A$3:$F$5311,4,0))))</f>
        <v/>
      </c>
      <c r="O42" s="79" t="str">
        <f aca="false">IF(L42=0,"",PRODUCT(M42:N42))</f>
        <v/>
      </c>
      <c r="P42" s="80"/>
      <c r="Q42" s="81" t="str">
        <f aca="false">IF(P42=0,"",(HLOOKUP(P42,$DW$12:$HR$13,2)))</f>
        <v/>
      </c>
      <c r="R42" s="82" t="str">
        <f aca="false">IF(S42=0,"",IF(OR(G42="PEON",G42="OF",G42="JARD",G42="CARP",G42="MAESTRO",G42="SOLD",G42="BGRO",G42="CHOFER",G42="AYTE",G42="S.INTTE.",G42="ASEO",G42="P.PISOS",G42="VELADOR",G42="RESID",G42="PINTOR",G42="ELECT",G42="AZULE",G42="AUX CONT.",G42="SECRETARIA",G42="AUXILIAR ADMTVO.",G42="ARQUITECTO",G42="DIBUJANTE",G42="AUX. DE RESIDENTE"),VLOOKUP(B42,P$14:Q$131,2),"")*S42)</f>
        <v/>
      </c>
      <c r="S42" s="5"/>
      <c r="T42" s="65" t="str">
        <f aca="false">IF(A42=0,"",VLOOKUP(A42,[3]CO!$A$3:$F$5302,5,0))</f>
        <v/>
      </c>
      <c r="U42" s="55" t="n">
        <f aca="false">IF(T42=1,O42*0.1,)</f>
        <v>0</v>
      </c>
      <c r="V42" s="66"/>
      <c r="W42" s="83"/>
      <c r="X42" s="83"/>
      <c r="Y42" s="84" t="str">
        <f aca="false">IF($B42=Y$12,$U42,"")</f>
        <v/>
      </c>
      <c r="Z42" s="85" t="str">
        <f aca="false">IF($B42=Z$12,$U42,"")</f>
        <v/>
      </c>
      <c r="AA42" s="85" t="str">
        <f aca="false">IF($B42=AA$12,$U42,"")</f>
        <v/>
      </c>
      <c r="AB42" s="85" t="str">
        <f aca="false">IF($B42=AB$12,$U42,"")</f>
        <v/>
      </c>
      <c r="AC42" s="85" t="str">
        <f aca="false">IF($B42=AC$12,$U42,"")</f>
        <v/>
      </c>
      <c r="AD42" s="85" t="str">
        <f aca="false">IF($B42=AD$12,$U42,"")</f>
        <v/>
      </c>
      <c r="AE42" s="85" t="str">
        <f aca="false">IF($B42=AE$12,$U42,"")</f>
        <v/>
      </c>
      <c r="AF42" s="85" t="str">
        <f aca="false">IF($B42=AF$12,$U42,"")</f>
        <v/>
      </c>
      <c r="AG42" s="85" t="str">
        <f aca="false">IF($B42=AG$12,$U42,"")</f>
        <v/>
      </c>
      <c r="AH42" s="85" t="str">
        <f aca="false">IF($B42=AH$12,$U42,"")</f>
        <v/>
      </c>
      <c r="AI42" s="85" t="str">
        <f aca="false">IF($B42=AI$12,$U42,"")</f>
        <v/>
      </c>
      <c r="AJ42" s="85" t="str">
        <f aca="false">IF($B42=AJ$12,$U42,"")</f>
        <v/>
      </c>
      <c r="AK42" s="85" t="str">
        <f aca="false">IF($B42=AK$12,$U42,"")</f>
        <v/>
      </c>
      <c r="AL42" s="85" t="str">
        <f aca="false">IF($B42=AL$12,$U42,"")</f>
        <v/>
      </c>
      <c r="AM42" s="85" t="str">
        <f aca="false">IF($B42=AM$12,$U42,"")</f>
        <v/>
      </c>
      <c r="AN42" s="85" t="str">
        <f aca="false">IF($B42=AN$12,$U42,"")</f>
        <v/>
      </c>
      <c r="AO42" s="85" t="str">
        <f aca="false">IF($B42=AO$12,$U42,"")</f>
        <v/>
      </c>
      <c r="AP42" s="85" t="str">
        <f aca="false">IF($B42=AP$12,$U42,"")</f>
        <v/>
      </c>
      <c r="AQ42" s="85" t="str">
        <f aca="false">IF($B42=AQ$12,$U42,"")</f>
        <v/>
      </c>
      <c r="AR42" s="85" t="str">
        <f aca="false">IF($B42=AR$12,$U42,"")</f>
        <v/>
      </c>
      <c r="AS42" s="85" t="str">
        <f aca="false">IF($B42=AS$12,$U42,"")</f>
        <v/>
      </c>
      <c r="AT42" s="85" t="str">
        <f aca="false">IF($B42=AT$12,$U42,"")</f>
        <v/>
      </c>
      <c r="AU42" s="85" t="str">
        <f aca="false">IF($B42=AU$12,$U42,"")</f>
        <v/>
      </c>
      <c r="AV42" s="85" t="str">
        <f aca="false">IF($B42=AV$12,$U42,"")</f>
        <v/>
      </c>
      <c r="AW42" s="85" t="str">
        <f aca="false">IF($B42=AW$12,$U42,"")</f>
        <v/>
      </c>
      <c r="AX42" s="85" t="str">
        <f aca="false">IF($B42=AX$12,$U42,"")</f>
        <v/>
      </c>
      <c r="AY42" s="85" t="str">
        <f aca="false">IF($B42=AY$12,$U42,"")</f>
        <v/>
      </c>
      <c r="AZ42" s="85" t="str">
        <f aca="false">IF($B42=AZ$12,$U42,"")</f>
        <v/>
      </c>
      <c r="BA42" s="85" t="str">
        <f aca="false">IF($B42=BA$12,$U42,"")</f>
        <v/>
      </c>
      <c r="BB42" s="85" t="str">
        <f aca="false">IF($B42=BB$12,$U42,"")</f>
        <v/>
      </c>
      <c r="BC42" s="85" t="str">
        <f aca="false">IF($B42=BC$12,$U42,"")</f>
        <v/>
      </c>
      <c r="BD42" s="85" t="str">
        <f aca="false">IF($B42=BD$12,$U42,"")</f>
        <v/>
      </c>
      <c r="BE42" s="85" t="str">
        <f aca="false">IF($B42=BE$12,$U42,"")</f>
        <v/>
      </c>
      <c r="BF42" s="85" t="str">
        <f aca="false">IF($B42=BF$12,$U42,"")</f>
        <v/>
      </c>
      <c r="BG42" s="85" t="str">
        <f aca="false">IF($B42=BG$12,$U42,"")</f>
        <v/>
      </c>
      <c r="BH42" s="85" t="str">
        <f aca="false">IF($B42=BH$12,$U42,"")</f>
        <v/>
      </c>
      <c r="BI42" s="85" t="str">
        <f aca="false">IF($B42=BI$12,$U42,"")</f>
        <v/>
      </c>
      <c r="BJ42" s="85" t="str">
        <f aca="false">IF($B42=BJ$12,$U42,"")</f>
        <v/>
      </c>
      <c r="BK42" s="85" t="str">
        <f aca="false">IF($B42=BK$12,$U42,"")</f>
        <v/>
      </c>
      <c r="BL42" s="85" t="str">
        <f aca="false">IF($B42=BL$12,$U42,"")</f>
        <v/>
      </c>
      <c r="BM42" s="85" t="str">
        <f aca="false">IF($B42=BM$12,$U42,"")</f>
        <v/>
      </c>
      <c r="BN42" s="85" t="str">
        <f aca="false">IF($B42=BN$12,$U42,"")</f>
        <v/>
      </c>
      <c r="BO42" s="85" t="str">
        <f aca="false">IF($B42=BO$12,$U42,"")</f>
        <v/>
      </c>
      <c r="BP42" s="85" t="str">
        <f aca="false">IF($B42=BP$12,$U42,"")</f>
        <v/>
      </c>
      <c r="BQ42" s="85" t="str">
        <f aca="false">IF($B42=BQ$12,$U42,"")</f>
        <v/>
      </c>
      <c r="BR42" s="85" t="str">
        <f aca="false">IF($B42=BR$12,$U42,"")</f>
        <v/>
      </c>
      <c r="BS42" s="85" t="str">
        <f aca="false">IF($B42=BS$12,$U42,"")</f>
        <v/>
      </c>
      <c r="BT42" s="85" t="str">
        <f aca="false">IF($B42=BT$12,$U42,"")</f>
        <v/>
      </c>
      <c r="BU42" s="85" t="str">
        <f aca="false">IF($B42=BU$12,$U42,"")</f>
        <v/>
      </c>
      <c r="BV42" s="85" t="str">
        <f aca="false">IF($B42=BV$12,$U42,"")</f>
        <v/>
      </c>
      <c r="BW42" s="85" t="str">
        <f aca="false">IF($B42=BW$12,$U42,"")</f>
        <v/>
      </c>
      <c r="BX42" s="85" t="str">
        <f aca="false">IF($B42=BX$12,$U42,"")</f>
        <v/>
      </c>
      <c r="BY42" s="85" t="str">
        <f aca="false">IF($B42=BY$12,$U42,"")</f>
        <v/>
      </c>
      <c r="BZ42" s="85" t="str">
        <f aca="false">IF($B42=BZ$12,$U42,"")</f>
        <v/>
      </c>
      <c r="CA42" s="85" t="str">
        <f aca="false">IF($B42=CA$12,$U42,"")</f>
        <v/>
      </c>
      <c r="CB42" s="85" t="str">
        <f aca="false">IF($B42=CB$12,$U42,"")</f>
        <v/>
      </c>
      <c r="CC42" s="85" t="str">
        <f aca="false">IF($B42=CC$12,$U42,"")</f>
        <v/>
      </c>
      <c r="CD42" s="85" t="str">
        <f aca="false">IF($B42=CD$12,$U42,"")</f>
        <v/>
      </c>
      <c r="CE42" s="85" t="str">
        <f aca="false">IF($B42=CE$12,$U42,"")</f>
        <v/>
      </c>
      <c r="CF42" s="85" t="str">
        <f aca="false">IF($B42=CF$12,$U42,"")</f>
        <v/>
      </c>
      <c r="CG42" s="85" t="str">
        <f aca="false">IF($B42=CG$12,$U42,"")</f>
        <v/>
      </c>
      <c r="CH42" s="85" t="str">
        <f aca="false">IF($B42=CH$12,$U42,"")</f>
        <v/>
      </c>
      <c r="CI42" s="85" t="str">
        <f aca="false">IF($B42=CI$12,$U42,"")</f>
        <v/>
      </c>
      <c r="CJ42" s="85" t="str">
        <f aca="false">IF($B42=CJ$12,$U42,"")</f>
        <v/>
      </c>
      <c r="CK42" s="85" t="str">
        <f aca="false">IF($B42=CK$12,$U42,"")</f>
        <v/>
      </c>
      <c r="CL42" s="85" t="str">
        <f aca="false">IF($B42=CL$12,$U42,"")</f>
        <v/>
      </c>
      <c r="CM42" s="85" t="str">
        <f aca="false">IF($B42=CM$12,$U42,"")</f>
        <v/>
      </c>
      <c r="CN42" s="85" t="str">
        <f aca="false">IF($B42=CN$12,$U42,"")</f>
        <v/>
      </c>
      <c r="CO42" s="85" t="str">
        <f aca="false">IF($B42=CO$12,$U42,"")</f>
        <v/>
      </c>
      <c r="CP42" s="85" t="str">
        <f aca="false">IF($B42=CP$12,$U42,"")</f>
        <v/>
      </c>
      <c r="CQ42" s="85" t="str">
        <f aca="false">IF($B42=CQ$12,$U42,"")</f>
        <v/>
      </c>
      <c r="CR42" s="85" t="str">
        <f aca="false">IF($B42=CR$12,$U42,"")</f>
        <v/>
      </c>
      <c r="CS42" s="85" t="str">
        <f aca="false">IF($B42=CS$12,$U42,"")</f>
        <v/>
      </c>
      <c r="CT42" s="85" t="str">
        <f aca="false">IF($B42=CT$12,$U42,"")</f>
        <v/>
      </c>
      <c r="CU42" s="85" t="str">
        <f aca="false">IF($B42=CU$12,$U42,"")</f>
        <v/>
      </c>
      <c r="CV42" s="85" t="str">
        <f aca="false">IF($B42=CV$12,$U42,"")</f>
        <v/>
      </c>
      <c r="CW42" s="85" t="str">
        <f aca="false">IF($B42=CW$12,$U42,"")</f>
        <v/>
      </c>
      <c r="CX42" s="85" t="str">
        <f aca="false">IF($B42=CX$12,$U42,"")</f>
        <v/>
      </c>
      <c r="CY42" s="85" t="str">
        <f aca="false">IF($B42=CY$12,$U42,"")</f>
        <v/>
      </c>
      <c r="CZ42" s="85" t="str">
        <f aca="false">IF($B42=CZ$12,$U42,"")</f>
        <v/>
      </c>
      <c r="DA42" s="85" t="str">
        <f aca="false">IF($B42=DA$12,$U42,"")</f>
        <v/>
      </c>
      <c r="DB42" s="85" t="str">
        <f aca="false">IF($B42=DB$12,$U42,"")</f>
        <v/>
      </c>
      <c r="DC42" s="85" t="str">
        <f aca="false">IF($B42=DC$12,$U42,"")</f>
        <v/>
      </c>
      <c r="DD42" s="85" t="str">
        <f aca="false">IF($B42=DD$12,$U42,"")</f>
        <v/>
      </c>
      <c r="DE42" s="85" t="str">
        <f aca="false">IF($B42=DE$12,$U42,"")</f>
        <v/>
      </c>
      <c r="DF42" s="85" t="str">
        <f aca="false">IF($B42=DF$12,$U42,"")</f>
        <v/>
      </c>
      <c r="DG42" s="85" t="str">
        <f aca="false">IF($B42=DG$12,$U42,"")</f>
        <v/>
      </c>
      <c r="DH42" s="85" t="str">
        <f aca="false">IF($B42=DH$12,$U42,"")</f>
        <v/>
      </c>
      <c r="DI42" s="85" t="str">
        <f aca="false">IF($B42=DI$12,$U42,"")</f>
        <v/>
      </c>
      <c r="DJ42" s="85" t="str">
        <f aca="false">IF($B42=DJ$12,$U42,"")</f>
        <v/>
      </c>
      <c r="DK42" s="85" t="str">
        <f aca="false">IF($B42=DK$12,$U42,"")</f>
        <v/>
      </c>
      <c r="DL42" s="85" t="str">
        <f aca="false">IF($B42=DL$12,$U42,"")</f>
        <v/>
      </c>
      <c r="DM42" s="85" t="str">
        <f aca="false">IF($B42=DM$12,$U42,"")</f>
        <v/>
      </c>
      <c r="DN42" s="85" t="str">
        <f aca="false">IF($B42=DN$12,$U42,"")</f>
        <v/>
      </c>
      <c r="DO42" s="85" t="str">
        <f aca="false">IF($B42=DO$12,$U42,"")</f>
        <v/>
      </c>
      <c r="DP42" s="85" t="str">
        <f aca="false">IF($B42=DP$12,$U42,"")</f>
        <v/>
      </c>
      <c r="DQ42" s="85" t="str">
        <f aca="false">IF($B42=DQ$12,$U42,"")</f>
        <v/>
      </c>
      <c r="DR42" s="85" t="str">
        <f aca="false">IF($B42=DR$12,$U42,"")</f>
        <v/>
      </c>
      <c r="DS42" s="85" t="str">
        <f aca="false">IF($B42=DS$12,$U42,"")</f>
        <v/>
      </c>
      <c r="DT42" s="86" t="str">
        <f aca="false">IF($B42=DT$12,$U42,"")</f>
        <v/>
      </c>
      <c r="DU42" s="55"/>
      <c r="DV42" s="83"/>
      <c r="DW42" s="87" t="str">
        <f aca="false">IF($B42=DW$12,$O42,"")</f>
        <v/>
      </c>
      <c r="DX42" s="88" t="str">
        <f aca="false">IF($B42=DX$12,$O42,"")</f>
        <v/>
      </c>
      <c r="DY42" s="88" t="str">
        <f aca="false">IF($B42=DY$12,$O42,"")</f>
        <v/>
      </c>
      <c r="DZ42" s="88" t="str">
        <f aca="false">IF($B42=DZ$12,$O42,"")</f>
        <v/>
      </c>
      <c r="EA42" s="88" t="str">
        <f aca="false">IF($B42=EA$12,$O42,"")</f>
        <v/>
      </c>
      <c r="EB42" s="88" t="str">
        <f aca="false">IF($B42=EB$12,$O42,"")</f>
        <v/>
      </c>
      <c r="EC42" s="88" t="str">
        <f aca="false">IF($B42=EC$12,$O42,"")</f>
        <v/>
      </c>
      <c r="ED42" s="88" t="str">
        <f aca="false">IF($B42=ED$12,$O42,"")</f>
        <v/>
      </c>
      <c r="EE42" s="88" t="str">
        <f aca="false">IF($B42=EE$12,$O42,"")</f>
        <v/>
      </c>
      <c r="EF42" s="88" t="str">
        <f aca="false">IF($B42=EF$12,$O42,"")</f>
        <v/>
      </c>
      <c r="EG42" s="88" t="str">
        <f aca="false">IF($B42=EG$12,$O42,"")</f>
        <v/>
      </c>
      <c r="EH42" s="88" t="str">
        <f aca="false">IF($B42=EH$12,$O42,"")</f>
        <v/>
      </c>
      <c r="EI42" s="88" t="str">
        <f aca="false">IF($B42=EI$12,$O42,"")</f>
        <v/>
      </c>
      <c r="EJ42" s="88" t="str">
        <f aca="false">IF($B42=EJ$12,$O42,"")</f>
        <v/>
      </c>
      <c r="EK42" s="88" t="str">
        <f aca="false">IF($B42=EK$12,$O42,"")</f>
        <v/>
      </c>
      <c r="EL42" s="88" t="str">
        <f aca="false">IF($B42=EL$12,$O42,"")</f>
        <v/>
      </c>
      <c r="EM42" s="88" t="str">
        <f aca="false">IF($B42=EM$12,$O42,"")</f>
        <v/>
      </c>
      <c r="EN42" s="88" t="str">
        <f aca="false">IF($B42=EN$12,$O42,"")</f>
        <v/>
      </c>
      <c r="EO42" s="88" t="str">
        <f aca="false">IF($B42=EO$12,$O42,"")</f>
        <v/>
      </c>
      <c r="EP42" s="88" t="str">
        <f aca="false">IF($B42=EP$12,$O42,"")</f>
        <v/>
      </c>
      <c r="EQ42" s="88" t="str">
        <f aca="false">IF($B42=EQ$12,$O42,"")</f>
        <v/>
      </c>
      <c r="ER42" s="88" t="str">
        <f aca="false">IF($B42=ER$12,$O42,"")</f>
        <v/>
      </c>
      <c r="ES42" s="88" t="str">
        <f aca="false">IF($B42=ES$12,$O42,"")</f>
        <v/>
      </c>
      <c r="ET42" s="88" t="str">
        <f aca="false">IF($B42=ET$12,$O42,"")</f>
        <v/>
      </c>
      <c r="EU42" s="88" t="str">
        <f aca="false">IF($B42=EU$12,$O42,"")</f>
        <v/>
      </c>
      <c r="EV42" s="88" t="str">
        <f aca="false">IF($B42=EV$12,$O42,"")</f>
        <v/>
      </c>
      <c r="EW42" s="88" t="str">
        <f aca="false">IF($B42=EW$12,$O42,"")</f>
        <v/>
      </c>
      <c r="EX42" s="88" t="str">
        <f aca="false">IF($B42=EX$12,$O42,"")</f>
        <v/>
      </c>
      <c r="EY42" s="88" t="str">
        <f aca="false">IF($B42=EY$12,$O42,"")</f>
        <v/>
      </c>
      <c r="EZ42" s="88" t="str">
        <f aca="false">IF($B42=EZ$12,$O42,"")</f>
        <v/>
      </c>
      <c r="FA42" s="88" t="str">
        <f aca="false">IF($B42=FA$12,$O42,"")</f>
        <v/>
      </c>
      <c r="FB42" s="88" t="str">
        <f aca="false">IF($B42=FB$12,$O42,"")</f>
        <v/>
      </c>
      <c r="FC42" s="88" t="str">
        <f aca="false">IF($B42=FC$12,$O42,"")</f>
        <v/>
      </c>
      <c r="FD42" s="88" t="str">
        <f aca="false">IF($B42=FD$12,$O42,"")</f>
        <v/>
      </c>
      <c r="FE42" s="88" t="str">
        <f aca="false">IF($B42=FE$12,$O42,"")</f>
        <v/>
      </c>
      <c r="FF42" s="88" t="str">
        <f aca="false">IF($B42=FF$12,$O42,"")</f>
        <v/>
      </c>
      <c r="FG42" s="88" t="str">
        <f aca="false">IF($B42=FG$12,$O42,"")</f>
        <v/>
      </c>
      <c r="FH42" s="88" t="str">
        <f aca="false">IF($B42=FH$12,$O42,"")</f>
        <v/>
      </c>
      <c r="FI42" s="88" t="str">
        <f aca="false">IF($B42=FI$12,$O42,"")</f>
        <v/>
      </c>
      <c r="FJ42" s="88" t="str">
        <f aca="false">IF($B42=FJ$12,$O42,"")</f>
        <v/>
      </c>
      <c r="FK42" s="88" t="str">
        <f aca="false">IF($B42=FK$12,$O42,"")</f>
        <v/>
      </c>
      <c r="FL42" s="88" t="str">
        <f aca="false">IF($B42=FL$12,$O42,"")</f>
        <v/>
      </c>
      <c r="FM42" s="88" t="str">
        <f aca="false">IF($B42=FM$12,$O42,"")</f>
        <v/>
      </c>
      <c r="FN42" s="88" t="str">
        <f aca="false">IF($B42=FN$12,$O42,"")</f>
        <v/>
      </c>
      <c r="FO42" s="88" t="str">
        <f aca="false">IF($B42=FO$12,$O42,"")</f>
        <v/>
      </c>
      <c r="FP42" s="88" t="str">
        <f aca="false">IF($B42=FP$12,$O42,"")</f>
        <v/>
      </c>
      <c r="FQ42" s="88" t="str">
        <f aca="false">IF($B42=FQ$12,$O42,"")</f>
        <v/>
      </c>
      <c r="FR42" s="88" t="str">
        <f aca="false">IF($B42=FR$12,$O42,"")</f>
        <v/>
      </c>
      <c r="FS42" s="88" t="str">
        <f aca="false">IF($B42=FS$12,$O42,"")</f>
        <v/>
      </c>
      <c r="FT42" s="88" t="str">
        <f aca="false">IF($B42=FT$12,$O42,"")</f>
        <v/>
      </c>
      <c r="FU42" s="88" t="str">
        <f aca="false">IF($B42=FU$12,$O42,"")</f>
        <v/>
      </c>
      <c r="FV42" s="88" t="str">
        <f aca="false">IF($B42=FV$12,$O42,"")</f>
        <v/>
      </c>
      <c r="FW42" s="88" t="str">
        <f aca="false">IF($B42=FW$12,$O42,"")</f>
        <v/>
      </c>
      <c r="FX42" s="88" t="str">
        <f aca="false">IF($B42=FX$12,$O42,"")</f>
        <v/>
      </c>
      <c r="FY42" s="88" t="str">
        <f aca="false">IF($B42=FY$12,$O42,"")</f>
        <v/>
      </c>
      <c r="FZ42" s="88" t="str">
        <f aca="false">IF($B42=FZ$12,$O42,"")</f>
        <v/>
      </c>
      <c r="GA42" s="88" t="str">
        <f aca="false">IF($B42=GA$12,$O42,"")</f>
        <v/>
      </c>
      <c r="GB42" s="88" t="str">
        <f aca="false">IF($B42=GB$12,$O42,"")</f>
        <v/>
      </c>
      <c r="GC42" s="88" t="str">
        <f aca="false">IF($B42=GC$12,$O42,"")</f>
        <v/>
      </c>
      <c r="GD42" s="88" t="str">
        <f aca="false">IF($B42=GD$12,$O42,"")</f>
        <v/>
      </c>
      <c r="GE42" s="88" t="str">
        <f aca="false">IF($B42=GE$12,$O42,"")</f>
        <v/>
      </c>
      <c r="GF42" s="88" t="str">
        <f aca="false">IF($B42=GF$12,$O42,"")</f>
        <v/>
      </c>
      <c r="GG42" s="88" t="str">
        <f aca="false">IF($B42=GG$12,$O42,"")</f>
        <v/>
      </c>
      <c r="GH42" s="88" t="str">
        <f aca="false">IF($B42=GH$12,$O42,"")</f>
        <v/>
      </c>
      <c r="GI42" s="88" t="str">
        <f aca="false">IF($B42=GI$12,$O42,"")</f>
        <v/>
      </c>
      <c r="GJ42" s="88" t="str">
        <f aca="false">IF($B42=GJ$12,$O42,"")</f>
        <v/>
      </c>
      <c r="GK42" s="88" t="str">
        <f aca="false">IF($B42=GK$12,$O42,"")</f>
        <v/>
      </c>
      <c r="GL42" s="88" t="str">
        <f aca="false">IF($B42=GL$12,$O42,"")</f>
        <v/>
      </c>
      <c r="GM42" s="88" t="str">
        <f aca="false">IF($B42=GM$12,$O42,"")</f>
        <v/>
      </c>
      <c r="GN42" s="88" t="str">
        <f aca="false">IF($B42=GN$12,$O42,"")</f>
        <v/>
      </c>
      <c r="GO42" s="88" t="str">
        <f aca="false">IF($B42=GO$12,$O42,"")</f>
        <v/>
      </c>
      <c r="GP42" s="88" t="str">
        <f aca="false">IF($B42=GP$12,$O42,"")</f>
        <v/>
      </c>
      <c r="GQ42" s="88" t="str">
        <f aca="false">IF($B42=GQ$12,$O42,"")</f>
        <v/>
      </c>
      <c r="GR42" s="88" t="str">
        <f aca="false">IF($B42=GR$12,$O42,"")</f>
        <v/>
      </c>
      <c r="GS42" s="88" t="str">
        <f aca="false">IF($B42=GS$12,$O42,"")</f>
        <v/>
      </c>
      <c r="GT42" s="88" t="str">
        <f aca="false">IF($B42=GT$12,$O42,"")</f>
        <v/>
      </c>
      <c r="GU42" s="88" t="str">
        <f aca="false">IF($B42=GU$12,$O42,"")</f>
        <v/>
      </c>
      <c r="GV42" s="88" t="str">
        <f aca="false">IF($B42=GV$12,$O42,"")</f>
        <v/>
      </c>
      <c r="GW42" s="88" t="str">
        <f aca="false">IF($B42=GW$12,$O42,"")</f>
        <v/>
      </c>
      <c r="GX42" s="88" t="str">
        <f aca="false">IF($B42=GX$12,$O42,"")</f>
        <v/>
      </c>
      <c r="GY42" s="88" t="str">
        <f aca="false">IF($B42=GY$12,$O42,"")</f>
        <v/>
      </c>
      <c r="GZ42" s="88" t="str">
        <f aca="false">IF($B42=GZ$12,$O42,"")</f>
        <v/>
      </c>
      <c r="HA42" s="88" t="str">
        <f aca="false">IF($B42=HA$12,$O42,"")</f>
        <v/>
      </c>
      <c r="HB42" s="88" t="str">
        <f aca="false">IF($B42=HB$12,$O42,"")</f>
        <v/>
      </c>
      <c r="HC42" s="88" t="str">
        <f aca="false">IF($B42=HC$12,$O42,"")</f>
        <v/>
      </c>
      <c r="HD42" s="88" t="str">
        <f aca="false">IF($B42=HD$12,$O42,"")</f>
        <v/>
      </c>
      <c r="HE42" s="88" t="str">
        <f aca="false">IF($B42=HE$12,$O42,"")</f>
        <v/>
      </c>
      <c r="HF42" s="88" t="str">
        <f aca="false">IF($B42=HF$12,$O42,"")</f>
        <v/>
      </c>
      <c r="HG42" s="88" t="str">
        <f aca="false">IF($B42=HG$12,$O42,"")</f>
        <v/>
      </c>
      <c r="HH42" s="88" t="str">
        <f aca="false">IF($B42=HH$12,$O42,"")</f>
        <v/>
      </c>
      <c r="HI42" s="88" t="str">
        <f aca="false">IF($B42=HI$12,$O42,"")</f>
        <v/>
      </c>
      <c r="HJ42" s="88" t="str">
        <f aca="false">IF($B42=HJ$12,$O42,"")</f>
        <v/>
      </c>
      <c r="HK42" s="88" t="str">
        <f aca="false">IF($B42=HK$12,$O42,"")</f>
        <v/>
      </c>
      <c r="HL42" s="88" t="str">
        <f aca="false">IF($B42=HL$12,$O42,"")</f>
        <v/>
      </c>
      <c r="HM42" s="88" t="str">
        <f aca="false">IF($B42=HM$12,$O42,"")</f>
        <v/>
      </c>
      <c r="HN42" s="88" t="str">
        <f aca="false">IF($B42=HN$12,$O42,"")</f>
        <v/>
      </c>
      <c r="HO42" s="88" t="str">
        <f aca="false">IF($B42=HO$12,$O42,"")</f>
        <v/>
      </c>
      <c r="HP42" s="88" t="str">
        <f aca="false">IF($B42=HP$12,$O42,"")</f>
        <v/>
      </c>
      <c r="HQ42" s="88" t="str">
        <f aca="false">IF($B42=HQ$12,$O42,"")</f>
        <v/>
      </c>
      <c r="HR42" s="89" t="str">
        <f aca="false">IF($B42=HR$12,$O42,"")</f>
        <v/>
      </c>
    </row>
    <row r="43" customFormat="false" ht="10.5" hidden="false" customHeight="true" outlineLevel="0" collapsed="false">
      <c r="A43" s="73"/>
      <c r="B43" s="74"/>
      <c r="C43" s="75" t="str">
        <f aca="false">IF(A43=0,"",VLOOKUP(A43,[3]CO!$A$3:$F$5311,2,0))</f>
        <v/>
      </c>
      <c r="D43" s="76"/>
      <c r="E43" s="76"/>
      <c r="F43" s="76"/>
      <c r="G43" s="77" t="str">
        <f aca="false">IF(A43=0,"",VLOOKUP(A43,[3]CO!$A$3:$F$5311,3,0))</f>
        <v/>
      </c>
      <c r="H43" s="76"/>
      <c r="I43" s="78"/>
      <c r="J43" s="78"/>
      <c r="K43" s="78"/>
      <c r="L43" s="78"/>
      <c r="M43" s="79" t="str">
        <f aca="false">IF(L43=0,"",PRODUCT(I43:L43))</f>
        <v/>
      </c>
      <c r="N43" s="79" t="str">
        <f aca="false">IF(B43=0,"",IF(H43="M",HLOOKUP(B43,$Y$12:$DT$13,2),IF(A43=0,"",VLOOKUP(A43,[3]CO!$A$3:$F$5311,4,0))))</f>
        <v/>
      </c>
      <c r="O43" s="79" t="str">
        <f aca="false">IF(L43=0,"",PRODUCT(M43:N43))</f>
        <v/>
      </c>
      <c r="P43" s="80"/>
      <c r="Q43" s="81" t="str">
        <f aca="false">IF(P43=0,"",(HLOOKUP(P43,$DW$12:$HR$13,2)))</f>
        <v/>
      </c>
      <c r="R43" s="82" t="str">
        <f aca="false">IF(S43=0,"",IF(OR(G43="PEON",G43="OF",G43="JARD",G43="CARP",G43="MAESTRO",G43="SOLD",G43="BGRO",G43="CHOFER",G43="AYTE",G43="S.INTTE.",G43="ASEO",G43="P.PISOS",G43="VELADOR",G43="RESID",G43="PINTOR",G43="ELECT",G43="AZULE",G43="AUX CONT.",G43="SECRETARIA",G43="AUXILIAR ADMTVO.",G43="ARQUITECTO",G43="DIBUJANTE",G43="AUX. DE RESIDENTE"),VLOOKUP(B43,P$14:Q$131,2),"")*S43)</f>
        <v/>
      </c>
      <c r="S43" s="5"/>
      <c r="T43" s="65" t="str">
        <f aca="false">IF(A43=0,"",VLOOKUP(A43,[3]CO!$A$3:$F$5302,5,0))</f>
        <v/>
      </c>
      <c r="U43" s="55" t="n">
        <f aca="false">IF(T43=1,O43*0.1,)</f>
        <v>0</v>
      </c>
      <c r="V43" s="66"/>
      <c r="W43" s="83"/>
      <c r="X43" s="83"/>
      <c r="Y43" s="84" t="str">
        <f aca="false">IF($B43=Y$12,$U43,"")</f>
        <v/>
      </c>
      <c r="Z43" s="85" t="str">
        <f aca="false">IF($B43=Z$12,$U43,"")</f>
        <v/>
      </c>
      <c r="AA43" s="85" t="str">
        <f aca="false">IF($B43=AA$12,$U43,"")</f>
        <v/>
      </c>
      <c r="AB43" s="85" t="str">
        <f aca="false">IF($B43=AB$12,$U43,"")</f>
        <v/>
      </c>
      <c r="AC43" s="85" t="str">
        <f aca="false">IF($B43=AC$12,$U43,"")</f>
        <v/>
      </c>
      <c r="AD43" s="85" t="str">
        <f aca="false">IF($B43=AD$12,$U43,"")</f>
        <v/>
      </c>
      <c r="AE43" s="85" t="str">
        <f aca="false">IF($B43=AE$12,$U43,"")</f>
        <v/>
      </c>
      <c r="AF43" s="85" t="str">
        <f aca="false">IF($B43=AF$12,$U43,"")</f>
        <v/>
      </c>
      <c r="AG43" s="85" t="str">
        <f aca="false">IF($B43=AG$12,$U43,"")</f>
        <v/>
      </c>
      <c r="AH43" s="85" t="str">
        <f aca="false">IF($B43=AH$12,$U43,"")</f>
        <v/>
      </c>
      <c r="AI43" s="85" t="str">
        <f aca="false">IF($B43=AI$12,$U43,"")</f>
        <v/>
      </c>
      <c r="AJ43" s="85" t="str">
        <f aca="false">IF($B43=AJ$12,$U43,"")</f>
        <v/>
      </c>
      <c r="AK43" s="85" t="str">
        <f aca="false">IF($B43=AK$12,$U43,"")</f>
        <v/>
      </c>
      <c r="AL43" s="85" t="str">
        <f aca="false">IF($B43=AL$12,$U43,"")</f>
        <v/>
      </c>
      <c r="AM43" s="85" t="str">
        <f aca="false">IF($B43=AM$12,$U43,"")</f>
        <v/>
      </c>
      <c r="AN43" s="85" t="str">
        <f aca="false">IF($B43=AN$12,$U43,"")</f>
        <v/>
      </c>
      <c r="AO43" s="85" t="str">
        <f aca="false">IF($B43=AO$12,$U43,"")</f>
        <v/>
      </c>
      <c r="AP43" s="85" t="str">
        <f aca="false">IF($B43=AP$12,$U43,"")</f>
        <v/>
      </c>
      <c r="AQ43" s="85" t="str">
        <f aca="false">IF($B43=AQ$12,$U43,"")</f>
        <v/>
      </c>
      <c r="AR43" s="85" t="str">
        <f aca="false">IF($B43=AR$12,$U43,"")</f>
        <v/>
      </c>
      <c r="AS43" s="85" t="str">
        <f aca="false">IF($B43=AS$12,$U43,"")</f>
        <v/>
      </c>
      <c r="AT43" s="85" t="str">
        <f aca="false">IF($B43=AT$12,$U43,"")</f>
        <v/>
      </c>
      <c r="AU43" s="85" t="str">
        <f aca="false">IF($B43=AU$12,$U43,"")</f>
        <v/>
      </c>
      <c r="AV43" s="85" t="str">
        <f aca="false">IF($B43=AV$12,$U43,"")</f>
        <v/>
      </c>
      <c r="AW43" s="85" t="str">
        <f aca="false">IF($B43=AW$12,$U43,"")</f>
        <v/>
      </c>
      <c r="AX43" s="85" t="str">
        <f aca="false">IF($B43=AX$12,$U43,"")</f>
        <v/>
      </c>
      <c r="AY43" s="85" t="str">
        <f aca="false">IF($B43=AY$12,$U43,"")</f>
        <v/>
      </c>
      <c r="AZ43" s="85" t="str">
        <f aca="false">IF($B43=AZ$12,$U43,"")</f>
        <v/>
      </c>
      <c r="BA43" s="85" t="str">
        <f aca="false">IF($B43=BA$12,$U43,"")</f>
        <v/>
      </c>
      <c r="BB43" s="85" t="str">
        <f aca="false">IF($B43=BB$12,$U43,"")</f>
        <v/>
      </c>
      <c r="BC43" s="85" t="str">
        <f aca="false">IF($B43=BC$12,$U43,"")</f>
        <v/>
      </c>
      <c r="BD43" s="85" t="str">
        <f aca="false">IF($B43=BD$12,$U43,"")</f>
        <v/>
      </c>
      <c r="BE43" s="85" t="str">
        <f aca="false">IF($B43=BE$12,$U43,"")</f>
        <v/>
      </c>
      <c r="BF43" s="85" t="str">
        <f aca="false">IF($B43=BF$12,$U43,"")</f>
        <v/>
      </c>
      <c r="BG43" s="85" t="str">
        <f aca="false">IF($B43=BG$12,$U43,"")</f>
        <v/>
      </c>
      <c r="BH43" s="85" t="str">
        <f aca="false">IF($B43=BH$12,$U43,"")</f>
        <v/>
      </c>
      <c r="BI43" s="85" t="str">
        <f aca="false">IF($B43=BI$12,$U43,"")</f>
        <v/>
      </c>
      <c r="BJ43" s="85" t="str">
        <f aca="false">IF($B43=BJ$12,$U43,"")</f>
        <v/>
      </c>
      <c r="BK43" s="85" t="str">
        <f aca="false">IF($B43=BK$12,$U43,"")</f>
        <v/>
      </c>
      <c r="BL43" s="85" t="str">
        <f aca="false">IF($B43=BL$12,$U43,"")</f>
        <v/>
      </c>
      <c r="BM43" s="85" t="str">
        <f aca="false">IF($B43=BM$12,$U43,"")</f>
        <v/>
      </c>
      <c r="BN43" s="85" t="str">
        <f aca="false">IF($B43=BN$12,$U43,"")</f>
        <v/>
      </c>
      <c r="BO43" s="85" t="str">
        <f aca="false">IF($B43=BO$12,$U43,"")</f>
        <v/>
      </c>
      <c r="BP43" s="85" t="str">
        <f aca="false">IF($B43=BP$12,$U43,"")</f>
        <v/>
      </c>
      <c r="BQ43" s="85" t="str">
        <f aca="false">IF($B43=BQ$12,$U43,"")</f>
        <v/>
      </c>
      <c r="BR43" s="85" t="str">
        <f aca="false">IF($B43=BR$12,$U43,"")</f>
        <v/>
      </c>
      <c r="BS43" s="85" t="str">
        <f aca="false">IF($B43=BS$12,$U43,"")</f>
        <v/>
      </c>
      <c r="BT43" s="85" t="str">
        <f aca="false">IF($B43=BT$12,$U43,"")</f>
        <v/>
      </c>
      <c r="BU43" s="85" t="str">
        <f aca="false">IF($B43=BU$12,$U43,"")</f>
        <v/>
      </c>
      <c r="BV43" s="85" t="str">
        <f aca="false">IF($B43=BV$12,$U43,"")</f>
        <v/>
      </c>
      <c r="BW43" s="85" t="str">
        <f aca="false">IF($B43=BW$12,$U43,"")</f>
        <v/>
      </c>
      <c r="BX43" s="85" t="str">
        <f aca="false">IF($B43=BX$12,$U43,"")</f>
        <v/>
      </c>
      <c r="BY43" s="85" t="str">
        <f aca="false">IF($B43=BY$12,$U43,"")</f>
        <v/>
      </c>
      <c r="BZ43" s="85" t="str">
        <f aca="false">IF($B43=BZ$12,$U43,"")</f>
        <v/>
      </c>
      <c r="CA43" s="85" t="str">
        <f aca="false">IF($B43=CA$12,$U43,"")</f>
        <v/>
      </c>
      <c r="CB43" s="85" t="str">
        <f aca="false">IF($B43=CB$12,$U43,"")</f>
        <v/>
      </c>
      <c r="CC43" s="85" t="str">
        <f aca="false">IF($B43=CC$12,$U43,"")</f>
        <v/>
      </c>
      <c r="CD43" s="85" t="str">
        <f aca="false">IF($B43=CD$12,$U43,"")</f>
        <v/>
      </c>
      <c r="CE43" s="85" t="str">
        <f aca="false">IF($B43=CE$12,$U43,"")</f>
        <v/>
      </c>
      <c r="CF43" s="85" t="str">
        <f aca="false">IF($B43=CF$12,$U43,"")</f>
        <v/>
      </c>
      <c r="CG43" s="85" t="str">
        <f aca="false">IF($B43=CG$12,$U43,"")</f>
        <v/>
      </c>
      <c r="CH43" s="85" t="str">
        <f aca="false">IF($B43=CH$12,$U43,"")</f>
        <v/>
      </c>
      <c r="CI43" s="85" t="str">
        <f aca="false">IF($B43=CI$12,$U43,"")</f>
        <v/>
      </c>
      <c r="CJ43" s="85" t="str">
        <f aca="false">IF($B43=CJ$12,$U43,"")</f>
        <v/>
      </c>
      <c r="CK43" s="85" t="str">
        <f aca="false">IF($B43=CK$12,$U43,"")</f>
        <v/>
      </c>
      <c r="CL43" s="85" t="str">
        <f aca="false">IF($B43=CL$12,$U43,"")</f>
        <v/>
      </c>
      <c r="CM43" s="85" t="str">
        <f aca="false">IF($B43=CM$12,$U43,"")</f>
        <v/>
      </c>
      <c r="CN43" s="85" t="str">
        <f aca="false">IF($B43=CN$12,$U43,"")</f>
        <v/>
      </c>
      <c r="CO43" s="85" t="str">
        <f aca="false">IF($B43=CO$12,$U43,"")</f>
        <v/>
      </c>
      <c r="CP43" s="85" t="str">
        <f aca="false">IF($B43=CP$12,$U43,"")</f>
        <v/>
      </c>
      <c r="CQ43" s="85" t="str">
        <f aca="false">IF($B43=CQ$12,$U43,"")</f>
        <v/>
      </c>
      <c r="CR43" s="85" t="str">
        <f aca="false">IF($B43=CR$12,$U43,"")</f>
        <v/>
      </c>
      <c r="CS43" s="85" t="str">
        <f aca="false">IF($B43=CS$12,$U43,"")</f>
        <v/>
      </c>
      <c r="CT43" s="85" t="str">
        <f aca="false">IF($B43=CT$12,$U43,"")</f>
        <v/>
      </c>
      <c r="CU43" s="85" t="str">
        <f aca="false">IF($B43=CU$12,$U43,"")</f>
        <v/>
      </c>
      <c r="CV43" s="85" t="str">
        <f aca="false">IF($B43=CV$12,$U43,"")</f>
        <v/>
      </c>
      <c r="CW43" s="85" t="str">
        <f aca="false">IF($B43=CW$12,$U43,"")</f>
        <v/>
      </c>
      <c r="CX43" s="85" t="str">
        <f aca="false">IF($B43=CX$12,$U43,"")</f>
        <v/>
      </c>
      <c r="CY43" s="85" t="str">
        <f aca="false">IF($B43=CY$12,$U43,"")</f>
        <v/>
      </c>
      <c r="CZ43" s="85" t="str">
        <f aca="false">IF($B43=CZ$12,$U43,"")</f>
        <v/>
      </c>
      <c r="DA43" s="85" t="str">
        <f aca="false">IF($B43=DA$12,$U43,"")</f>
        <v/>
      </c>
      <c r="DB43" s="85" t="str">
        <f aca="false">IF($B43=DB$12,$U43,"")</f>
        <v/>
      </c>
      <c r="DC43" s="85" t="str">
        <f aca="false">IF($B43=DC$12,$U43,"")</f>
        <v/>
      </c>
      <c r="DD43" s="85" t="str">
        <f aca="false">IF($B43=DD$12,$U43,"")</f>
        <v/>
      </c>
      <c r="DE43" s="85" t="str">
        <f aca="false">IF($B43=DE$12,$U43,"")</f>
        <v/>
      </c>
      <c r="DF43" s="85" t="str">
        <f aca="false">IF($B43=DF$12,$U43,"")</f>
        <v/>
      </c>
      <c r="DG43" s="85" t="str">
        <f aca="false">IF($B43=DG$12,$U43,"")</f>
        <v/>
      </c>
      <c r="DH43" s="85" t="str">
        <f aca="false">IF($B43=DH$12,$U43,"")</f>
        <v/>
      </c>
      <c r="DI43" s="85" t="str">
        <f aca="false">IF($B43=DI$12,$U43,"")</f>
        <v/>
      </c>
      <c r="DJ43" s="85" t="str">
        <f aca="false">IF($B43=DJ$12,$U43,"")</f>
        <v/>
      </c>
      <c r="DK43" s="85" t="str">
        <f aca="false">IF($B43=DK$12,$U43,"")</f>
        <v/>
      </c>
      <c r="DL43" s="85" t="str">
        <f aca="false">IF($B43=DL$12,$U43,"")</f>
        <v/>
      </c>
      <c r="DM43" s="85" t="str">
        <f aca="false">IF($B43=DM$12,$U43,"")</f>
        <v/>
      </c>
      <c r="DN43" s="85" t="str">
        <f aca="false">IF($B43=DN$12,$U43,"")</f>
        <v/>
      </c>
      <c r="DO43" s="85" t="str">
        <f aca="false">IF($B43=DO$12,$U43,"")</f>
        <v/>
      </c>
      <c r="DP43" s="85" t="str">
        <f aca="false">IF($B43=DP$12,$U43,"")</f>
        <v/>
      </c>
      <c r="DQ43" s="85" t="str">
        <f aca="false">IF($B43=DQ$12,$U43,"")</f>
        <v/>
      </c>
      <c r="DR43" s="85" t="str">
        <f aca="false">IF($B43=DR$12,$U43,"")</f>
        <v/>
      </c>
      <c r="DS43" s="85" t="str">
        <f aca="false">IF($B43=DS$12,$U43,"")</f>
        <v/>
      </c>
      <c r="DT43" s="86" t="str">
        <f aca="false">IF($B43=DT$12,$U43,"")</f>
        <v/>
      </c>
      <c r="DU43" s="55"/>
      <c r="DV43" s="83"/>
      <c r="DW43" s="87" t="str">
        <f aca="false">IF($B43=DW$12,$O43,"")</f>
        <v/>
      </c>
      <c r="DX43" s="88" t="str">
        <f aca="false">IF($B43=DX$12,$O43,"")</f>
        <v/>
      </c>
      <c r="DY43" s="88" t="str">
        <f aca="false">IF($B43=DY$12,$O43,"")</f>
        <v/>
      </c>
      <c r="DZ43" s="88" t="str">
        <f aca="false">IF($B43=DZ$12,$O43,"")</f>
        <v/>
      </c>
      <c r="EA43" s="88" t="str">
        <f aca="false">IF($B43=EA$12,$O43,"")</f>
        <v/>
      </c>
      <c r="EB43" s="88" t="str">
        <f aca="false">IF($B43=EB$12,$O43,"")</f>
        <v/>
      </c>
      <c r="EC43" s="88" t="str">
        <f aca="false">IF($B43=EC$12,$O43,"")</f>
        <v/>
      </c>
      <c r="ED43" s="88" t="str">
        <f aca="false">IF($B43=ED$12,$O43,"")</f>
        <v/>
      </c>
      <c r="EE43" s="88" t="str">
        <f aca="false">IF($B43=EE$12,$O43,"")</f>
        <v/>
      </c>
      <c r="EF43" s="88" t="str">
        <f aca="false">IF($B43=EF$12,$O43,"")</f>
        <v/>
      </c>
      <c r="EG43" s="88" t="str">
        <f aca="false">IF($B43=EG$12,$O43,"")</f>
        <v/>
      </c>
      <c r="EH43" s="88" t="str">
        <f aca="false">IF($B43=EH$12,$O43,"")</f>
        <v/>
      </c>
      <c r="EI43" s="88" t="str">
        <f aca="false">IF($B43=EI$12,$O43,"")</f>
        <v/>
      </c>
      <c r="EJ43" s="88" t="str">
        <f aca="false">IF($B43=EJ$12,$O43,"")</f>
        <v/>
      </c>
      <c r="EK43" s="88" t="str">
        <f aca="false">IF($B43=EK$12,$O43,"")</f>
        <v/>
      </c>
      <c r="EL43" s="88" t="str">
        <f aca="false">IF($B43=EL$12,$O43,"")</f>
        <v/>
      </c>
      <c r="EM43" s="88" t="str">
        <f aca="false">IF($B43=EM$12,$O43,"")</f>
        <v/>
      </c>
      <c r="EN43" s="88" t="str">
        <f aca="false">IF($B43=EN$12,$O43,"")</f>
        <v/>
      </c>
      <c r="EO43" s="88" t="str">
        <f aca="false">IF($B43=EO$12,$O43,"")</f>
        <v/>
      </c>
      <c r="EP43" s="88" t="str">
        <f aca="false">IF($B43=EP$12,$O43,"")</f>
        <v/>
      </c>
      <c r="EQ43" s="88" t="str">
        <f aca="false">IF($B43=EQ$12,$O43,"")</f>
        <v/>
      </c>
      <c r="ER43" s="88" t="str">
        <f aca="false">IF($B43=ER$12,$O43,"")</f>
        <v/>
      </c>
      <c r="ES43" s="88" t="str">
        <f aca="false">IF($B43=ES$12,$O43,"")</f>
        <v/>
      </c>
      <c r="ET43" s="88" t="str">
        <f aca="false">IF($B43=ET$12,$O43,"")</f>
        <v/>
      </c>
      <c r="EU43" s="88" t="str">
        <f aca="false">IF($B43=EU$12,$O43,"")</f>
        <v/>
      </c>
      <c r="EV43" s="88" t="str">
        <f aca="false">IF($B43=EV$12,$O43,"")</f>
        <v/>
      </c>
      <c r="EW43" s="88" t="str">
        <f aca="false">IF($B43=EW$12,$O43,"")</f>
        <v/>
      </c>
      <c r="EX43" s="88" t="str">
        <f aca="false">IF($B43=EX$12,$O43,"")</f>
        <v/>
      </c>
      <c r="EY43" s="88" t="str">
        <f aca="false">IF($B43=EY$12,$O43,"")</f>
        <v/>
      </c>
      <c r="EZ43" s="88" t="str">
        <f aca="false">IF($B43=EZ$12,$O43,"")</f>
        <v/>
      </c>
      <c r="FA43" s="88" t="str">
        <f aca="false">IF($B43=FA$12,$O43,"")</f>
        <v/>
      </c>
      <c r="FB43" s="88" t="str">
        <f aca="false">IF($B43=FB$12,$O43,"")</f>
        <v/>
      </c>
      <c r="FC43" s="88" t="str">
        <f aca="false">IF($B43=FC$12,$O43,"")</f>
        <v/>
      </c>
      <c r="FD43" s="88" t="str">
        <f aca="false">IF($B43=FD$12,$O43,"")</f>
        <v/>
      </c>
      <c r="FE43" s="88" t="str">
        <f aca="false">IF($B43=FE$12,$O43,"")</f>
        <v/>
      </c>
      <c r="FF43" s="88" t="str">
        <f aca="false">IF($B43=FF$12,$O43,"")</f>
        <v/>
      </c>
      <c r="FG43" s="88" t="str">
        <f aca="false">IF($B43=FG$12,$O43,"")</f>
        <v/>
      </c>
      <c r="FH43" s="88" t="str">
        <f aca="false">IF($B43=FH$12,$O43,"")</f>
        <v/>
      </c>
      <c r="FI43" s="88" t="str">
        <f aca="false">IF($B43=FI$12,$O43,"")</f>
        <v/>
      </c>
      <c r="FJ43" s="88" t="str">
        <f aca="false">IF($B43=FJ$12,$O43,"")</f>
        <v/>
      </c>
      <c r="FK43" s="88" t="str">
        <f aca="false">IF($B43=FK$12,$O43,"")</f>
        <v/>
      </c>
      <c r="FL43" s="88" t="str">
        <f aca="false">IF($B43=FL$12,$O43,"")</f>
        <v/>
      </c>
      <c r="FM43" s="88" t="str">
        <f aca="false">IF($B43=FM$12,$O43,"")</f>
        <v/>
      </c>
      <c r="FN43" s="88" t="str">
        <f aca="false">IF($B43=FN$12,$O43,"")</f>
        <v/>
      </c>
      <c r="FO43" s="88" t="str">
        <f aca="false">IF($B43=FO$12,$O43,"")</f>
        <v/>
      </c>
      <c r="FP43" s="88" t="str">
        <f aca="false">IF($B43=FP$12,$O43,"")</f>
        <v/>
      </c>
      <c r="FQ43" s="88" t="str">
        <f aca="false">IF($B43=FQ$12,$O43,"")</f>
        <v/>
      </c>
      <c r="FR43" s="88" t="str">
        <f aca="false">IF($B43=FR$12,$O43,"")</f>
        <v/>
      </c>
      <c r="FS43" s="88" t="str">
        <f aca="false">IF($B43=FS$12,$O43,"")</f>
        <v/>
      </c>
      <c r="FT43" s="88" t="str">
        <f aca="false">IF($B43=FT$12,$O43,"")</f>
        <v/>
      </c>
      <c r="FU43" s="88" t="str">
        <f aca="false">IF($B43=FU$12,$O43,"")</f>
        <v/>
      </c>
      <c r="FV43" s="88" t="str">
        <f aca="false">IF($B43=FV$12,$O43,"")</f>
        <v/>
      </c>
      <c r="FW43" s="88" t="str">
        <f aca="false">IF($B43=FW$12,$O43,"")</f>
        <v/>
      </c>
      <c r="FX43" s="88" t="str">
        <f aca="false">IF($B43=FX$12,$O43,"")</f>
        <v/>
      </c>
      <c r="FY43" s="88" t="str">
        <f aca="false">IF($B43=FY$12,$O43,"")</f>
        <v/>
      </c>
      <c r="FZ43" s="88" t="str">
        <f aca="false">IF($B43=FZ$12,$O43,"")</f>
        <v/>
      </c>
      <c r="GA43" s="88" t="str">
        <f aca="false">IF($B43=GA$12,$O43,"")</f>
        <v/>
      </c>
      <c r="GB43" s="88" t="str">
        <f aca="false">IF($B43=GB$12,$O43,"")</f>
        <v/>
      </c>
      <c r="GC43" s="88" t="str">
        <f aca="false">IF($B43=GC$12,$O43,"")</f>
        <v/>
      </c>
      <c r="GD43" s="88" t="str">
        <f aca="false">IF($B43=GD$12,$O43,"")</f>
        <v/>
      </c>
      <c r="GE43" s="88" t="str">
        <f aca="false">IF($B43=GE$12,$O43,"")</f>
        <v/>
      </c>
      <c r="GF43" s="88" t="str">
        <f aca="false">IF($B43=GF$12,$O43,"")</f>
        <v/>
      </c>
      <c r="GG43" s="88" t="str">
        <f aca="false">IF($B43=GG$12,$O43,"")</f>
        <v/>
      </c>
      <c r="GH43" s="88" t="str">
        <f aca="false">IF($B43=GH$12,$O43,"")</f>
        <v/>
      </c>
      <c r="GI43" s="88" t="str">
        <f aca="false">IF($B43=GI$12,$O43,"")</f>
        <v/>
      </c>
      <c r="GJ43" s="88" t="str">
        <f aca="false">IF($B43=GJ$12,$O43,"")</f>
        <v/>
      </c>
      <c r="GK43" s="88" t="str">
        <f aca="false">IF($B43=GK$12,$O43,"")</f>
        <v/>
      </c>
      <c r="GL43" s="88" t="str">
        <f aca="false">IF($B43=GL$12,$O43,"")</f>
        <v/>
      </c>
      <c r="GM43" s="88" t="str">
        <f aca="false">IF($B43=GM$12,$O43,"")</f>
        <v/>
      </c>
      <c r="GN43" s="88" t="str">
        <f aca="false">IF($B43=GN$12,$O43,"")</f>
        <v/>
      </c>
      <c r="GO43" s="88" t="str">
        <f aca="false">IF($B43=GO$12,$O43,"")</f>
        <v/>
      </c>
      <c r="GP43" s="88" t="str">
        <f aca="false">IF($B43=GP$12,$O43,"")</f>
        <v/>
      </c>
      <c r="GQ43" s="88" t="str">
        <f aca="false">IF($B43=GQ$12,$O43,"")</f>
        <v/>
      </c>
      <c r="GR43" s="88" t="str">
        <f aca="false">IF($B43=GR$12,$O43,"")</f>
        <v/>
      </c>
      <c r="GS43" s="88" t="str">
        <f aca="false">IF($B43=GS$12,$O43,"")</f>
        <v/>
      </c>
      <c r="GT43" s="88" t="str">
        <f aca="false">IF($B43=GT$12,$O43,"")</f>
        <v/>
      </c>
      <c r="GU43" s="88" t="str">
        <f aca="false">IF($B43=GU$12,$O43,"")</f>
        <v/>
      </c>
      <c r="GV43" s="88" t="str">
        <f aca="false">IF($B43=GV$12,$O43,"")</f>
        <v/>
      </c>
      <c r="GW43" s="88" t="str">
        <f aca="false">IF($B43=GW$12,$O43,"")</f>
        <v/>
      </c>
      <c r="GX43" s="88" t="str">
        <f aca="false">IF($B43=GX$12,$O43,"")</f>
        <v/>
      </c>
      <c r="GY43" s="88" t="str">
        <f aca="false">IF($B43=GY$12,$O43,"")</f>
        <v/>
      </c>
      <c r="GZ43" s="88" t="str">
        <f aca="false">IF($B43=GZ$12,$O43,"")</f>
        <v/>
      </c>
      <c r="HA43" s="88" t="str">
        <f aca="false">IF($B43=HA$12,$O43,"")</f>
        <v/>
      </c>
      <c r="HB43" s="88" t="str">
        <f aca="false">IF($B43=HB$12,$O43,"")</f>
        <v/>
      </c>
      <c r="HC43" s="88" t="str">
        <f aca="false">IF($B43=HC$12,$O43,"")</f>
        <v/>
      </c>
      <c r="HD43" s="88" t="str">
        <f aca="false">IF($B43=HD$12,$O43,"")</f>
        <v/>
      </c>
      <c r="HE43" s="88" t="str">
        <f aca="false">IF($B43=HE$12,$O43,"")</f>
        <v/>
      </c>
      <c r="HF43" s="88" t="str">
        <f aca="false">IF($B43=HF$12,$O43,"")</f>
        <v/>
      </c>
      <c r="HG43" s="88" t="str">
        <f aca="false">IF($B43=HG$12,$O43,"")</f>
        <v/>
      </c>
      <c r="HH43" s="88" t="str">
        <f aca="false">IF($B43=HH$12,$O43,"")</f>
        <v/>
      </c>
      <c r="HI43" s="88" t="str">
        <f aca="false">IF($B43=HI$12,$O43,"")</f>
        <v/>
      </c>
      <c r="HJ43" s="88" t="str">
        <f aca="false">IF($B43=HJ$12,$O43,"")</f>
        <v/>
      </c>
      <c r="HK43" s="88" t="str">
        <f aca="false">IF($B43=HK$12,$O43,"")</f>
        <v/>
      </c>
      <c r="HL43" s="88" t="str">
        <f aca="false">IF($B43=HL$12,$O43,"")</f>
        <v/>
      </c>
      <c r="HM43" s="88" t="str">
        <f aca="false">IF($B43=HM$12,$O43,"")</f>
        <v/>
      </c>
      <c r="HN43" s="88" t="str">
        <f aca="false">IF($B43=HN$12,$O43,"")</f>
        <v/>
      </c>
      <c r="HO43" s="88" t="str">
        <f aca="false">IF($B43=HO$12,$O43,"")</f>
        <v/>
      </c>
      <c r="HP43" s="88" t="str">
        <f aca="false">IF($B43=HP$12,$O43,"")</f>
        <v/>
      </c>
      <c r="HQ43" s="88" t="str">
        <f aca="false">IF($B43=HQ$12,$O43,"")</f>
        <v/>
      </c>
      <c r="HR43" s="89" t="str">
        <f aca="false">IF($B43=HR$12,$O43,"")</f>
        <v/>
      </c>
    </row>
    <row r="44" customFormat="false" ht="10.5" hidden="false" customHeight="true" outlineLevel="0" collapsed="false">
      <c r="A44" s="73"/>
      <c r="B44" s="74"/>
      <c r="C44" s="75" t="str">
        <f aca="false">IF(A44=0,"",VLOOKUP(A44,[3]CO!$A$3:$F$5311,2,0))</f>
        <v/>
      </c>
      <c r="D44" s="76"/>
      <c r="E44" s="76"/>
      <c r="F44" s="76"/>
      <c r="G44" s="77" t="str">
        <f aca="false">IF(A44=0,"",VLOOKUP(A44,[3]CO!$A$3:$F$5311,3,0))</f>
        <v/>
      </c>
      <c r="H44" s="76"/>
      <c r="I44" s="78"/>
      <c r="J44" s="78"/>
      <c r="K44" s="78"/>
      <c r="L44" s="78"/>
      <c r="M44" s="79" t="str">
        <f aca="false">IF(L44=0,"",PRODUCT(I44:L44))</f>
        <v/>
      </c>
      <c r="N44" s="79" t="str">
        <f aca="false">IF(B44=0,"",IF(H44="M",HLOOKUP(B44,$Y$12:$DT$13,2),IF(A44=0,"",VLOOKUP(A44,[3]CO!$A$3:$F$5311,4,0))))</f>
        <v/>
      </c>
      <c r="O44" s="79" t="str">
        <f aca="false">IF(L44=0,"",PRODUCT(M44:N44))</f>
        <v/>
      </c>
      <c r="P44" s="80"/>
      <c r="Q44" s="81" t="str">
        <f aca="false">IF(P44=0,"",(HLOOKUP(P44,$DW$12:$HR$13,2)))</f>
        <v/>
      </c>
      <c r="R44" s="82" t="str">
        <f aca="false">IF(S44=0,"",IF(OR(G44="PEON",G44="OF",G44="JARD",G44="CARP",G44="MAESTRO",G44="SOLD",G44="BGRO",G44="CHOFER",G44="AYTE",G44="S.INTTE.",G44="ASEO",G44="P.PISOS",G44="VELADOR",G44="RESID",G44="PINTOR",G44="ELECT",G44="AZULE",G44="AUX CONT.",G44="SECRETARIA",G44="AUXILIAR ADMTVO.",G44="ARQUITECTO",G44="DIBUJANTE",G44="AUX. DE RESIDENTE"),VLOOKUP(B44,P$14:Q$131,2),"")*S44)</f>
        <v/>
      </c>
      <c r="S44" s="5"/>
      <c r="T44" s="65" t="str">
        <f aca="false">IF(A44=0,"",VLOOKUP(A44,[3]CO!$A$3:$F$5302,5,0))</f>
        <v/>
      </c>
      <c r="U44" s="55" t="n">
        <f aca="false">IF(T44=1,O44*0.1,)</f>
        <v>0</v>
      </c>
      <c r="V44" s="66"/>
      <c r="W44" s="83"/>
      <c r="X44" s="83"/>
      <c r="Y44" s="84" t="str">
        <f aca="false">IF($B44=Y$12,$U44,"")</f>
        <v/>
      </c>
      <c r="Z44" s="85" t="str">
        <f aca="false">IF($B44=Z$12,$U44,"")</f>
        <v/>
      </c>
      <c r="AA44" s="85" t="str">
        <f aca="false">IF($B44=AA$12,$U44,"")</f>
        <v/>
      </c>
      <c r="AB44" s="85" t="str">
        <f aca="false">IF($B44=AB$12,$U44,"")</f>
        <v/>
      </c>
      <c r="AC44" s="85" t="str">
        <f aca="false">IF($B44=AC$12,$U44,"")</f>
        <v/>
      </c>
      <c r="AD44" s="85" t="str">
        <f aca="false">IF($B44=AD$12,$U44,"")</f>
        <v/>
      </c>
      <c r="AE44" s="85" t="str">
        <f aca="false">IF($B44=AE$12,$U44,"")</f>
        <v/>
      </c>
      <c r="AF44" s="85" t="str">
        <f aca="false">IF($B44=AF$12,$U44,"")</f>
        <v/>
      </c>
      <c r="AG44" s="85" t="str">
        <f aca="false">IF($B44=AG$12,$U44,"")</f>
        <v/>
      </c>
      <c r="AH44" s="85" t="str">
        <f aca="false">IF($B44=AH$12,$U44,"")</f>
        <v/>
      </c>
      <c r="AI44" s="85" t="str">
        <f aca="false">IF($B44=AI$12,$U44,"")</f>
        <v/>
      </c>
      <c r="AJ44" s="85" t="str">
        <f aca="false">IF($B44=AJ$12,$U44,"")</f>
        <v/>
      </c>
      <c r="AK44" s="85" t="str">
        <f aca="false">IF($B44=AK$12,$U44,"")</f>
        <v/>
      </c>
      <c r="AL44" s="85" t="str">
        <f aca="false">IF($B44=AL$12,$U44,"")</f>
        <v/>
      </c>
      <c r="AM44" s="85" t="str">
        <f aca="false">IF($B44=AM$12,$U44,"")</f>
        <v/>
      </c>
      <c r="AN44" s="85" t="str">
        <f aca="false">IF($B44=AN$12,$U44,"")</f>
        <v/>
      </c>
      <c r="AO44" s="85" t="str">
        <f aca="false">IF($B44=AO$12,$U44,"")</f>
        <v/>
      </c>
      <c r="AP44" s="85" t="str">
        <f aca="false">IF($B44=AP$12,$U44,"")</f>
        <v/>
      </c>
      <c r="AQ44" s="85" t="str">
        <f aca="false">IF($B44=AQ$12,$U44,"")</f>
        <v/>
      </c>
      <c r="AR44" s="85" t="str">
        <f aca="false">IF($B44=AR$12,$U44,"")</f>
        <v/>
      </c>
      <c r="AS44" s="85" t="str">
        <f aca="false">IF($B44=AS$12,$U44,"")</f>
        <v/>
      </c>
      <c r="AT44" s="85" t="str">
        <f aca="false">IF($B44=AT$12,$U44,"")</f>
        <v/>
      </c>
      <c r="AU44" s="85" t="str">
        <f aca="false">IF($B44=AU$12,$U44,"")</f>
        <v/>
      </c>
      <c r="AV44" s="85" t="str">
        <f aca="false">IF($B44=AV$12,$U44,"")</f>
        <v/>
      </c>
      <c r="AW44" s="85" t="str">
        <f aca="false">IF($B44=AW$12,$U44,"")</f>
        <v/>
      </c>
      <c r="AX44" s="85" t="str">
        <f aca="false">IF($B44=AX$12,$U44,"")</f>
        <v/>
      </c>
      <c r="AY44" s="85" t="str">
        <f aca="false">IF($B44=AY$12,$U44,"")</f>
        <v/>
      </c>
      <c r="AZ44" s="85" t="str">
        <f aca="false">IF($B44=AZ$12,$U44,"")</f>
        <v/>
      </c>
      <c r="BA44" s="85" t="str">
        <f aca="false">IF($B44=BA$12,$U44,"")</f>
        <v/>
      </c>
      <c r="BB44" s="85" t="str">
        <f aca="false">IF($B44=BB$12,$U44,"")</f>
        <v/>
      </c>
      <c r="BC44" s="85" t="str">
        <f aca="false">IF($B44=BC$12,$U44,"")</f>
        <v/>
      </c>
      <c r="BD44" s="85" t="str">
        <f aca="false">IF($B44=BD$12,$U44,"")</f>
        <v/>
      </c>
      <c r="BE44" s="85" t="str">
        <f aca="false">IF($B44=BE$12,$U44,"")</f>
        <v/>
      </c>
      <c r="BF44" s="85" t="str">
        <f aca="false">IF($B44=BF$12,$U44,"")</f>
        <v/>
      </c>
      <c r="BG44" s="85" t="str">
        <f aca="false">IF($B44=BG$12,$U44,"")</f>
        <v/>
      </c>
      <c r="BH44" s="85" t="str">
        <f aca="false">IF($B44=BH$12,$U44,"")</f>
        <v/>
      </c>
      <c r="BI44" s="85" t="str">
        <f aca="false">IF($B44=BI$12,$U44,"")</f>
        <v/>
      </c>
      <c r="BJ44" s="85" t="str">
        <f aca="false">IF($B44=BJ$12,$U44,"")</f>
        <v/>
      </c>
      <c r="BK44" s="85" t="str">
        <f aca="false">IF($B44=BK$12,$U44,"")</f>
        <v/>
      </c>
      <c r="BL44" s="85" t="str">
        <f aca="false">IF($B44=BL$12,$U44,"")</f>
        <v/>
      </c>
      <c r="BM44" s="85" t="str">
        <f aca="false">IF($B44=BM$12,$U44,"")</f>
        <v/>
      </c>
      <c r="BN44" s="85" t="str">
        <f aca="false">IF($B44=BN$12,$U44,"")</f>
        <v/>
      </c>
      <c r="BO44" s="85" t="str">
        <f aca="false">IF($B44=BO$12,$U44,"")</f>
        <v/>
      </c>
      <c r="BP44" s="85" t="str">
        <f aca="false">IF($B44=BP$12,$U44,"")</f>
        <v/>
      </c>
      <c r="BQ44" s="85" t="str">
        <f aca="false">IF($B44=BQ$12,$U44,"")</f>
        <v/>
      </c>
      <c r="BR44" s="85" t="str">
        <f aca="false">IF($B44=BR$12,$U44,"")</f>
        <v/>
      </c>
      <c r="BS44" s="85" t="str">
        <f aca="false">IF($B44=BS$12,$U44,"")</f>
        <v/>
      </c>
      <c r="BT44" s="85" t="str">
        <f aca="false">IF($B44=BT$12,$U44,"")</f>
        <v/>
      </c>
      <c r="BU44" s="85" t="str">
        <f aca="false">IF($B44=BU$12,$U44,"")</f>
        <v/>
      </c>
      <c r="BV44" s="85" t="str">
        <f aca="false">IF($B44=BV$12,$U44,"")</f>
        <v/>
      </c>
      <c r="BW44" s="85" t="str">
        <f aca="false">IF($B44=BW$12,$U44,"")</f>
        <v/>
      </c>
      <c r="BX44" s="85" t="str">
        <f aca="false">IF($B44=BX$12,$U44,"")</f>
        <v/>
      </c>
      <c r="BY44" s="85" t="str">
        <f aca="false">IF($B44=BY$12,$U44,"")</f>
        <v/>
      </c>
      <c r="BZ44" s="85" t="str">
        <f aca="false">IF($B44=BZ$12,$U44,"")</f>
        <v/>
      </c>
      <c r="CA44" s="85" t="str">
        <f aca="false">IF($B44=CA$12,$U44,"")</f>
        <v/>
      </c>
      <c r="CB44" s="85" t="str">
        <f aca="false">IF($B44=CB$12,$U44,"")</f>
        <v/>
      </c>
      <c r="CC44" s="85" t="str">
        <f aca="false">IF($B44=CC$12,$U44,"")</f>
        <v/>
      </c>
      <c r="CD44" s="85" t="str">
        <f aca="false">IF($B44=CD$12,$U44,"")</f>
        <v/>
      </c>
      <c r="CE44" s="85" t="str">
        <f aca="false">IF($B44=CE$12,$U44,"")</f>
        <v/>
      </c>
      <c r="CF44" s="85" t="str">
        <f aca="false">IF($B44=CF$12,$U44,"")</f>
        <v/>
      </c>
      <c r="CG44" s="85" t="str">
        <f aca="false">IF($B44=CG$12,$U44,"")</f>
        <v/>
      </c>
      <c r="CH44" s="85" t="str">
        <f aca="false">IF($B44=CH$12,$U44,"")</f>
        <v/>
      </c>
      <c r="CI44" s="85" t="str">
        <f aca="false">IF($B44=CI$12,$U44,"")</f>
        <v/>
      </c>
      <c r="CJ44" s="85" t="str">
        <f aca="false">IF($B44=CJ$12,$U44,"")</f>
        <v/>
      </c>
      <c r="CK44" s="85" t="str">
        <f aca="false">IF($B44=CK$12,$U44,"")</f>
        <v/>
      </c>
      <c r="CL44" s="85" t="str">
        <f aca="false">IF($B44=CL$12,$U44,"")</f>
        <v/>
      </c>
      <c r="CM44" s="85" t="str">
        <f aca="false">IF($B44=CM$12,$U44,"")</f>
        <v/>
      </c>
      <c r="CN44" s="85" t="str">
        <f aca="false">IF($B44=CN$12,$U44,"")</f>
        <v/>
      </c>
      <c r="CO44" s="85" t="str">
        <f aca="false">IF($B44=CO$12,$U44,"")</f>
        <v/>
      </c>
      <c r="CP44" s="85" t="str">
        <f aca="false">IF($B44=CP$12,$U44,"")</f>
        <v/>
      </c>
      <c r="CQ44" s="85" t="str">
        <f aca="false">IF($B44=CQ$12,$U44,"")</f>
        <v/>
      </c>
      <c r="CR44" s="85" t="str">
        <f aca="false">IF($B44=CR$12,$U44,"")</f>
        <v/>
      </c>
      <c r="CS44" s="85" t="str">
        <f aca="false">IF($B44=CS$12,$U44,"")</f>
        <v/>
      </c>
      <c r="CT44" s="85" t="str">
        <f aca="false">IF($B44=CT$12,$U44,"")</f>
        <v/>
      </c>
      <c r="CU44" s="85" t="str">
        <f aca="false">IF($B44=CU$12,$U44,"")</f>
        <v/>
      </c>
      <c r="CV44" s="85" t="str">
        <f aca="false">IF($B44=CV$12,$U44,"")</f>
        <v/>
      </c>
      <c r="CW44" s="85" t="str">
        <f aca="false">IF($B44=CW$12,$U44,"")</f>
        <v/>
      </c>
      <c r="CX44" s="85" t="str">
        <f aca="false">IF($B44=CX$12,$U44,"")</f>
        <v/>
      </c>
      <c r="CY44" s="85" t="str">
        <f aca="false">IF($B44=CY$12,$U44,"")</f>
        <v/>
      </c>
      <c r="CZ44" s="85" t="str">
        <f aca="false">IF($B44=CZ$12,$U44,"")</f>
        <v/>
      </c>
      <c r="DA44" s="85" t="str">
        <f aca="false">IF($B44=DA$12,$U44,"")</f>
        <v/>
      </c>
      <c r="DB44" s="85" t="str">
        <f aca="false">IF($B44=DB$12,$U44,"")</f>
        <v/>
      </c>
      <c r="DC44" s="85" t="str">
        <f aca="false">IF($B44=DC$12,$U44,"")</f>
        <v/>
      </c>
      <c r="DD44" s="85" t="str">
        <f aca="false">IF($B44=DD$12,$U44,"")</f>
        <v/>
      </c>
      <c r="DE44" s="85" t="str">
        <f aca="false">IF($B44=DE$12,$U44,"")</f>
        <v/>
      </c>
      <c r="DF44" s="85" t="str">
        <f aca="false">IF($B44=DF$12,$U44,"")</f>
        <v/>
      </c>
      <c r="DG44" s="85" t="str">
        <f aca="false">IF($B44=DG$12,$U44,"")</f>
        <v/>
      </c>
      <c r="DH44" s="85" t="str">
        <f aca="false">IF($B44=DH$12,$U44,"")</f>
        <v/>
      </c>
      <c r="DI44" s="85" t="str">
        <f aca="false">IF($B44=DI$12,$U44,"")</f>
        <v/>
      </c>
      <c r="DJ44" s="85" t="str">
        <f aca="false">IF($B44=DJ$12,$U44,"")</f>
        <v/>
      </c>
      <c r="DK44" s="85" t="str">
        <f aca="false">IF($B44=DK$12,$U44,"")</f>
        <v/>
      </c>
      <c r="DL44" s="85" t="str">
        <f aca="false">IF($B44=DL$12,$U44,"")</f>
        <v/>
      </c>
      <c r="DM44" s="85" t="str">
        <f aca="false">IF($B44=DM$12,$U44,"")</f>
        <v/>
      </c>
      <c r="DN44" s="85" t="str">
        <f aca="false">IF($B44=DN$12,$U44,"")</f>
        <v/>
      </c>
      <c r="DO44" s="85" t="str">
        <f aca="false">IF($B44=DO$12,$U44,"")</f>
        <v/>
      </c>
      <c r="DP44" s="85" t="str">
        <f aca="false">IF($B44=DP$12,$U44,"")</f>
        <v/>
      </c>
      <c r="DQ44" s="85" t="str">
        <f aca="false">IF($B44=DQ$12,$U44,"")</f>
        <v/>
      </c>
      <c r="DR44" s="85" t="str">
        <f aca="false">IF($B44=DR$12,$U44,"")</f>
        <v/>
      </c>
      <c r="DS44" s="85" t="str">
        <f aca="false">IF($B44=DS$12,$U44,"")</f>
        <v/>
      </c>
      <c r="DT44" s="86" t="str">
        <f aca="false">IF($B44=DT$12,$U44,"")</f>
        <v/>
      </c>
      <c r="DU44" s="55"/>
      <c r="DV44" s="83"/>
      <c r="DW44" s="87" t="str">
        <f aca="false">IF($B44=DW$12,$O44,"")</f>
        <v/>
      </c>
      <c r="DX44" s="88" t="str">
        <f aca="false">IF($B44=DX$12,$O44,"")</f>
        <v/>
      </c>
      <c r="DY44" s="88" t="str">
        <f aca="false">IF($B44=DY$12,$O44,"")</f>
        <v/>
      </c>
      <c r="DZ44" s="88" t="str">
        <f aca="false">IF($B44=DZ$12,$O44,"")</f>
        <v/>
      </c>
      <c r="EA44" s="88" t="str">
        <f aca="false">IF($B44=EA$12,$O44,"")</f>
        <v/>
      </c>
      <c r="EB44" s="88" t="str">
        <f aca="false">IF($B44=EB$12,$O44,"")</f>
        <v/>
      </c>
      <c r="EC44" s="88" t="str">
        <f aca="false">IF($B44=EC$12,$O44,"")</f>
        <v/>
      </c>
      <c r="ED44" s="88" t="str">
        <f aca="false">IF($B44=ED$12,$O44,"")</f>
        <v/>
      </c>
      <c r="EE44" s="88" t="str">
        <f aca="false">IF($B44=EE$12,$O44,"")</f>
        <v/>
      </c>
      <c r="EF44" s="88" t="str">
        <f aca="false">IF($B44=EF$12,$O44,"")</f>
        <v/>
      </c>
      <c r="EG44" s="88" t="str">
        <f aca="false">IF($B44=EG$12,$O44,"")</f>
        <v/>
      </c>
      <c r="EH44" s="88" t="str">
        <f aca="false">IF($B44=EH$12,$O44,"")</f>
        <v/>
      </c>
      <c r="EI44" s="88" t="str">
        <f aca="false">IF($B44=EI$12,$O44,"")</f>
        <v/>
      </c>
      <c r="EJ44" s="88" t="str">
        <f aca="false">IF($B44=EJ$12,$O44,"")</f>
        <v/>
      </c>
      <c r="EK44" s="88" t="str">
        <f aca="false">IF($B44=EK$12,$O44,"")</f>
        <v/>
      </c>
      <c r="EL44" s="88" t="str">
        <f aca="false">IF($B44=EL$12,$O44,"")</f>
        <v/>
      </c>
      <c r="EM44" s="88" t="str">
        <f aca="false">IF($B44=EM$12,$O44,"")</f>
        <v/>
      </c>
      <c r="EN44" s="88" t="str">
        <f aca="false">IF($B44=EN$12,$O44,"")</f>
        <v/>
      </c>
      <c r="EO44" s="88" t="str">
        <f aca="false">IF($B44=EO$12,$O44,"")</f>
        <v/>
      </c>
      <c r="EP44" s="88" t="str">
        <f aca="false">IF($B44=EP$12,$O44,"")</f>
        <v/>
      </c>
      <c r="EQ44" s="88" t="str">
        <f aca="false">IF($B44=EQ$12,$O44,"")</f>
        <v/>
      </c>
      <c r="ER44" s="88" t="str">
        <f aca="false">IF($B44=ER$12,$O44,"")</f>
        <v/>
      </c>
      <c r="ES44" s="88" t="str">
        <f aca="false">IF($B44=ES$12,$O44,"")</f>
        <v/>
      </c>
      <c r="ET44" s="88" t="str">
        <f aca="false">IF($B44=ET$12,$O44,"")</f>
        <v/>
      </c>
      <c r="EU44" s="88" t="str">
        <f aca="false">IF($B44=EU$12,$O44,"")</f>
        <v/>
      </c>
      <c r="EV44" s="88" t="str">
        <f aca="false">IF($B44=EV$12,$O44,"")</f>
        <v/>
      </c>
      <c r="EW44" s="88" t="str">
        <f aca="false">IF($B44=EW$12,$O44,"")</f>
        <v/>
      </c>
      <c r="EX44" s="88" t="str">
        <f aca="false">IF($B44=EX$12,$O44,"")</f>
        <v/>
      </c>
      <c r="EY44" s="88" t="str">
        <f aca="false">IF($B44=EY$12,$O44,"")</f>
        <v/>
      </c>
      <c r="EZ44" s="88" t="str">
        <f aca="false">IF($B44=EZ$12,$O44,"")</f>
        <v/>
      </c>
      <c r="FA44" s="88" t="str">
        <f aca="false">IF($B44=FA$12,$O44,"")</f>
        <v/>
      </c>
      <c r="FB44" s="88" t="str">
        <f aca="false">IF($B44=FB$12,$O44,"")</f>
        <v/>
      </c>
      <c r="FC44" s="88" t="str">
        <f aca="false">IF($B44=FC$12,$O44,"")</f>
        <v/>
      </c>
      <c r="FD44" s="88" t="str">
        <f aca="false">IF($B44=FD$12,$O44,"")</f>
        <v/>
      </c>
      <c r="FE44" s="88" t="str">
        <f aca="false">IF($B44=FE$12,$O44,"")</f>
        <v/>
      </c>
      <c r="FF44" s="88" t="str">
        <f aca="false">IF($B44=FF$12,$O44,"")</f>
        <v/>
      </c>
      <c r="FG44" s="88" t="str">
        <f aca="false">IF($B44=FG$12,$O44,"")</f>
        <v/>
      </c>
      <c r="FH44" s="88" t="str">
        <f aca="false">IF($B44=FH$12,$O44,"")</f>
        <v/>
      </c>
      <c r="FI44" s="88" t="str">
        <f aca="false">IF($B44=FI$12,$O44,"")</f>
        <v/>
      </c>
      <c r="FJ44" s="88" t="str">
        <f aca="false">IF($B44=FJ$12,$O44,"")</f>
        <v/>
      </c>
      <c r="FK44" s="88" t="str">
        <f aca="false">IF($B44=FK$12,$O44,"")</f>
        <v/>
      </c>
      <c r="FL44" s="88" t="str">
        <f aca="false">IF($B44=FL$12,$O44,"")</f>
        <v/>
      </c>
      <c r="FM44" s="88" t="str">
        <f aca="false">IF($B44=FM$12,$O44,"")</f>
        <v/>
      </c>
      <c r="FN44" s="88" t="str">
        <f aca="false">IF($B44=FN$12,$O44,"")</f>
        <v/>
      </c>
      <c r="FO44" s="88" t="str">
        <f aca="false">IF($B44=FO$12,$O44,"")</f>
        <v/>
      </c>
      <c r="FP44" s="88" t="str">
        <f aca="false">IF($B44=FP$12,$O44,"")</f>
        <v/>
      </c>
      <c r="FQ44" s="88" t="str">
        <f aca="false">IF($B44=FQ$12,$O44,"")</f>
        <v/>
      </c>
      <c r="FR44" s="88" t="str">
        <f aca="false">IF($B44=FR$12,$O44,"")</f>
        <v/>
      </c>
      <c r="FS44" s="88" t="str">
        <f aca="false">IF($B44=FS$12,$O44,"")</f>
        <v/>
      </c>
      <c r="FT44" s="88" t="str">
        <f aca="false">IF($B44=FT$12,$O44,"")</f>
        <v/>
      </c>
      <c r="FU44" s="88" t="str">
        <f aca="false">IF($B44=FU$12,$O44,"")</f>
        <v/>
      </c>
      <c r="FV44" s="88" t="str">
        <f aca="false">IF($B44=FV$12,$O44,"")</f>
        <v/>
      </c>
      <c r="FW44" s="88" t="str">
        <f aca="false">IF($B44=FW$12,$O44,"")</f>
        <v/>
      </c>
      <c r="FX44" s="88" t="str">
        <f aca="false">IF($B44=FX$12,$O44,"")</f>
        <v/>
      </c>
      <c r="FY44" s="88" t="str">
        <f aca="false">IF($B44=FY$12,$O44,"")</f>
        <v/>
      </c>
      <c r="FZ44" s="88" t="str">
        <f aca="false">IF($B44=FZ$12,$O44,"")</f>
        <v/>
      </c>
      <c r="GA44" s="88" t="str">
        <f aca="false">IF($B44=GA$12,$O44,"")</f>
        <v/>
      </c>
      <c r="GB44" s="88" t="str">
        <f aca="false">IF($B44=GB$12,$O44,"")</f>
        <v/>
      </c>
      <c r="GC44" s="88" t="str">
        <f aca="false">IF($B44=GC$12,$O44,"")</f>
        <v/>
      </c>
      <c r="GD44" s="88" t="str">
        <f aca="false">IF($B44=GD$12,$O44,"")</f>
        <v/>
      </c>
      <c r="GE44" s="88" t="str">
        <f aca="false">IF($B44=GE$12,$O44,"")</f>
        <v/>
      </c>
      <c r="GF44" s="88" t="str">
        <f aca="false">IF($B44=GF$12,$O44,"")</f>
        <v/>
      </c>
      <c r="GG44" s="88" t="str">
        <f aca="false">IF($B44=GG$12,$O44,"")</f>
        <v/>
      </c>
      <c r="GH44" s="88" t="str">
        <f aca="false">IF($B44=GH$12,$O44,"")</f>
        <v/>
      </c>
      <c r="GI44" s="88" t="str">
        <f aca="false">IF($B44=GI$12,$O44,"")</f>
        <v/>
      </c>
      <c r="GJ44" s="88" t="str">
        <f aca="false">IF($B44=GJ$12,$O44,"")</f>
        <v/>
      </c>
      <c r="GK44" s="88" t="str">
        <f aca="false">IF($B44=GK$12,$O44,"")</f>
        <v/>
      </c>
      <c r="GL44" s="88" t="str">
        <f aca="false">IF($B44=GL$12,$O44,"")</f>
        <v/>
      </c>
      <c r="GM44" s="88" t="str">
        <f aca="false">IF($B44=GM$12,$O44,"")</f>
        <v/>
      </c>
      <c r="GN44" s="88" t="str">
        <f aca="false">IF($B44=GN$12,$O44,"")</f>
        <v/>
      </c>
      <c r="GO44" s="88" t="str">
        <f aca="false">IF($B44=GO$12,$O44,"")</f>
        <v/>
      </c>
      <c r="GP44" s="88" t="str">
        <f aca="false">IF($B44=GP$12,$O44,"")</f>
        <v/>
      </c>
      <c r="GQ44" s="88" t="str">
        <f aca="false">IF($B44=GQ$12,$O44,"")</f>
        <v/>
      </c>
      <c r="GR44" s="88" t="str">
        <f aca="false">IF($B44=GR$12,$O44,"")</f>
        <v/>
      </c>
      <c r="GS44" s="88" t="str">
        <f aca="false">IF($B44=GS$12,$O44,"")</f>
        <v/>
      </c>
      <c r="GT44" s="88" t="str">
        <f aca="false">IF($B44=GT$12,$O44,"")</f>
        <v/>
      </c>
      <c r="GU44" s="88" t="str">
        <f aca="false">IF($B44=GU$12,$O44,"")</f>
        <v/>
      </c>
      <c r="GV44" s="88" t="str">
        <f aca="false">IF($B44=GV$12,$O44,"")</f>
        <v/>
      </c>
      <c r="GW44" s="88" t="str">
        <f aca="false">IF($B44=GW$12,$O44,"")</f>
        <v/>
      </c>
      <c r="GX44" s="88" t="str">
        <f aca="false">IF($B44=GX$12,$O44,"")</f>
        <v/>
      </c>
      <c r="GY44" s="88" t="str">
        <f aca="false">IF($B44=GY$12,$O44,"")</f>
        <v/>
      </c>
      <c r="GZ44" s="88" t="str">
        <f aca="false">IF($B44=GZ$12,$O44,"")</f>
        <v/>
      </c>
      <c r="HA44" s="88" t="str">
        <f aca="false">IF($B44=HA$12,$O44,"")</f>
        <v/>
      </c>
      <c r="HB44" s="88" t="str">
        <f aca="false">IF($B44=HB$12,$O44,"")</f>
        <v/>
      </c>
      <c r="HC44" s="88" t="str">
        <f aca="false">IF($B44=HC$12,$O44,"")</f>
        <v/>
      </c>
      <c r="HD44" s="88" t="str">
        <f aca="false">IF($B44=HD$12,$O44,"")</f>
        <v/>
      </c>
      <c r="HE44" s="88" t="str">
        <f aca="false">IF($B44=HE$12,$O44,"")</f>
        <v/>
      </c>
      <c r="HF44" s="88" t="str">
        <f aca="false">IF($B44=HF$12,$O44,"")</f>
        <v/>
      </c>
      <c r="HG44" s="88" t="str">
        <f aca="false">IF($B44=HG$12,$O44,"")</f>
        <v/>
      </c>
      <c r="HH44" s="88" t="str">
        <f aca="false">IF($B44=HH$12,$O44,"")</f>
        <v/>
      </c>
      <c r="HI44" s="88" t="str">
        <f aca="false">IF($B44=HI$12,$O44,"")</f>
        <v/>
      </c>
      <c r="HJ44" s="88" t="str">
        <f aca="false">IF($B44=HJ$12,$O44,"")</f>
        <v/>
      </c>
      <c r="HK44" s="88" t="str">
        <f aca="false">IF($B44=HK$12,$O44,"")</f>
        <v/>
      </c>
      <c r="HL44" s="88" t="str">
        <f aca="false">IF($B44=HL$12,$O44,"")</f>
        <v/>
      </c>
      <c r="HM44" s="88" t="str">
        <f aca="false">IF($B44=HM$12,$O44,"")</f>
        <v/>
      </c>
      <c r="HN44" s="88" t="str">
        <f aca="false">IF($B44=HN$12,$O44,"")</f>
        <v/>
      </c>
      <c r="HO44" s="88" t="str">
        <f aca="false">IF($B44=HO$12,$O44,"")</f>
        <v/>
      </c>
      <c r="HP44" s="88" t="str">
        <f aca="false">IF($B44=HP$12,$O44,"")</f>
        <v/>
      </c>
      <c r="HQ44" s="88" t="str">
        <f aca="false">IF($B44=HQ$12,$O44,"")</f>
        <v/>
      </c>
      <c r="HR44" s="89" t="str">
        <f aca="false">IF($B44=HR$12,$O44,"")</f>
        <v/>
      </c>
    </row>
    <row r="45" customFormat="false" ht="10.5" hidden="false" customHeight="true" outlineLevel="0" collapsed="false">
      <c r="A45" s="73"/>
      <c r="B45" s="74"/>
      <c r="C45" s="75" t="str">
        <f aca="false">IF(A45=0,"",VLOOKUP(A45,[3]CO!$A$3:$F$5311,2,0))</f>
        <v/>
      </c>
      <c r="D45" s="76"/>
      <c r="E45" s="76"/>
      <c r="F45" s="76"/>
      <c r="G45" s="77" t="str">
        <f aca="false">IF(A45=0,"",VLOOKUP(A45,[3]CO!$A$3:$F$5311,3,0))</f>
        <v/>
      </c>
      <c r="H45" s="76"/>
      <c r="I45" s="78"/>
      <c r="J45" s="78"/>
      <c r="K45" s="78"/>
      <c r="L45" s="78"/>
      <c r="M45" s="79" t="str">
        <f aca="false">IF(L45=0,"",PRODUCT(I45:L45))</f>
        <v/>
      </c>
      <c r="N45" s="79" t="str">
        <f aca="false">IF(B45=0,"",IF(H45="M",HLOOKUP(B45,$Y$12:$DT$13,2),IF(A45=0,"",VLOOKUP(A45,[3]CO!$A$3:$F$5311,4,0))))</f>
        <v/>
      </c>
      <c r="O45" s="79" t="str">
        <f aca="false">IF(L45=0,"",PRODUCT(M45:N45))</f>
        <v/>
      </c>
      <c r="P45" s="80"/>
      <c r="Q45" s="81" t="str">
        <f aca="false">IF(P45=0,"",(HLOOKUP(P45,$DW$12:$HR$13,2)))</f>
        <v/>
      </c>
      <c r="R45" s="82" t="str">
        <f aca="false">IF(S45=0,"",IF(OR(G45="PEON",G45="OF",G45="JARD",G45="CARP",G45="MAESTRO",G45="SOLD",G45="BGRO",G45="CHOFER",G45="AYTE",G45="S.INTTE.",G45="ASEO",G45="P.PISOS",G45="VELADOR",G45="RESID",G45="PINTOR",G45="ELECT",G45="AZULE",G45="AUX CONT.",G45="SECRETARIA",G45="AUXILIAR ADMTVO.",G45="ARQUITECTO",G45="DIBUJANTE",G45="AUX. DE RESIDENTE"),VLOOKUP(B45,P$14:Q$131,2),"")*S45)</f>
        <v/>
      </c>
      <c r="S45" s="5"/>
      <c r="T45" s="65" t="str">
        <f aca="false">IF(A45=0,"",VLOOKUP(A45,[3]CO!$A$3:$F$5302,5,0))</f>
        <v/>
      </c>
      <c r="U45" s="55" t="n">
        <f aca="false">IF(T45=1,O45*0.1,)</f>
        <v>0</v>
      </c>
      <c r="V45" s="66"/>
      <c r="W45" s="83"/>
      <c r="X45" s="83"/>
      <c r="Y45" s="84" t="str">
        <f aca="false">IF($B45=Y$12,$U45,"")</f>
        <v/>
      </c>
      <c r="Z45" s="85" t="str">
        <f aca="false">IF($B45=Z$12,$U45,"")</f>
        <v/>
      </c>
      <c r="AA45" s="85" t="str">
        <f aca="false">IF($B45=AA$12,$U45,"")</f>
        <v/>
      </c>
      <c r="AB45" s="85" t="str">
        <f aca="false">IF($B45=AB$12,$U45,"")</f>
        <v/>
      </c>
      <c r="AC45" s="85" t="str">
        <f aca="false">IF($B45=AC$12,$U45,"")</f>
        <v/>
      </c>
      <c r="AD45" s="85" t="str">
        <f aca="false">IF($B45=AD$12,$U45,"")</f>
        <v/>
      </c>
      <c r="AE45" s="85" t="str">
        <f aca="false">IF($B45=AE$12,$U45,"")</f>
        <v/>
      </c>
      <c r="AF45" s="85" t="str">
        <f aca="false">IF($B45=AF$12,$U45,"")</f>
        <v/>
      </c>
      <c r="AG45" s="85" t="str">
        <f aca="false">IF($B45=AG$12,$U45,"")</f>
        <v/>
      </c>
      <c r="AH45" s="85" t="str">
        <f aca="false">IF($B45=AH$12,$U45,"")</f>
        <v/>
      </c>
      <c r="AI45" s="85" t="str">
        <f aca="false">IF($B45=AI$12,$U45,"")</f>
        <v/>
      </c>
      <c r="AJ45" s="85" t="str">
        <f aca="false">IF($B45=AJ$12,$U45,"")</f>
        <v/>
      </c>
      <c r="AK45" s="85" t="str">
        <f aca="false">IF($B45=AK$12,$U45,"")</f>
        <v/>
      </c>
      <c r="AL45" s="85" t="str">
        <f aca="false">IF($B45=AL$12,$U45,"")</f>
        <v/>
      </c>
      <c r="AM45" s="85" t="str">
        <f aca="false">IF($B45=AM$12,$U45,"")</f>
        <v/>
      </c>
      <c r="AN45" s="85" t="str">
        <f aca="false">IF($B45=AN$12,$U45,"")</f>
        <v/>
      </c>
      <c r="AO45" s="85" t="str">
        <f aca="false">IF($B45=AO$12,$U45,"")</f>
        <v/>
      </c>
      <c r="AP45" s="85" t="str">
        <f aca="false">IF($B45=AP$12,$U45,"")</f>
        <v/>
      </c>
      <c r="AQ45" s="85" t="str">
        <f aca="false">IF($B45=AQ$12,$U45,"")</f>
        <v/>
      </c>
      <c r="AR45" s="85" t="str">
        <f aca="false">IF($B45=AR$12,$U45,"")</f>
        <v/>
      </c>
      <c r="AS45" s="85" t="str">
        <f aca="false">IF($B45=AS$12,$U45,"")</f>
        <v/>
      </c>
      <c r="AT45" s="85" t="str">
        <f aca="false">IF($B45=AT$12,$U45,"")</f>
        <v/>
      </c>
      <c r="AU45" s="85" t="str">
        <f aca="false">IF($B45=AU$12,$U45,"")</f>
        <v/>
      </c>
      <c r="AV45" s="85" t="str">
        <f aca="false">IF($B45=AV$12,$U45,"")</f>
        <v/>
      </c>
      <c r="AW45" s="85" t="str">
        <f aca="false">IF($B45=AW$12,$U45,"")</f>
        <v/>
      </c>
      <c r="AX45" s="85" t="str">
        <f aca="false">IF($B45=AX$12,$U45,"")</f>
        <v/>
      </c>
      <c r="AY45" s="85" t="str">
        <f aca="false">IF($B45=AY$12,$U45,"")</f>
        <v/>
      </c>
      <c r="AZ45" s="85" t="str">
        <f aca="false">IF($B45=AZ$12,$U45,"")</f>
        <v/>
      </c>
      <c r="BA45" s="85" t="str">
        <f aca="false">IF($B45=BA$12,$U45,"")</f>
        <v/>
      </c>
      <c r="BB45" s="85" t="str">
        <f aca="false">IF($B45=BB$12,$U45,"")</f>
        <v/>
      </c>
      <c r="BC45" s="85" t="str">
        <f aca="false">IF($B45=BC$12,$U45,"")</f>
        <v/>
      </c>
      <c r="BD45" s="85" t="str">
        <f aca="false">IF($B45=BD$12,$U45,"")</f>
        <v/>
      </c>
      <c r="BE45" s="85" t="str">
        <f aca="false">IF($B45=BE$12,$U45,"")</f>
        <v/>
      </c>
      <c r="BF45" s="85" t="str">
        <f aca="false">IF($B45=BF$12,$U45,"")</f>
        <v/>
      </c>
      <c r="BG45" s="85" t="str">
        <f aca="false">IF($B45=BG$12,$U45,"")</f>
        <v/>
      </c>
      <c r="BH45" s="85" t="str">
        <f aca="false">IF($B45=BH$12,$U45,"")</f>
        <v/>
      </c>
      <c r="BI45" s="85" t="str">
        <f aca="false">IF($B45=BI$12,$U45,"")</f>
        <v/>
      </c>
      <c r="BJ45" s="85" t="str">
        <f aca="false">IF($B45=BJ$12,$U45,"")</f>
        <v/>
      </c>
      <c r="BK45" s="85" t="str">
        <f aca="false">IF($B45=BK$12,$U45,"")</f>
        <v/>
      </c>
      <c r="BL45" s="85" t="str">
        <f aca="false">IF($B45=BL$12,$U45,"")</f>
        <v/>
      </c>
      <c r="BM45" s="85" t="str">
        <f aca="false">IF($B45=BM$12,$U45,"")</f>
        <v/>
      </c>
      <c r="BN45" s="85" t="str">
        <f aca="false">IF($B45=BN$12,$U45,"")</f>
        <v/>
      </c>
      <c r="BO45" s="85" t="str">
        <f aca="false">IF($B45=BO$12,$U45,"")</f>
        <v/>
      </c>
      <c r="BP45" s="85" t="str">
        <f aca="false">IF($B45=BP$12,$U45,"")</f>
        <v/>
      </c>
      <c r="BQ45" s="85" t="str">
        <f aca="false">IF($B45=BQ$12,$U45,"")</f>
        <v/>
      </c>
      <c r="BR45" s="85" t="str">
        <f aca="false">IF($B45=BR$12,$U45,"")</f>
        <v/>
      </c>
      <c r="BS45" s="85" t="str">
        <f aca="false">IF($B45=BS$12,$U45,"")</f>
        <v/>
      </c>
      <c r="BT45" s="85" t="str">
        <f aca="false">IF($B45=BT$12,$U45,"")</f>
        <v/>
      </c>
      <c r="BU45" s="85" t="str">
        <f aca="false">IF($B45=BU$12,$U45,"")</f>
        <v/>
      </c>
      <c r="BV45" s="85" t="str">
        <f aca="false">IF($B45=BV$12,$U45,"")</f>
        <v/>
      </c>
      <c r="BW45" s="85" t="str">
        <f aca="false">IF($B45=BW$12,$U45,"")</f>
        <v/>
      </c>
      <c r="BX45" s="85" t="str">
        <f aca="false">IF($B45=BX$12,$U45,"")</f>
        <v/>
      </c>
      <c r="BY45" s="85" t="str">
        <f aca="false">IF($B45=BY$12,$U45,"")</f>
        <v/>
      </c>
      <c r="BZ45" s="85" t="str">
        <f aca="false">IF($B45=BZ$12,$U45,"")</f>
        <v/>
      </c>
      <c r="CA45" s="85" t="str">
        <f aca="false">IF($B45=CA$12,$U45,"")</f>
        <v/>
      </c>
      <c r="CB45" s="85" t="str">
        <f aca="false">IF($B45=CB$12,$U45,"")</f>
        <v/>
      </c>
      <c r="CC45" s="85" t="str">
        <f aca="false">IF($B45=CC$12,$U45,"")</f>
        <v/>
      </c>
      <c r="CD45" s="85" t="str">
        <f aca="false">IF($B45=CD$12,$U45,"")</f>
        <v/>
      </c>
      <c r="CE45" s="85" t="str">
        <f aca="false">IF($B45=CE$12,$U45,"")</f>
        <v/>
      </c>
      <c r="CF45" s="85" t="str">
        <f aca="false">IF($B45=CF$12,$U45,"")</f>
        <v/>
      </c>
      <c r="CG45" s="85" t="str">
        <f aca="false">IF($B45=CG$12,$U45,"")</f>
        <v/>
      </c>
      <c r="CH45" s="85" t="str">
        <f aca="false">IF($B45=CH$12,$U45,"")</f>
        <v/>
      </c>
      <c r="CI45" s="85" t="str">
        <f aca="false">IF($B45=CI$12,$U45,"")</f>
        <v/>
      </c>
      <c r="CJ45" s="85" t="str">
        <f aca="false">IF($B45=CJ$12,$U45,"")</f>
        <v/>
      </c>
      <c r="CK45" s="85" t="str">
        <f aca="false">IF($B45=CK$12,$U45,"")</f>
        <v/>
      </c>
      <c r="CL45" s="85" t="str">
        <f aca="false">IF($B45=CL$12,$U45,"")</f>
        <v/>
      </c>
      <c r="CM45" s="85" t="str">
        <f aca="false">IF($B45=CM$12,$U45,"")</f>
        <v/>
      </c>
      <c r="CN45" s="85" t="str">
        <f aca="false">IF($B45=CN$12,$U45,"")</f>
        <v/>
      </c>
      <c r="CO45" s="85" t="str">
        <f aca="false">IF($B45=CO$12,$U45,"")</f>
        <v/>
      </c>
      <c r="CP45" s="85" t="str">
        <f aca="false">IF($B45=CP$12,$U45,"")</f>
        <v/>
      </c>
      <c r="CQ45" s="85" t="str">
        <f aca="false">IF($B45=CQ$12,$U45,"")</f>
        <v/>
      </c>
      <c r="CR45" s="85" t="str">
        <f aca="false">IF($B45=CR$12,$U45,"")</f>
        <v/>
      </c>
      <c r="CS45" s="85" t="str">
        <f aca="false">IF($B45=CS$12,$U45,"")</f>
        <v/>
      </c>
      <c r="CT45" s="85" t="str">
        <f aca="false">IF($B45=CT$12,$U45,"")</f>
        <v/>
      </c>
      <c r="CU45" s="85" t="str">
        <f aca="false">IF($B45=CU$12,$U45,"")</f>
        <v/>
      </c>
      <c r="CV45" s="85" t="str">
        <f aca="false">IF($B45=CV$12,$U45,"")</f>
        <v/>
      </c>
      <c r="CW45" s="85" t="str">
        <f aca="false">IF($B45=CW$12,$U45,"")</f>
        <v/>
      </c>
      <c r="CX45" s="85" t="str">
        <f aca="false">IF($B45=CX$12,$U45,"")</f>
        <v/>
      </c>
      <c r="CY45" s="85" t="str">
        <f aca="false">IF($B45=CY$12,$U45,"")</f>
        <v/>
      </c>
      <c r="CZ45" s="85" t="str">
        <f aca="false">IF($B45=CZ$12,$U45,"")</f>
        <v/>
      </c>
      <c r="DA45" s="85" t="str">
        <f aca="false">IF($B45=DA$12,$U45,"")</f>
        <v/>
      </c>
      <c r="DB45" s="85" t="str">
        <f aca="false">IF($B45=DB$12,$U45,"")</f>
        <v/>
      </c>
      <c r="DC45" s="85" t="str">
        <f aca="false">IF($B45=DC$12,$U45,"")</f>
        <v/>
      </c>
      <c r="DD45" s="85" t="str">
        <f aca="false">IF($B45=DD$12,$U45,"")</f>
        <v/>
      </c>
      <c r="DE45" s="85" t="str">
        <f aca="false">IF($B45=DE$12,$U45,"")</f>
        <v/>
      </c>
      <c r="DF45" s="85" t="str">
        <f aca="false">IF($B45=DF$12,$U45,"")</f>
        <v/>
      </c>
      <c r="DG45" s="85" t="str">
        <f aca="false">IF($B45=DG$12,$U45,"")</f>
        <v/>
      </c>
      <c r="DH45" s="85" t="str">
        <f aca="false">IF($B45=DH$12,$U45,"")</f>
        <v/>
      </c>
      <c r="DI45" s="85" t="str">
        <f aca="false">IF($B45=DI$12,$U45,"")</f>
        <v/>
      </c>
      <c r="DJ45" s="85" t="str">
        <f aca="false">IF($B45=DJ$12,$U45,"")</f>
        <v/>
      </c>
      <c r="DK45" s="85" t="str">
        <f aca="false">IF($B45=DK$12,$U45,"")</f>
        <v/>
      </c>
      <c r="DL45" s="85" t="str">
        <f aca="false">IF($B45=DL$12,$U45,"")</f>
        <v/>
      </c>
      <c r="DM45" s="85" t="str">
        <f aca="false">IF($B45=DM$12,$U45,"")</f>
        <v/>
      </c>
      <c r="DN45" s="85" t="str">
        <f aca="false">IF($B45=DN$12,$U45,"")</f>
        <v/>
      </c>
      <c r="DO45" s="85" t="str">
        <f aca="false">IF($B45=DO$12,$U45,"")</f>
        <v/>
      </c>
      <c r="DP45" s="85" t="str">
        <f aca="false">IF($B45=DP$12,$U45,"")</f>
        <v/>
      </c>
      <c r="DQ45" s="85" t="str">
        <f aca="false">IF($B45=DQ$12,$U45,"")</f>
        <v/>
      </c>
      <c r="DR45" s="85" t="str">
        <f aca="false">IF($B45=DR$12,$U45,"")</f>
        <v/>
      </c>
      <c r="DS45" s="85" t="str">
        <f aca="false">IF($B45=DS$12,$U45,"")</f>
        <v/>
      </c>
      <c r="DT45" s="86" t="str">
        <f aca="false">IF($B45=DT$12,$U45,"")</f>
        <v/>
      </c>
      <c r="DU45" s="55"/>
      <c r="DV45" s="83"/>
      <c r="DW45" s="87" t="str">
        <f aca="false">IF($B45=DW$12,$O45,"")</f>
        <v/>
      </c>
      <c r="DX45" s="88" t="str">
        <f aca="false">IF($B45=DX$12,$O45,"")</f>
        <v/>
      </c>
      <c r="DY45" s="88" t="str">
        <f aca="false">IF($B45=DY$12,$O45,"")</f>
        <v/>
      </c>
      <c r="DZ45" s="88" t="str">
        <f aca="false">IF($B45=DZ$12,$O45,"")</f>
        <v/>
      </c>
      <c r="EA45" s="88" t="str">
        <f aca="false">IF($B45=EA$12,$O45,"")</f>
        <v/>
      </c>
      <c r="EB45" s="88" t="str">
        <f aca="false">IF($B45=EB$12,$O45,"")</f>
        <v/>
      </c>
      <c r="EC45" s="88" t="str">
        <f aca="false">IF($B45=EC$12,$O45,"")</f>
        <v/>
      </c>
      <c r="ED45" s="88" t="str">
        <f aca="false">IF($B45=ED$12,$O45,"")</f>
        <v/>
      </c>
      <c r="EE45" s="88" t="str">
        <f aca="false">IF($B45=EE$12,$O45,"")</f>
        <v/>
      </c>
      <c r="EF45" s="88" t="str">
        <f aca="false">IF($B45=EF$12,$O45,"")</f>
        <v/>
      </c>
      <c r="EG45" s="88" t="str">
        <f aca="false">IF($B45=EG$12,$O45,"")</f>
        <v/>
      </c>
      <c r="EH45" s="88" t="str">
        <f aca="false">IF($B45=EH$12,$O45,"")</f>
        <v/>
      </c>
      <c r="EI45" s="88" t="str">
        <f aca="false">IF($B45=EI$12,$O45,"")</f>
        <v/>
      </c>
      <c r="EJ45" s="88" t="str">
        <f aca="false">IF($B45=EJ$12,$O45,"")</f>
        <v/>
      </c>
      <c r="EK45" s="88" t="str">
        <f aca="false">IF($B45=EK$12,$O45,"")</f>
        <v/>
      </c>
      <c r="EL45" s="88" t="str">
        <f aca="false">IF($B45=EL$12,$O45,"")</f>
        <v/>
      </c>
      <c r="EM45" s="88" t="str">
        <f aca="false">IF($B45=EM$12,$O45,"")</f>
        <v/>
      </c>
      <c r="EN45" s="88" t="str">
        <f aca="false">IF($B45=EN$12,$O45,"")</f>
        <v/>
      </c>
      <c r="EO45" s="88" t="str">
        <f aca="false">IF($B45=EO$12,$O45,"")</f>
        <v/>
      </c>
      <c r="EP45" s="88" t="str">
        <f aca="false">IF($B45=EP$12,$O45,"")</f>
        <v/>
      </c>
      <c r="EQ45" s="88" t="str">
        <f aca="false">IF($B45=EQ$12,$O45,"")</f>
        <v/>
      </c>
      <c r="ER45" s="88" t="str">
        <f aca="false">IF($B45=ER$12,$O45,"")</f>
        <v/>
      </c>
      <c r="ES45" s="88" t="str">
        <f aca="false">IF($B45=ES$12,$O45,"")</f>
        <v/>
      </c>
      <c r="ET45" s="88" t="str">
        <f aca="false">IF($B45=ET$12,$O45,"")</f>
        <v/>
      </c>
      <c r="EU45" s="88" t="str">
        <f aca="false">IF($B45=EU$12,$O45,"")</f>
        <v/>
      </c>
      <c r="EV45" s="88" t="str">
        <f aca="false">IF($B45=EV$12,$O45,"")</f>
        <v/>
      </c>
      <c r="EW45" s="88" t="str">
        <f aca="false">IF($B45=EW$12,$O45,"")</f>
        <v/>
      </c>
      <c r="EX45" s="88" t="str">
        <f aca="false">IF($B45=EX$12,$O45,"")</f>
        <v/>
      </c>
      <c r="EY45" s="88" t="str">
        <f aca="false">IF($B45=EY$12,$O45,"")</f>
        <v/>
      </c>
      <c r="EZ45" s="88" t="str">
        <f aca="false">IF($B45=EZ$12,$O45,"")</f>
        <v/>
      </c>
      <c r="FA45" s="88" t="str">
        <f aca="false">IF($B45=FA$12,$O45,"")</f>
        <v/>
      </c>
      <c r="FB45" s="88" t="str">
        <f aca="false">IF($B45=FB$12,$O45,"")</f>
        <v/>
      </c>
      <c r="FC45" s="88" t="str">
        <f aca="false">IF($B45=FC$12,$O45,"")</f>
        <v/>
      </c>
      <c r="FD45" s="88" t="str">
        <f aca="false">IF($B45=FD$12,$O45,"")</f>
        <v/>
      </c>
      <c r="FE45" s="88" t="str">
        <f aca="false">IF($B45=FE$12,$O45,"")</f>
        <v/>
      </c>
      <c r="FF45" s="88" t="str">
        <f aca="false">IF($B45=FF$12,$O45,"")</f>
        <v/>
      </c>
      <c r="FG45" s="88" t="str">
        <f aca="false">IF($B45=FG$12,$O45,"")</f>
        <v/>
      </c>
      <c r="FH45" s="88" t="str">
        <f aca="false">IF($B45=FH$12,$O45,"")</f>
        <v/>
      </c>
      <c r="FI45" s="88" t="str">
        <f aca="false">IF($B45=FI$12,$O45,"")</f>
        <v/>
      </c>
      <c r="FJ45" s="88" t="str">
        <f aca="false">IF($B45=FJ$12,$O45,"")</f>
        <v/>
      </c>
      <c r="FK45" s="88" t="str">
        <f aca="false">IF($B45=FK$12,$O45,"")</f>
        <v/>
      </c>
      <c r="FL45" s="88" t="str">
        <f aca="false">IF($B45=FL$12,$O45,"")</f>
        <v/>
      </c>
      <c r="FM45" s="88" t="str">
        <f aca="false">IF($B45=FM$12,$O45,"")</f>
        <v/>
      </c>
      <c r="FN45" s="88" t="str">
        <f aca="false">IF($B45=FN$12,$O45,"")</f>
        <v/>
      </c>
      <c r="FO45" s="88" t="str">
        <f aca="false">IF($B45=FO$12,$O45,"")</f>
        <v/>
      </c>
      <c r="FP45" s="88" t="str">
        <f aca="false">IF($B45=FP$12,$O45,"")</f>
        <v/>
      </c>
      <c r="FQ45" s="88" t="str">
        <f aca="false">IF($B45=FQ$12,$O45,"")</f>
        <v/>
      </c>
      <c r="FR45" s="88" t="str">
        <f aca="false">IF($B45=FR$12,$O45,"")</f>
        <v/>
      </c>
      <c r="FS45" s="88" t="str">
        <f aca="false">IF($B45=FS$12,$O45,"")</f>
        <v/>
      </c>
      <c r="FT45" s="88" t="str">
        <f aca="false">IF($B45=FT$12,$O45,"")</f>
        <v/>
      </c>
      <c r="FU45" s="88" t="str">
        <f aca="false">IF($B45=FU$12,$O45,"")</f>
        <v/>
      </c>
      <c r="FV45" s="88" t="str">
        <f aca="false">IF($B45=FV$12,$O45,"")</f>
        <v/>
      </c>
      <c r="FW45" s="88" t="str">
        <f aca="false">IF($B45=FW$12,$O45,"")</f>
        <v/>
      </c>
      <c r="FX45" s="88" t="str">
        <f aca="false">IF($B45=FX$12,$O45,"")</f>
        <v/>
      </c>
      <c r="FY45" s="88" t="str">
        <f aca="false">IF($B45=FY$12,$O45,"")</f>
        <v/>
      </c>
      <c r="FZ45" s="88" t="str">
        <f aca="false">IF($B45=FZ$12,$O45,"")</f>
        <v/>
      </c>
      <c r="GA45" s="88" t="str">
        <f aca="false">IF($B45=GA$12,$O45,"")</f>
        <v/>
      </c>
      <c r="GB45" s="88" t="str">
        <f aca="false">IF($B45=GB$12,$O45,"")</f>
        <v/>
      </c>
      <c r="GC45" s="88" t="str">
        <f aca="false">IF($B45=GC$12,$O45,"")</f>
        <v/>
      </c>
      <c r="GD45" s="88" t="str">
        <f aca="false">IF($B45=GD$12,$O45,"")</f>
        <v/>
      </c>
      <c r="GE45" s="88" t="str">
        <f aca="false">IF($B45=GE$12,$O45,"")</f>
        <v/>
      </c>
      <c r="GF45" s="88" t="str">
        <f aca="false">IF($B45=GF$12,$O45,"")</f>
        <v/>
      </c>
      <c r="GG45" s="88" t="str">
        <f aca="false">IF($B45=GG$12,$O45,"")</f>
        <v/>
      </c>
      <c r="GH45" s="88" t="str">
        <f aca="false">IF($B45=GH$12,$O45,"")</f>
        <v/>
      </c>
      <c r="GI45" s="88" t="str">
        <f aca="false">IF($B45=GI$12,$O45,"")</f>
        <v/>
      </c>
      <c r="GJ45" s="88" t="str">
        <f aca="false">IF($B45=GJ$12,$O45,"")</f>
        <v/>
      </c>
      <c r="GK45" s="88" t="str">
        <f aca="false">IF($B45=GK$12,$O45,"")</f>
        <v/>
      </c>
      <c r="GL45" s="88" t="str">
        <f aca="false">IF($B45=GL$12,$O45,"")</f>
        <v/>
      </c>
      <c r="GM45" s="88" t="str">
        <f aca="false">IF($B45=GM$12,$O45,"")</f>
        <v/>
      </c>
      <c r="GN45" s="88" t="str">
        <f aca="false">IF($B45=GN$12,$O45,"")</f>
        <v/>
      </c>
      <c r="GO45" s="88" t="str">
        <f aca="false">IF($B45=GO$12,$O45,"")</f>
        <v/>
      </c>
      <c r="GP45" s="88" t="str">
        <f aca="false">IF($B45=GP$12,$O45,"")</f>
        <v/>
      </c>
      <c r="GQ45" s="88" t="str">
        <f aca="false">IF($B45=GQ$12,$O45,"")</f>
        <v/>
      </c>
      <c r="GR45" s="88" t="str">
        <f aca="false">IF($B45=GR$12,$O45,"")</f>
        <v/>
      </c>
      <c r="GS45" s="88" t="str">
        <f aca="false">IF($B45=GS$12,$O45,"")</f>
        <v/>
      </c>
      <c r="GT45" s="88" t="str">
        <f aca="false">IF($B45=GT$12,$O45,"")</f>
        <v/>
      </c>
      <c r="GU45" s="88" t="str">
        <f aca="false">IF($B45=GU$12,$O45,"")</f>
        <v/>
      </c>
      <c r="GV45" s="88" t="str">
        <f aca="false">IF($B45=GV$12,$O45,"")</f>
        <v/>
      </c>
      <c r="GW45" s="88" t="str">
        <f aca="false">IF($B45=GW$12,$O45,"")</f>
        <v/>
      </c>
      <c r="GX45" s="88" t="str">
        <f aca="false">IF($B45=GX$12,$O45,"")</f>
        <v/>
      </c>
      <c r="GY45" s="88" t="str">
        <f aca="false">IF($B45=GY$12,$O45,"")</f>
        <v/>
      </c>
      <c r="GZ45" s="88" t="str">
        <f aca="false">IF($B45=GZ$12,$O45,"")</f>
        <v/>
      </c>
      <c r="HA45" s="88" t="str">
        <f aca="false">IF($B45=HA$12,$O45,"")</f>
        <v/>
      </c>
      <c r="HB45" s="88" t="str">
        <f aca="false">IF($B45=HB$12,$O45,"")</f>
        <v/>
      </c>
      <c r="HC45" s="88" t="str">
        <f aca="false">IF($B45=HC$12,$O45,"")</f>
        <v/>
      </c>
      <c r="HD45" s="88" t="str">
        <f aca="false">IF($B45=HD$12,$O45,"")</f>
        <v/>
      </c>
      <c r="HE45" s="88" t="str">
        <f aca="false">IF($B45=HE$12,$O45,"")</f>
        <v/>
      </c>
      <c r="HF45" s="88" t="str">
        <f aca="false">IF($B45=HF$12,$O45,"")</f>
        <v/>
      </c>
      <c r="HG45" s="88" t="str">
        <f aca="false">IF($B45=HG$12,$O45,"")</f>
        <v/>
      </c>
      <c r="HH45" s="88" t="str">
        <f aca="false">IF($B45=HH$12,$O45,"")</f>
        <v/>
      </c>
      <c r="HI45" s="88" t="str">
        <f aca="false">IF($B45=HI$12,$O45,"")</f>
        <v/>
      </c>
      <c r="HJ45" s="88" t="str">
        <f aca="false">IF($B45=HJ$12,$O45,"")</f>
        <v/>
      </c>
      <c r="HK45" s="88" t="str">
        <f aca="false">IF($B45=HK$12,$O45,"")</f>
        <v/>
      </c>
      <c r="HL45" s="88" t="str">
        <f aca="false">IF($B45=HL$12,$O45,"")</f>
        <v/>
      </c>
      <c r="HM45" s="88" t="str">
        <f aca="false">IF($B45=HM$12,$O45,"")</f>
        <v/>
      </c>
      <c r="HN45" s="88" t="str">
        <f aca="false">IF($B45=HN$12,$O45,"")</f>
        <v/>
      </c>
      <c r="HO45" s="88" t="str">
        <f aca="false">IF($B45=HO$12,$O45,"")</f>
        <v/>
      </c>
      <c r="HP45" s="88" t="str">
        <f aca="false">IF($B45=HP$12,$O45,"")</f>
        <v/>
      </c>
      <c r="HQ45" s="88" t="str">
        <f aca="false">IF($B45=HQ$12,$O45,"")</f>
        <v/>
      </c>
      <c r="HR45" s="89" t="str">
        <f aca="false">IF($B45=HR$12,$O45,"")</f>
        <v/>
      </c>
    </row>
    <row r="46" customFormat="false" ht="10.5" hidden="false" customHeight="true" outlineLevel="0" collapsed="false">
      <c r="A46" s="73"/>
      <c r="B46" s="74"/>
      <c r="C46" s="75" t="str">
        <f aca="false">IF(A46=0,"",VLOOKUP(A46,[3]CO!$A$3:$F$5311,2,0))</f>
        <v/>
      </c>
      <c r="D46" s="76"/>
      <c r="E46" s="76"/>
      <c r="F46" s="76"/>
      <c r="G46" s="77" t="str">
        <f aca="false">IF(A46=0,"",VLOOKUP(A46,[3]CO!$A$3:$F$5311,3,0))</f>
        <v/>
      </c>
      <c r="H46" s="76"/>
      <c r="I46" s="78"/>
      <c r="J46" s="78"/>
      <c r="K46" s="78"/>
      <c r="L46" s="78"/>
      <c r="M46" s="79" t="str">
        <f aca="false">IF(L46=0,"",PRODUCT(I46:L46))</f>
        <v/>
      </c>
      <c r="N46" s="79" t="str">
        <f aca="false">IF(B46=0,"",IF(H46="M",HLOOKUP(B46,$Y$12:$DT$13,2),IF(A46=0,"",VLOOKUP(A46,[3]CO!$A$3:$F$5311,4,0))))</f>
        <v/>
      </c>
      <c r="O46" s="79" t="str">
        <f aca="false">IF(L46=0,"",PRODUCT(M46:N46))</f>
        <v/>
      </c>
      <c r="P46" s="80"/>
      <c r="Q46" s="81" t="str">
        <f aca="false">IF(P46=0,"",(HLOOKUP(P46,$DW$12:$HR$13,2)))</f>
        <v/>
      </c>
      <c r="R46" s="82" t="str">
        <f aca="false">IF(S46=0,"",IF(OR(G46="PEON",G46="OF",G46="JARD",G46="CARP",G46="MAESTRO",G46="SOLD",G46="BGRO",G46="CHOFER",G46="AYTE",G46="S.INTTE.",G46="ASEO",G46="P.PISOS",G46="VELADOR",G46="RESID",G46="PINTOR",G46="ELECT",G46="AZULE",G46="AUX CONT.",G46="SECRETARIA",G46="AUXILIAR ADMTVO.",G46="ARQUITECTO",G46="DIBUJANTE",G46="AUX. DE RESIDENTE"),VLOOKUP(B46,P$14:Q$131,2),"")*S46)</f>
        <v/>
      </c>
      <c r="S46" s="5"/>
      <c r="T46" s="65" t="str">
        <f aca="false">IF(A46=0,"",VLOOKUP(A46,[3]CO!$A$3:$F$5302,5,0))</f>
        <v/>
      </c>
      <c r="U46" s="55" t="n">
        <f aca="false">IF(T46=1,O46*0.1,)</f>
        <v>0</v>
      </c>
      <c r="V46" s="66"/>
      <c r="W46" s="83"/>
      <c r="X46" s="83"/>
      <c r="Y46" s="84" t="str">
        <f aca="false">IF($B46=Y$12,$U46,"")</f>
        <v/>
      </c>
      <c r="Z46" s="85" t="str">
        <f aca="false">IF($B46=Z$12,$U46,"")</f>
        <v/>
      </c>
      <c r="AA46" s="85" t="str">
        <f aca="false">IF($B46=AA$12,$U46,"")</f>
        <v/>
      </c>
      <c r="AB46" s="85" t="str">
        <f aca="false">IF($B46=AB$12,$U46,"")</f>
        <v/>
      </c>
      <c r="AC46" s="85" t="str">
        <f aca="false">IF($B46=AC$12,$U46,"")</f>
        <v/>
      </c>
      <c r="AD46" s="85" t="str">
        <f aca="false">IF($B46=AD$12,$U46,"")</f>
        <v/>
      </c>
      <c r="AE46" s="85" t="str">
        <f aca="false">IF($B46=AE$12,$U46,"")</f>
        <v/>
      </c>
      <c r="AF46" s="85" t="str">
        <f aca="false">IF($B46=AF$12,$U46,"")</f>
        <v/>
      </c>
      <c r="AG46" s="85" t="str">
        <f aca="false">IF($B46=AG$12,$U46,"")</f>
        <v/>
      </c>
      <c r="AH46" s="85" t="str">
        <f aca="false">IF($B46=AH$12,$U46,"")</f>
        <v/>
      </c>
      <c r="AI46" s="85" t="str">
        <f aca="false">IF($B46=AI$12,$U46,"")</f>
        <v/>
      </c>
      <c r="AJ46" s="85" t="str">
        <f aca="false">IF($B46=AJ$12,$U46,"")</f>
        <v/>
      </c>
      <c r="AK46" s="85" t="str">
        <f aca="false">IF($B46=AK$12,$U46,"")</f>
        <v/>
      </c>
      <c r="AL46" s="85" t="str">
        <f aca="false">IF($B46=AL$12,$U46,"")</f>
        <v/>
      </c>
      <c r="AM46" s="85" t="str">
        <f aca="false">IF($B46=AM$12,$U46,"")</f>
        <v/>
      </c>
      <c r="AN46" s="85" t="str">
        <f aca="false">IF($B46=AN$12,$U46,"")</f>
        <v/>
      </c>
      <c r="AO46" s="85" t="str">
        <f aca="false">IF($B46=AO$12,$U46,"")</f>
        <v/>
      </c>
      <c r="AP46" s="85" t="str">
        <f aca="false">IF($B46=AP$12,$U46,"")</f>
        <v/>
      </c>
      <c r="AQ46" s="85" t="str">
        <f aca="false">IF($B46=AQ$12,$U46,"")</f>
        <v/>
      </c>
      <c r="AR46" s="85" t="str">
        <f aca="false">IF($B46=AR$12,$U46,"")</f>
        <v/>
      </c>
      <c r="AS46" s="85" t="str">
        <f aca="false">IF($B46=AS$12,$U46,"")</f>
        <v/>
      </c>
      <c r="AT46" s="85" t="str">
        <f aca="false">IF($B46=AT$12,$U46,"")</f>
        <v/>
      </c>
      <c r="AU46" s="85" t="str">
        <f aca="false">IF($B46=AU$12,$U46,"")</f>
        <v/>
      </c>
      <c r="AV46" s="85" t="str">
        <f aca="false">IF($B46=AV$12,$U46,"")</f>
        <v/>
      </c>
      <c r="AW46" s="85" t="str">
        <f aca="false">IF($B46=AW$12,$U46,"")</f>
        <v/>
      </c>
      <c r="AX46" s="85" t="str">
        <f aca="false">IF($B46=AX$12,$U46,"")</f>
        <v/>
      </c>
      <c r="AY46" s="85" t="str">
        <f aca="false">IF($B46=AY$12,$U46,"")</f>
        <v/>
      </c>
      <c r="AZ46" s="85" t="str">
        <f aca="false">IF($B46=AZ$12,$U46,"")</f>
        <v/>
      </c>
      <c r="BA46" s="85" t="str">
        <f aca="false">IF($B46=BA$12,$U46,"")</f>
        <v/>
      </c>
      <c r="BB46" s="85" t="str">
        <f aca="false">IF($B46=BB$12,$U46,"")</f>
        <v/>
      </c>
      <c r="BC46" s="85" t="str">
        <f aca="false">IF($B46=BC$12,$U46,"")</f>
        <v/>
      </c>
      <c r="BD46" s="85" t="str">
        <f aca="false">IF($B46=BD$12,$U46,"")</f>
        <v/>
      </c>
      <c r="BE46" s="85" t="str">
        <f aca="false">IF($B46=BE$12,$U46,"")</f>
        <v/>
      </c>
      <c r="BF46" s="85" t="str">
        <f aca="false">IF($B46=BF$12,$U46,"")</f>
        <v/>
      </c>
      <c r="BG46" s="85" t="str">
        <f aca="false">IF($B46=BG$12,$U46,"")</f>
        <v/>
      </c>
      <c r="BH46" s="85" t="str">
        <f aca="false">IF($B46=BH$12,$U46,"")</f>
        <v/>
      </c>
      <c r="BI46" s="85" t="str">
        <f aca="false">IF($B46=BI$12,$U46,"")</f>
        <v/>
      </c>
      <c r="BJ46" s="85" t="str">
        <f aca="false">IF($B46=BJ$12,$U46,"")</f>
        <v/>
      </c>
      <c r="BK46" s="85" t="str">
        <f aca="false">IF($B46=BK$12,$U46,"")</f>
        <v/>
      </c>
      <c r="BL46" s="85" t="str">
        <f aca="false">IF($B46=BL$12,$U46,"")</f>
        <v/>
      </c>
      <c r="BM46" s="85" t="str">
        <f aca="false">IF($B46=BM$12,$U46,"")</f>
        <v/>
      </c>
      <c r="BN46" s="85" t="str">
        <f aca="false">IF($B46=BN$12,$U46,"")</f>
        <v/>
      </c>
      <c r="BO46" s="85" t="str">
        <f aca="false">IF($B46=BO$12,$U46,"")</f>
        <v/>
      </c>
      <c r="BP46" s="85" t="str">
        <f aca="false">IF($B46=BP$12,$U46,"")</f>
        <v/>
      </c>
      <c r="BQ46" s="85" t="str">
        <f aca="false">IF($B46=BQ$12,$U46,"")</f>
        <v/>
      </c>
      <c r="BR46" s="85" t="str">
        <f aca="false">IF($B46=BR$12,$U46,"")</f>
        <v/>
      </c>
      <c r="BS46" s="85" t="str">
        <f aca="false">IF($B46=BS$12,$U46,"")</f>
        <v/>
      </c>
      <c r="BT46" s="85" t="str">
        <f aca="false">IF($B46=BT$12,$U46,"")</f>
        <v/>
      </c>
      <c r="BU46" s="85" t="str">
        <f aca="false">IF($B46=BU$12,$U46,"")</f>
        <v/>
      </c>
      <c r="BV46" s="85" t="str">
        <f aca="false">IF($B46=BV$12,$U46,"")</f>
        <v/>
      </c>
      <c r="BW46" s="85" t="str">
        <f aca="false">IF($B46=BW$12,$U46,"")</f>
        <v/>
      </c>
      <c r="BX46" s="85" t="str">
        <f aca="false">IF($B46=BX$12,$U46,"")</f>
        <v/>
      </c>
      <c r="BY46" s="85" t="str">
        <f aca="false">IF($B46=BY$12,$U46,"")</f>
        <v/>
      </c>
      <c r="BZ46" s="85" t="str">
        <f aca="false">IF($B46=BZ$12,$U46,"")</f>
        <v/>
      </c>
      <c r="CA46" s="85" t="str">
        <f aca="false">IF($B46=CA$12,$U46,"")</f>
        <v/>
      </c>
      <c r="CB46" s="85" t="str">
        <f aca="false">IF($B46=CB$12,$U46,"")</f>
        <v/>
      </c>
      <c r="CC46" s="85" t="str">
        <f aca="false">IF($B46=CC$12,$U46,"")</f>
        <v/>
      </c>
      <c r="CD46" s="85" t="str">
        <f aca="false">IF($B46=CD$12,$U46,"")</f>
        <v/>
      </c>
      <c r="CE46" s="85" t="str">
        <f aca="false">IF($B46=CE$12,$U46,"")</f>
        <v/>
      </c>
      <c r="CF46" s="85" t="str">
        <f aca="false">IF($B46=CF$12,$U46,"")</f>
        <v/>
      </c>
      <c r="CG46" s="85" t="str">
        <f aca="false">IF($B46=CG$12,$U46,"")</f>
        <v/>
      </c>
      <c r="CH46" s="85" t="str">
        <f aca="false">IF($B46=CH$12,$U46,"")</f>
        <v/>
      </c>
      <c r="CI46" s="85" t="str">
        <f aca="false">IF($B46=CI$12,$U46,"")</f>
        <v/>
      </c>
      <c r="CJ46" s="85" t="str">
        <f aca="false">IF($B46=CJ$12,$U46,"")</f>
        <v/>
      </c>
      <c r="CK46" s="85" t="str">
        <f aca="false">IF($B46=CK$12,$U46,"")</f>
        <v/>
      </c>
      <c r="CL46" s="85" t="str">
        <f aca="false">IF($B46=CL$12,$U46,"")</f>
        <v/>
      </c>
      <c r="CM46" s="85" t="str">
        <f aca="false">IF($B46=CM$12,$U46,"")</f>
        <v/>
      </c>
      <c r="CN46" s="85" t="str">
        <f aca="false">IF($B46=CN$12,$U46,"")</f>
        <v/>
      </c>
      <c r="CO46" s="85" t="str">
        <f aca="false">IF($B46=CO$12,$U46,"")</f>
        <v/>
      </c>
      <c r="CP46" s="85" t="str">
        <f aca="false">IF($B46=CP$12,$U46,"")</f>
        <v/>
      </c>
      <c r="CQ46" s="85" t="str">
        <f aca="false">IF($B46=CQ$12,$U46,"")</f>
        <v/>
      </c>
      <c r="CR46" s="85" t="str">
        <f aca="false">IF($B46=CR$12,$U46,"")</f>
        <v/>
      </c>
      <c r="CS46" s="85" t="str">
        <f aca="false">IF($B46=CS$12,$U46,"")</f>
        <v/>
      </c>
      <c r="CT46" s="85" t="str">
        <f aca="false">IF($B46=CT$12,$U46,"")</f>
        <v/>
      </c>
      <c r="CU46" s="85" t="str">
        <f aca="false">IF($B46=CU$12,$U46,"")</f>
        <v/>
      </c>
      <c r="CV46" s="85" t="str">
        <f aca="false">IF($B46=CV$12,$U46,"")</f>
        <v/>
      </c>
      <c r="CW46" s="85" t="str">
        <f aca="false">IF($B46=CW$12,$U46,"")</f>
        <v/>
      </c>
      <c r="CX46" s="85" t="str">
        <f aca="false">IF($B46=CX$12,$U46,"")</f>
        <v/>
      </c>
      <c r="CY46" s="85" t="str">
        <f aca="false">IF($B46=CY$12,$U46,"")</f>
        <v/>
      </c>
      <c r="CZ46" s="85" t="str">
        <f aca="false">IF($B46=CZ$12,$U46,"")</f>
        <v/>
      </c>
      <c r="DA46" s="85" t="str">
        <f aca="false">IF($B46=DA$12,$U46,"")</f>
        <v/>
      </c>
      <c r="DB46" s="85" t="str">
        <f aca="false">IF($B46=DB$12,$U46,"")</f>
        <v/>
      </c>
      <c r="DC46" s="85" t="str">
        <f aca="false">IF($B46=DC$12,$U46,"")</f>
        <v/>
      </c>
      <c r="DD46" s="85" t="str">
        <f aca="false">IF($B46=DD$12,$U46,"")</f>
        <v/>
      </c>
      <c r="DE46" s="85" t="str">
        <f aca="false">IF($B46=DE$12,$U46,"")</f>
        <v/>
      </c>
      <c r="DF46" s="85" t="str">
        <f aca="false">IF($B46=DF$12,$U46,"")</f>
        <v/>
      </c>
      <c r="DG46" s="85" t="str">
        <f aca="false">IF($B46=DG$12,$U46,"")</f>
        <v/>
      </c>
      <c r="DH46" s="85" t="str">
        <f aca="false">IF($B46=DH$12,$U46,"")</f>
        <v/>
      </c>
      <c r="DI46" s="85" t="str">
        <f aca="false">IF($B46=DI$12,$U46,"")</f>
        <v/>
      </c>
      <c r="DJ46" s="85" t="str">
        <f aca="false">IF($B46=DJ$12,$U46,"")</f>
        <v/>
      </c>
      <c r="DK46" s="85" t="str">
        <f aca="false">IF($B46=DK$12,$U46,"")</f>
        <v/>
      </c>
      <c r="DL46" s="85" t="str">
        <f aca="false">IF($B46=DL$12,$U46,"")</f>
        <v/>
      </c>
      <c r="DM46" s="85" t="str">
        <f aca="false">IF($B46=DM$12,$U46,"")</f>
        <v/>
      </c>
      <c r="DN46" s="85" t="str">
        <f aca="false">IF($B46=DN$12,$U46,"")</f>
        <v/>
      </c>
      <c r="DO46" s="85" t="str">
        <f aca="false">IF($B46=DO$12,$U46,"")</f>
        <v/>
      </c>
      <c r="DP46" s="85" t="str">
        <f aca="false">IF($B46=DP$12,$U46,"")</f>
        <v/>
      </c>
      <c r="DQ46" s="85" t="str">
        <f aca="false">IF($B46=DQ$12,$U46,"")</f>
        <v/>
      </c>
      <c r="DR46" s="85" t="str">
        <f aca="false">IF($B46=DR$12,$U46,"")</f>
        <v/>
      </c>
      <c r="DS46" s="85" t="str">
        <f aca="false">IF($B46=DS$12,$U46,"")</f>
        <v/>
      </c>
      <c r="DT46" s="86" t="str">
        <f aca="false">IF($B46=DT$12,$U46,"")</f>
        <v/>
      </c>
      <c r="DU46" s="55"/>
      <c r="DV46" s="83"/>
      <c r="DW46" s="87" t="str">
        <f aca="false">IF($B46=DW$12,$O46,"")</f>
        <v/>
      </c>
      <c r="DX46" s="88" t="str">
        <f aca="false">IF($B46=DX$12,$O46,"")</f>
        <v/>
      </c>
      <c r="DY46" s="88" t="str">
        <f aca="false">IF($B46=DY$12,$O46,"")</f>
        <v/>
      </c>
      <c r="DZ46" s="88" t="str">
        <f aca="false">IF($B46=DZ$12,$O46,"")</f>
        <v/>
      </c>
      <c r="EA46" s="88" t="str">
        <f aca="false">IF($B46=EA$12,$O46,"")</f>
        <v/>
      </c>
      <c r="EB46" s="88" t="str">
        <f aca="false">IF($B46=EB$12,$O46,"")</f>
        <v/>
      </c>
      <c r="EC46" s="88" t="str">
        <f aca="false">IF($B46=EC$12,$O46,"")</f>
        <v/>
      </c>
      <c r="ED46" s="88" t="str">
        <f aca="false">IF($B46=ED$12,$O46,"")</f>
        <v/>
      </c>
      <c r="EE46" s="88" t="str">
        <f aca="false">IF($B46=EE$12,$O46,"")</f>
        <v/>
      </c>
      <c r="EF46" s="88" t="str">
        <f aca="false">IF($B46=EF$12,$O46,"")</f>
        <v/>
      </c>
      <c r="EG46" s="88" t="str">
        <f aca="false">IF($B46=EG$12,$O46,"")</f>
        <v/>
      </c>
      <c r="EH46" s="88" t="str">
        <f aca="false">IF($B46=EH$12,$O46,"")</f>
        <v/>
      </c>
      <c r="EI46" s="88" t="str">
        <f aca="false">IF($B46=EI$12,$O46,"")</f>
        <v/>
      </c>
      <c r="EJ46" s="88" t="str">
        <f aca="false">IF($B46=EJ$12,$O46,"")</f>
        <v/>
      </c>
      <c r="EK46" s="88" t="str">
        <f aca="false">IF($B46=EK$12,$O46,"")</f>
        <v/>
      </c>
      <c r="EL46" s="88" t="str">
        <f aca="false">IF($B46=EL$12,$O46,"")</f>
        <v/>
      </c>
      <c r="EM46" s="88" t="str">
        <f aca="false">IF($B46=EM$12,$O46,"")</f>
        <v/>
      </c>
      <c r="EN46" s="88" t="str">
        <f aca="false">IF($B46=EN$12,$O46,"")</f>
        <v/>
      </c>
      <c r="EO46" s="88" t="str">
        <f aca="false">IF($B46=EO$12,$O46,"")</f>
        <v/>
      </c>
      <c r="EP46" s="88" t="str">
        <f aca="false">IF($B46=EP$12,$O46,"")</f>
        <v/>
      </c>
      <c r="EQ46" s="88" t="str">
        <f aca="false">IF($B46=EQ$12,$O46,"")</f>
        <v/>
      </c>
      <c r="ER46" s="88" t="str">
        <f aca="false">IF($B46=ER$12,$O46,"")</f>
        <v/>
      </c>
      <c r="ES46" s="88" t="str">
        <f aca="false">IF($B46=ES$12,$O46,"")</f>
        <v/>
      </c>
      <c r="ET46" s="88" t="str">
        <f aca="false">IF($B46=ET$12,$O46,"")</f>
        <v/>
      </c>
      <c r="EU46" s="88" t="str">
        <f aca="false">IF($B46=EU$12,$O46,"")</f>
        <v/>
      </c>
      <c r="EV46" s="88" t="str">
        <f aca="false">IF($B46=EV$12,$O46,"")</f>
        <v/>
      </c>
      <c r="EW46" s="88" t="str">
        <f aca="false">IF($B46=EW$12,$O46,"")</f>
        <v/>
      </c>
      <c r="EX46" s="88" t="str">
        <f aca="false">IF($B46=EX$12,$O46,"")</f>
        <v/>
      </c>
      <c r="EY46" s="88" t="str">
        <f aca="false">IF($B46=EY$12,$O46,"")</f>
        <v/>
      </c>
      <c r="EZ46" s="88" t="str">
        <f aca="false">IF($B46=EZ$12,$O46,"")</f>
        <v/>
      </c>
      <c r="FA46" s="88" t="str">
        <f aca="false">IF($B46=FA$12,$O46,"")</f>
        <v/>
      </c>
      <c r="FB46" s="88" t="str">
        <f aca="false">IF($B46=FB$12,$O46,"")</f>
        <v/>
      </c>
      <c r="FC46" s="88" t="str">
        <f aca="false">IF($B46=FC$12,$O46,"")</f>
        <v/>
      </c>
      <c r="FD46" s="88" t="str">
        <f aca="false">IF($B46=FD$12,$O46,"")</f>
        <v/>
      </c>
      <c r="FE46" s="88" t="str">
        <f aca="false">IF($B46=FE$12,$O46,"")</f>
        <v/>
      </c>
      <c r="FF46" s="88" t="str">
        <f aca="false">IF($B46=FF$12,$O46,"")</f>
        <v/>
      </c>
      <c r="FG46" s="88" t="str">
        <f aca="false">IF($B46=FG$12,$O46,"")</f>
        <v/>
      </c>
      <c r="FH46" s="88" t="str">
        <f aca="false">IF($B46=FH$12,$O46,"")</f>
        <v/>
      </c>
      <c r="FI46" s="88" t="str">
        <f aca="false">IF($B46=FI$12,$O46,"")</f>
        <v/>
      </c>
      <c r="FJ46" s="88" t="str">
        <f aca="false">IF($B46=FJ$12,$O46,"")</f>
        <v/>
      </c>
      <c r="FK46" s="88" t="str">
        <f aca="false">IF($B46=FK$12,$O46,"")</f>
        <v/>
      </c>
      <c r="FL46" s="88" t="str">
        <f aca="false">IF($B46=FL$12,$O46,"")</f>
        <v/>
      </c>
      <c r="FM46" s="88" t="str">
        <f aca="false">IF($B46=FM$12,$O46,"")</f>
        <v/>
      </c>
      <c r="FN46" s="88" t="str">
        <f aca="false">IF($B46=FN$12,$O46,"")</f>
        <v/>
      </c>
      <c r="FO46" s="88" t="str">
        <f aca="false">IF($B46=FO$12,$O46,"")</f>
        <v/>
      </c>
      <c r="FP46" s="88" t="str">
        <f aca="false">IF($B46=FP$12,$O46,"")</f>
        <v/>
      </c>
      <c r="FQ46" s="88" t="str">
        <f aca="false">IF($B46=FQ$12,$O46,"")</f>
        <v/>
      </c>
      <c r="FR46" s="88" t="str">
        <f aca="false">IF($B46=FR$12,$O46,"")</f>
        <v/>
      </c>
      <c r="FS46" s="88" t="str">
        <f aca="false">IF($B46=FS$12,$O46,"")</f>
        <v/>
      </c>
      <c r="FT46" s="88" t="str">
        <f aca="false">IF($B46=FT$12,$O46,"")</f>
        <v/>
      </c>
      <c r="FU46" s="88" t="str">
        <f aca="false">IF($B46=FU$12,$O46,"")</f>
        <v/>
      </c>
      <c r="FV46" s="88" t="str">
        <f aca="false">IF($B46=FV$12,$O46,"")</f>
        <v/>
      </c>
      <c r="FW46" s="88" t="str">
        <f aca="false">IF($B46=FW$12,$O46,"")</f>
        <v/>
      </c>
      <c r="FX46" s="88" t="str">
        <f aca="false">IF($B46=FX$12,$O46,"")</f>
        <v/>
      </c>
      <c r="FY46" s="88" t="str">
        <f aca="false">IF($B46=FY$12,$O46,"")</f>
        <v/>
      </c>
      <c r="FZ46" s="88" t="str">
        <f aca="false">IF($B46=FZ$12,$O46,"")</f>
        <v/>
      </c>
      <c r="GA46" s="88" t="str">
        <f aca="false">IF($B46=GA$12,$O46,"")</f>
        <v/>
      </c>
      <c r="GB46" s="88" t="str">
        <f aca="false">IF($B46=GB$12,$O46,"")</f>
        <v/>
      </c>
      <c r="GC46" s="88" t="str">
        <f aca="false">IF($B46=GC$12,$O46,"")</f>
        <v/>
      </c>
      <c r="GD46" s="88" t="str">
        <f aca="false">IF($B46=GD$12,$O46,"")</f>
        <v/>
      </c>
      <c r="GE46" s="88" t="str">
        <f aca="false">IF($B46=GE$12,$O46,"")</f>
        <v/>
      </c>
      <c r="GF46" s="88" t="str">
        <f aca="false">IF($B46=GF$12,$O46,"")</f>
        <v/>
      </c>
      <c r="GG46" s="88" t="str">
        <f aca="false">IF($B46=GG$12,$O46,"")</f>
        <v/>
      </c>
      <c r="GH46" s="88" t="str">
        <f aca="false">IF($B46=GH$12,$O46,"")</f>
        <v/>
      </c>
      <c r="GI46" s="88" t="str">
        <f aca="false">IF($B46=GI$12,$O46,"")</f>
        <v/>
      </c>
      <c r="GJ46" s="88" t="str">
        <f aca="false">IF($B46=GJ$12,$O46,"")</f>
        <v/>
      </c>
      <c r="GK46" s="88" t="str">
        <f aca="false">IF($B46=GK$12,$O46,"")</f>
        <v/>
      </c>
      <c r="GL46" s="88" t="str">
        <f aca="false">IF($B46=GL$12,$O46,"")</f>
        <v/>
      </c>
      <c r="GM46" s="88" t="str">
        <f aca="false">IF($B46=GM$12,$O46,"")</f>
        <v/>
      </c>
      <c r="GN46" s="88" t="str">
        <f aca="false">IF($B46=GN$12,$O46,"")</f>
        <v/>
      </c>
      <c r="GO46" s="88" t="str">
        <f aca="false">IF($B46=GO$12,$O46,"")</f>
        <v/>
      </c>
      <c r="GP46" s="88" t="str">
        <f aca="false">IF($B46=GP$12,$O46,"")</f>
        <v/>
      </c>
      <c r="GQ46" s="88" t="str">
        <f aca="false">IF($B46=GQ$12,$O46,"")</f>
        <v/>
      </c>
      <c r="GR46" s="88" t="str">
        <f aca="false">IF($B46=GR$12,$O46,"")</f>
        <v/>
      </c>
      <c r="GS46" s="88" t="str">
        <f aca="false">IF($B46=GS$12,$O46,"")</f>
        <v/>
      </c>
      <c r="GT46" s="88" t="str">
        <f aca="false">IF($B46=GT$12,$O46,"")</f>
        <v/>
      </c>
      <c r="GU46" s="88" t="str">
        <f aca="false">IF($B46=GU$12,$O46,"")</f>
        <v/>
      </c>
      <c r="GV46" s="88" t="str">
        <f aca="false">IF($B46=GV$12,$O46,"")</f>
        <v/>
      </c>
      <c r="GW46" s="88" t="str">
        <f aca="false">IF($B46=GW$12,$O46,"")</f>
        <v/>
      </c>
      <c r="GX46" s="88" t="str">
        <f aca="false">IF($B46=GX$12,$O46,"")</f>
        <v/>
      </c>
      <c r="GY46" s="88" t="str">
        <f aca="false">IF($B46=GY$12,$O46,"")</f>
        <v/>
      </c>
      <c r="GZ46" s="88" t="str">
        <f aca="false">IF($B46=GZ$12,$O46,"")</f>
        <v/>
      </c>
      <c r="HA46" s="88" t="str">
        <f aca="false">IF($B46=HA$12,$O46,"")</f>
        <v/>
      </c>
      <c r="HB46" s="88" t="str">
        <f aca="false">IF($B46=HB$12,$O46,"")</f>
        <v/>
      </c>
      <c r="HC46" s="88" t="str">
        <f aca="false">IF($B46=HC$12,$O46,"")</f>
        <v/>
      </c>
      <c r="HD46" s="88" t="str">
        <f aca="false">IF($B46=HD$12,$O46,"")</f>
        <v/>
      </c>
      <c r="HE46" s="88" t="str">
        <f aca="false">IF($B46=HE$12,$O46,"")</f>
        <v/>
      </c>
      <c r="HF46" s="88" t="str">
        <f aca="false">IF($B46=HF$12,$O46,"")</f>
        <v/>
      </c>
      <c r="HG46" s="88" t="str">
        <f aca="false">IF($B46=HG$12,$O46,"")</f>
        <v/>
      </c>
      <c r="HH46" s="88" t="str">
        <f aca="false">IF($B46=HH$12,$O46,"")</f>
        <v/>
      </c>
      <c r="HI46" s="88" t="str">
        <f aca="false">IF($B46=HI$12,$O46,"")</f>
        <v/>
      </c>
      <c r="HJ46" s="88" t="str">
        <f aca="false">IF($B46=HJ$12,$O46,"")</f>
        <v/>
      </c>
      <c r="HK46" s="88" t="str">
        <f aca="false">IF($B46=HK$12,$O46,"")</f>
        <v/>
      </c>
      <c r="HL46" s="88" t="str">
        <f aca="false">IF($B46=HL$12,$O46,"")</f>
        <v/>
      </c>
      <c r="HM46" s="88" t="str">
        <f aca="false">IF($B46=HM$12,$O46,"")</f>
        <v/>
      </c>
      <c r="HN46" s="88" t="str">
        <f aca="false">IF($B46=HN$12,$O46,"")</f>
        <v/>
      </c>
      <c r="HO46" s="88" t="str">
        <f aca="false">IF($B46=HO$12,$O46,"")</f>
        <v/>
      </c>
      <c r="HP46" s="88" t="str">
        <f aca="false">IF($B46=HP$12,$O46,"")</f>
        <v/>
      </c>
      <c r="HQ46" s="88" t="str">
        <f aca="false">IF($B46=HQ$12,$O46,"")</f>
        <v/>
      </c>
      <c r="HR46" s="89" t="str">
        <f aca="false">IF($B46=HR$12,$O46,"")</f>
        <v/>
      </c>
    </row>
    <row r="47" customFormat="false" ht="10.5" hidden="false" customHeight="true" outlineLevel="0" collapsed="false">
      <c r="A47" s="73"/>
      <c r="B47" s="74"/>
      <c r="C47" s="75" t="str">
        <f aca="false">IF(A47=0,"",VLOOKUP(A47,[3]CO!$A$3:$F$5311,2,0))</f>
        <v/>
      </c>
      <c r="D47" s="76"/>
      <c r="E47" s="76"/>
      <c r="F47" s="76"/>
      <c r="G47" s="77" t="str">
        <f aca="false">IF(A47=0,"",VLOOKUP(A47,[3]CO!$A$3:$F$5311,3,0))</f>
        <v/>
      </c>
      <c r="H47" s="76"/>
      <c r="I47" s="78"/>
      <c r="J47" s="78"/>
      <c r="K47" s="78"/>
      <c r="L47" s="78"/>
      <c r="M47" s="79" t="str">
        <f aca="false">IF(L47=0,"",PRODUCT(I47:L47))</f>
        <v/>
      </c>
      <c r="N47" s="79" t="str">
        <f aca="false">IF(B47=0,"",IF(H47="M",HLOOKUP(B47,$Y$12:$DT$13,2),IF(A47=0,"",VLOOKUP(A47,[3]CO!$A$3:$F$5311,4,0))))</f>
        <v/>
      </c>
      <c r="O47" s="79" t="str">
        <f aca="false">IF(L47=0,"",PRODUCT(M47:N47))</f>
        <v/>
      </c>
      <c r="P47" s="80"/>
      <c r="Q47" s="81" t="str">
        <f aca="false">IF(P47=0,"",(HLOOKUP(P47,$DW$12:$HR$13,2)))</f>
        <v/>
      </c>
      <c r="R47" s="82" t="str">
        <f aca="false">IF(S47=0,"",IF(OR(G47="PEON",G47="OF",G47="JARD",G47="CARP",G47="MAESTRO",G47="SOLD",G47="BGRO",G47="CHOFER",G47="AYTE",G47="S.INTTE.",G47="ASEO",G47="P.PISOS",G47="VELADOR",G47="RESID",G47="PINTOR",G47="ELECT",G47="AZULE",G47="AUX CONT.",G47="SECRETARIA",G47="AUXILIAR ADMTVO.",G47="ARQUITECTO",G47="DIBUJANTE",G47="AUX. DE RESIDENTE"),VLOOKUP(B47,P$14:Q$131,2),"")*S47)</f>
        <v/>
      </c>
      <c r="S47" s="5"/>
      <c r="T47" s="65" t="str">
        <f aca="false">IF(A47=0,"",VLOOKUP(A47,[3]CO!$A$3:$F$5302,5,0))</f>
        <v/>
      </c>
      <c r="U47" s="55" t="n">
        <f aca="false">IF(T47=1,O47*0.1,)</f>
        <v>0</v>
      </c>
      <c r="V47" s="66"/>
      <c r="W47" s="83"/>
      <c r="X47" s="83"/>
      <c r="Y47" s="84" t="str">
        <f aca="false">IF($B47=Y$12,$U47,"")</f>
        <v/>
      </c>
      <c r="Z47" s="85" t="str">
        <f aca="false">IF($B47=Z$12,$U47,"")</f>
        <v/>
      </c>
      <c r="AA47" s="85" t="str">
        <f aca="false">IF($B47=AA$12,$U47,"")</f>
        <v/>
      </c>
      <c r="AB47" s="85" t="str">
        <f aca="false">IF($B47=AB$12,$U47,"")</f>
        <v/>
      </c>
      <c r="AC47" s="85" t="str">
        <f aca="false">IF($B47=AC$12,$U47,"")</f>
        <v/>
      </c>
      <c r="AD47" s="85" t="str">
        <f aca="false">IF($B47=AD$12,$U47,"")</f>
        <v/>
      </c>
      <c r="AE47" s="85" t="str">
        <f aca="false">IF($B47=AE$12,$U47,"")</f>
        <v/>
      </c>
      <c r="AF47" s="85" t="str">
        <f aca="false">IF($B47=AF$12,$U47,"")</f>
        <v/>
      </c>
      <c r="AG47" s="85" t="str">
        <f aca="false">IF($B47=AG$12,$U47,"")</f>
        <v/>
      </c>
      <c r="AH47" s="85" t="str">
        <f aca="false">IF($B47=AH$12,$U47,"")</f>
        <v/>
      </c>
      <c r="AI47" s="85" t="str">
        <f aca="false">IF($B47=AI$12,$U47,"")</f>
        <v/>
      </c>
      <c r="AJ47" s="85" t="str">
        <f aca="false">IF($B47=AJ$12,$U47,"")</f>
        <v/>
      </c>
      <c r="AK47" s="85" t="str">
        <f aca="false">IF($B47=AK$12,$U47,"")</f>
        <v/>
      </c>
      <c r="AL47" s="85" t="str">
        <f aca="false">IF($B47=AL$12,$U47,"")</f>
        <v/>
      </c>
      <c r="AM47" s="85" t="str">
        <f aca="false">IF($B47=AM$12,$U47,"")</f>
        <v/>
      </c>
      <c r="AN47" s="85" t="str">
        <f aca="false">IF($B47=AN$12,$U47,"")</f>
        <v/>
      </c>
      <c r="AO47" s="85" t="str">
        <f aca="false">IF($B47=AO$12,$U47,"")</f>
        <v/>
      </c>
      <c r="AP47" s="85" t="str">
        <f aca="false">IF($B47=AP$12,$U47,"")</f>
        <v/>
      </c>
      <c r="AQ47" s="85" t="str">
        <f aca="false">IF($B47=AQ$12,$U47,"")</f>
        <v/>
      </c>
      <c r="AR47" s="85" t="str">
        <f aca="false">IF($B47=AR$12,$U47,"")</f>
        <v/>
      </c>
      <c r="AS47" s="85" t="str">
        <f aca="false">IF($B47=AS$12,$U47,"")</f>
        <v/>
      </c>
      <c r="AT47" s="85" t="str">
        <f aca="false">IF($B47=AT$12,$U47,"")</f>
        <v/>
      </c>
      <c r="AU47" s="85" t="str">
        <f aca="false">IF($B47=AU$12,$U47,"")</f>
        <v/>
      </c>
      <c r="AV47" s="85" t="str">
        <f aca="false">IF($B47=AV$12,$U47,"")</f>
        <v/>
      </c>
      <c r="AW47" s="85" t="str">
        <f aca="false">IF($B47=AW$12,$U47,"")</f>
        <v/>
      </c>
      <c r="AX47" s="85" t="str">
        <f aca="false">IF($B47=AX$12,$U47,"")</f>
        <v/>
      </c>
      <c r="AY47" s="85" t="str">
        <f aca="false">IF($B47=AY$12,$U47,"")</f>
        <v/>
      </c>
      <c r="AZ47" s="85" t="str">
        <f aca="false">IF($B47=AZ$12,$U47,"")</f>
        <v/>
      </c>
      <c r="BA47" s="85" t="str">
        <f aca="false">IF($B47=BA$12,$U47,"")</f>
        <v/>
      </c>
      <c r="BB47" s="85" t="str">
        <f aca="false">IF($B47=BB$12,$U47,"")</f>
        <v/>
      </c>
      <c r="BC47" s="85" t="str">
        <f aca="false">IF($B47=BC$12,$U47,"")</f>
        <v/>
      </c>
      <c r="BD47" s="85" t="str">
        <f aca="false">IF($B47=BD$12,$U47,"")</f>
        <v/>
      </c>
      <c r="BE47" s="85" t="str">
        <f aca="false">IF($B47=BE$12,$U47,"")</f>
        <v/>
      </c>
      <c r="BF47" s="85" t="str">
        <f aca="false">IF($B47=BF$12,$U47,"")</f>
        <v/>
      </c>
      <c r="BG47" s="85" t="str">
        <f aca="false">IF($B47=BG$12,$U47,"")</f>
        <v/>
      </c>
      <c r="BH47" s="85" t="str">
        <f aca="false">IF($B47=BH$12,$U47,"")</f>
        <v/>
      </c>
      <c r="BI47" s="85" t="str">
        <f aca="false">IF($B47=BI$12,$U47,"")</f>
        <v/>
      </c>
      <c r="BJ47" s="85" t="str">
        <f aca="false">IF($B47=BJ$12,$U47,"")</f>
        <v/>
      </c>
      <c r="BK47" s="85" t="str">
        <f aca="false">IF($B47=BK$12,$U47,"")</f>
        <v/>
      </c>
      <c r="BL47" s="85" t="str">
        <f aca="false">IF($B47=BL$12,$U47,"")</f>
        <v/>
      </c>
      <c r="BM47" s="85" t="str">
        <f aca="false">IF($B47=BM$12,$U47,"")</f>
        <v/>
      </c>
      <c r="BN47" s="85" t="str">
        <f aca="false">IF($B47=BN$12,$U47,"")</f>
        <v/>
      </c>
      <c r="BO47" s="85" t="str">
        <f aca="false">IF($B47=BO$12,$U47,"")</f>
        <v/>
      </c>
      <c r="BP47" s="85" t="str">
        <f aca="false">IF($B47=BP$12,$U47,"")</f>
        <v/>
      </c>
      <c r="BQ47" s="85" t="str">
        <f aca="false">IF($B47=BQ$12,$U47,"")</f>
        <v/>
      </c>
      <c r="BR47" s="85" t="str">
        <f aca="false">IF($B47=BR$12,$U47,"")</f>
        <v/>
      </c>
      <c r="BS47" s="85" t="str">
        <f aca="false">IF($B47=BS$12,$U47,"")</f>
        <v/>
      </c>
      <c r="BT47" s="85" t="str">
        <f aca="false">IF($B47=BT$12,$U47,"")</f>
        <v/>
      </c>
      <c r="BU47" s="85" t="str">
        <f aca="false">IF($B47=BU$12,$U47,"")</f>
        <v/>
      </c>
      <c r="BV47" s="85" t="str">
        <f aca="false">IF($B47=BV$12,$U47,"")</f>
        <v/>
      </c>
      <c r="BW47" s="85" t="str">
        <f aca="false">IF($B47=BW$12,$U47,"")</f>
        <v/>
      </c>
      <c r="BX47" s="85" t="str">
        <f aca="false">IF($B47=BX$12,$U47,"")</f>
        <v/>
      </c>
      <c r="BY47" s="85" t="str">
        <f aca="false">IF($B47=BY$12,$U47,"")</f>
        <v/>
      </c>
      <c r="BZ47" s="85" t="str">
        <f aca="false">IF($B47=BZ$12,$U47,"")</f>
        <v/>
      </c>
      <c r="CA47" s="85" t="str">
        <f aca="false">IF($B47=CA$12,$U47,"")</f>
        <v/>
      </c>
      <c r="CB47" s="85" t="str">
        <f aca="false">IF($B47=CB$12,$U47,"")</f>
        <v/>
      </c>
      <c r="CC47" s="85" t="str">
        <f aca="false">IF($B47=CC$12,$U47,"")</f>
        <v/>
      </c>
      <c r="CD47" s="85" t="str">
        <f aca="false">IF($B47=CD$12,$U47,"")</f>
        <v/>
      </c>
      <c r="CE47" s="85" t="str">
        <f aca="false">IF($B47=CE$12,$U47,"")</f>
        <v/>
      </c>
      <c r="CF47" s="85" t="str">
        <f aca="false">IF($B47=CF$12,$U47,"")</f>
        <v/>
      </c>
      <c r="CG47" s="85" t="str">
        <f aca="false">IF($B47=CG$12,$U47,"")</f>
        <v/>
      </c>
      <c r="CH47" s="85" t="str">
        <f aca="false">IF($B47=CH$12,$U47,"")</f>
        <v/>
      </c>
      <c r="CI47" s="85" t="str">
        <f aca="false">IF($B47=CI$12,$U47,"")</f>
        <v/>
      </c>
      <c r="CJ47" s="85" t="str">
        <f aca="false">IF($B47=CJ$12,$U47,"")</f>
        <v/>
      </c>
      <c r="CK47" s="85" t="str">
        <f aca="false">IF($B47=CK$12,$U47,"")</f>
        <v/>
      </c>
      <c r="CL47" s="85" t="str">
        <f aca="false">IF($B47=CL$12,$U47,"")</f>
        <v/>
      </c>
      <c r="CM47" s="85" t="str">
        <f aca="false">IF($B47=CM$12,$U47,"")</f>
        <v/>
      </c>
      <c r="CN47" s="85" t="str">
        <f aca="false">IF($B47=CN$12,$U47,"")</f>
        <v/>
      </c>
      <c r="CO47" s="85" t="str">
        <f aca="false">IF($B47=CO$12,$U47,"")</f>
        <v/>
      </c>
      <c r="CP47" s="85" t="str">
        <f aca="false">IF($B47=CP$12,$U47,"")</f>
        <v/>
      </c>
      <c r="CQ47" s="85" t="str">
        <f aca="false">IF($B47=CQ$12,$U47,"")</f>
        <v/>
      </c>
      <c r="CR47" s="85" t="str">
        <f aca="false">IF($B47=CR$12,$U47,"")</f>
        <v/>
      </c>
      <c r="CS47" s="85" t="str">
        <f aca="false">IF($B47=CS$12,$U47,"")</f>
        <v/>
      </c>
      <c r="CT47" s="85" t="str">
        <f aca="false">IF($B47=CT$12,$U47,"")</f>
        <v/>
      </c>
      <c r="CU47" s="85" t="str">
        <f aca="false">IF($B47=CU$12,$U47,"")</f>
        <v/>
      </c>
      <c r="CV47" s="85" t="str">
        <f aca="false">IF($B47=CV$12,$U47,"")</f>
        <v/>
      </c>
      <c r="CW47" s="85" t="str">
        <f aca="false">IF($B47=CW$12,$U47,"")</f>
        <v/>
      </c>
      <c r="CX47" s="85" t="str">
        <f aca="false">IF($B47=CX$12,$U47,"")</f>
        <v/>
      </c>
      <c r="CY47" s="85" t="str">
        <f aca="false">IF($B47=CY$12,$U47,"")</f>
        <v/>
      </c>
      <c r="CZ47" s="85" t="str">
        <f aca="false">IF($B47=CZ$12,$U47,"")</f>
        <v/>
      </c>
      <c r="DA47" s="85" t="str">
        <f aca="false">IF($B47=DA$12,$U47,"")</f>
        <v/>
      </c>
      <c r="DB47" s="85" t="str">
        <f aca="false">IF($B47=DB$12,$U47,"")</f>
        <v/>
      </c>
      <c r="DC47" s="85" t="str">
        <f aca="false">IF($B47=DC$12,$U47,"")</f>
        <v/>
      </c>
      <c r="DD47" s="85" t="str">
        <f aca="false">IF($B47=DD$12,$U47,"")</f>
        <v/>
      </c>
      <c r="DE47" s="85" t="str">
        <f aca="false">IF($B47=DE$12,$U47,"")</f>
        <v/>
      </c>
      <c r="DF47" s="85" t="str">
        <f aca="false">IF($B47=DF$12,$U47,"")</f>
        <v/>
      </c>
      <c r="DG47" s="85" t="str">
        <f aca="false">IF($B47=DG$12,$U47,"")</f>
        <v/>
      </c>
      <c r="DH47" s="85" t="str">
        <f aca="false">IF($B47=DH$12,$U47,"")</f>
        <v/>
      </c>
      <c r="DI47" s="85" t="str">
        <f aca="false">IF($B47=DI$12,$U47,"")</f>
        <v/>
      </c>
      <c r="DJ47" s="85" t="str">
        <f aca="false">IF($B47=DJ$12,$U47,"")</f>
        <v/>
      </c>
      <c r="DK47" s="85" t="str">
        <f aca="false">IF($B47=DK$12,$U47,"")</f>
        <v/>
      </c>
      <c r="DL47" s="85" t="str">
        <f aca="false">IF($B47=DL$12,$U47,"")</f>
        <v/>
      </c>
      <c r="DM47" s="85" t="str">
        <f aca="false">IF($B47=DM$12,$U47,"")</f>
        <v/>
      </c>
      <c r="DN47" s="85" t="str">
        <f aca="false">IF($B47=DN$12,$U47,"")</f>
        <v/>
      </c>
      <c r="DO47" s="85" t="str">
        <f aca="false">IF($B47=DO$12,$U47,"")</f>
        <v/>
      </c>
      <c r="DP47" s="85" t="str">
        <f aca="false">IF($B47=DP$12,$U47,"")</f>
        <v/>
      </c>
      <c r="DQ47" s="85" t="str">
        <f aca="false">IF($B47=DQ$12,$U47,"")</f>
        <v/>
      </c>
      <c r="DR47" s="85" t="str">
        <f aca="false">IF($B47=DR$12,$U47,"")</f>
        <v/>
      </c>
      <c r="DS47" s="85" t="str">
        <f aca="false">IF($B47=DS$12,$U47,"")</f>
        <v/>
      </c>
      <c r="DT47" s="86" t="str">
        <f aca="false">IF($B47=DT$12,$U47,"")</f>
        <v/>
      </c>
      <c r="DU47" s="55"/>
      <c r="DV47" s="83"/>
      <c r="DW47" s="87" t="str">
        <f aca="false">IF($B47=DW$12,$O47,"")</f>
        <v/>
      </c>
      <c r="DX47" s="88" t="str">
        <f aca="false">IF($B47=DX$12,$O47,"")</f>
        <v/>
      </c>
      <c r="DY47" s="88" t="str">
        <f aca="false">IF($B47=DY$12,$O47,"")</f>
        <v/>
      </c>
      <c r="DZ47" s="88" t="str">
        <f aca="false">IF($B47=DZ$12,$O47,"")</f>
        <v/>
      </c>
      <c r="EA47" s="88" t="str">
        <f aca="false">IF($B47=EA$12,$O47,"")</f>
        <v/>
      </c>
      <c r="EB47" s="88" t="str">
        <f aca="false">IF($B47=EB$12,$O47,"")</f>
        <v/>
      </c>
      <c r="EC47" s="88" t="str">
        <f aca="false">IF($B47=EC$12,$O47,"")</f>
        <v/>
      </c>
      <c r="ED47" s="88" t="str">
        <f aca="false">IF($B47=ED$12,$O47,"")</f>
        <v/>
      </c>
      <c r="EE47" s="88" t="str">
        <f aca="false">IF($B47=EE$12,$O47,"")</f>
        <v/>
      </c>
      <c r="EF47" s="88" t="str">
        <f aca="false">IF($B47=EF$12,$O47,"")</f>
        <v/>
      </c>
      <c r="EG47" s="88" t="str">
        <f aca="false">IF($B47=EG$12,$O47,"")</f>
        <v/>
      </c>
      <c r="EH47" s="88" t="str">
        <f aca="false">IF($B47=EH$12,$O47,"")</f>
        <v/>
      </c>
      <c r="EI47" s="88" t="str">
        <f aca="false">IF($B47=EI$12,$O47,"")</f>
        <v/>
      </c>
      <c r="EJ47" s="88" t="str">
        <f aca="false">IF($B47=EJ$12,$O47,"")</f>
        <v/>
      </c>
      <c r="EK47" s="88" t="str">
        <f aca="false">IF($B47=EK$12,$O47,"")</f>
        <v/>
      </c>
      <c r="EL47" s="88" t="str">
        <f aca="false">IF($B47=EL$12,$O47,"")</f>
        <v/>
      </c>
      <c r="EM47" s="88" t="str">
        <f aca="false">IF($B47=EM$12,$O47,"")</f>
        <v/>
      </c>
      <c r="EN47" s="88" t="str">
        <f aca="false">IF($B47=EN$12,$O47,"")</f>
        <v/>
      </c>
      <c r="EO47" s="88" t="str">
        <f aca="false">IF($B47=EO$12,$O47,"")</f>
        <v/>
      </c>
      <c r="EP47" s="88" t="str">
        <f aca="false">IF($B47=EP$12,$O47,"")</f>
        <v/>
      </c>
      <c r="EQ47" s="88" t="str">
        <f aca="false">IF($B47=EQ$12,$O47,"")</f>
        <v/>
      </c>
      <c r="ER47" s="88" t="str">
        <f aca="false">IF($B47=ER$12,$O47,"")</f>
        <v/>
      </c>
      <c r="ES47" s="88" t="str">
        <f aca="false">IF($B47=ES$12,$O47,"")</f>
        <v/>
      </c>
      <c r="ET47" s="88" t="str">
        <f aca="false">IF($B47=ET$12,$O47,"")</f>
        <v/>
      </c>
      <c r="EU47" s="88" t="str">
        <f aca="false">IF($B47=EU$12,$O47,"")</f>
        <v/>
      </c>
      <c r="EV47" s="88" t="str">
        <f aca="false">IF($B47=EV$12,$O47,"")</f>
        <v/>
      </c>
      <c r="EW47" s="88" t="str">
        <f aca="false">IF($B47=EW$12,$O47,"")</f>
        <v/>
      </c>
      <c r="EX47" s="88" t="str">
        <f aca="false">IF($B47=EX$12,$O47,"")</f>
        <v/>
      </c>
      <c r="EY47" s="88" t="str">
        <f aca="false">IF($B47=EY$12,$O47,"")</f>
        <v/>
      </c>
      <c r="EZ47" s="88" t="str">
        <f aca="false">IF($B47=EZ$12,$O47,"")</f>
        <v/>
      </c>
      <c r="FA47" s="88" t="str">
        <f aca="false">IF($B47=FA$12,$O47,"")</f>
        <v/>
      </c>
      <c r="FB47" s="88" t="str">
        <f aca="false">IF($B47=FB$12,$O47,"")</f>
        <v/>
      </c>
      <c r="FC47" s="88" t="str">
        <f aca="false">IF($B47=FC$12,$O47,"")</f>
        <v/>
      </c>
      <c r="FD47" s="88" t="str">
        <f aca="false">IF($B47=FD$12,$O47,"")</f>
        <v/>
      </c>
      <c r="FE47" s="88" t="str">
        <f aca="false">IF($B47=FE$12,$O47,"")</f>
        <v/>
      </c>
      <c r="FF47" s="88" t="str">
        <f aca="false">IF($B47=FF$12,$O47,"")</f>
        <v/>
      </c>
      <c r="FG47" s="88" t="str">
        <f aca="false">IF($B47=FG$12,$O47,"")</f>
        <v/>
      </c>
      <c r="FH47" s="88" t="str">
        <f aca="false">IF($B47=FH$12,$O47,"")</f>
        <v/>
      </c>
      <c r="FI47" s="88" t="str">
        <f aca="false">IF($B47=FI$12,$O47,"")</f>
        <v/>
      </c>
      <c r="FJ47" s="88" t="str">
        <f aca="false">IF($B47=FJ$12,$O47,"")</f>
        <v/>
      </c>
      <c r="FK47" s="88" t="str">
        <f aca="false">IF($B47=FK$12,$O47,"")</f>
        <v/>
      </c>
      <c r="FL47" s="88" t="str">
        <f aca="false">IF($B47=FL$12,$O47,"")</f>
        <v/>
      </c>
      <c r="FM47" s="88" t="str">
        <f aca="false">IF($B47=FM$12,$O47,"")</f>
        <v/>
      </c>
      <c r="FN47" s="88" t="str">
        <f aca="false">IF($B47=FN$12,$O47,"")</f>
        <v/>
      </c>
      <c r="FO47" s="88" t="str">
        <f aca="false">IF($B47=FO$12,$O47,"")</f>
        <v/>
      </c>
      <c r="FP47" s="88" t="str">
        <f aca="false">IF($B47=FP$12,$O47,"")</f>
        <v/>
      </c>
      <c r="FQ47" s="88" t="str">
        <f aca="false">IF($B47=FQ$12,$O47,"")</f>
        <v/>
      </c>
      <c r="FR47" s="88" t="str">
        <f aca="false">IF($B47=FR$12,$O47,"")</f>
        <v/>
      </c>
      <c r="FS47" s="88" t="str">
        <f aca="false">IF($B47=FS$12,$O47,"")</f>
        <v/>
      </c>
      <c r="FT47" s="88" t="str">
        <f aca="false">IF($B47=FT$12,$O47,"")</f>
        <v/>
      </c>
      <c r="FU47" s="88" t="str">
        <f aca="false">IF($B47=FU$12,$O47,"")</f>
        <v/>
      </c>
      <c r="FV47" s="88" t="str">
        <f aca="false">IF($B47=FV$12,$O47,"")</f>
        <v/>
      </c>
      <c r="FW47" s="88" t="str">
        <f aca="false">IF($B47=FW$12,$O47,"")</f>
        <v/>
      </c>
      <c r="FX47" s="88" t="str">
        <f aca="false">IF($B47=FX$12,$O47,"")</f>
        <v/>
      </c>
      <c r="FY47" s="88" t="str">
        <f aca="false">IF($B47=FY$12,$O47,"")</f>
        <v/>
      </c>
      <c r="FZ47" s="88" t="str">
        <f aca="false">IF($B47=FZ$12,$O47,"")</f>
        <v/>
      </c>
      <c r="GA47" s="88" t="str">
        <f aca="false">IF($B47=GA$12,$O47,"")</f>
        <v/>
      </c>
      <c r="GB47" s="88" t="str">
        <f aca="false">IF($B47=GB$12,$O47,"")</f>
        <v/>
      </c>
      <c r="GC47" s="88" t="str">
        <f aca="false">IF($B47=GC$12,$O47,"")</f>
        <v/>
      </c>
      <c r="GD47" s="88" t="str">
        <f aca="false">IF($B47=GD$12,$O47,"")</f>
        <v/>
      </c>
      <c r="GE47" s="88" t="str">
        <f aca="false">IF($B47=GE$12,$O47,"")</f>
        <v/>
      </c>
      <c r="GF47" s="88" t="str">
        <f aca="false">IF($B47=GF$12,$O47,"")</f>
        <v/>
      </c>
      <c r="GG47" s="88" t="str">
        <f aca="false">IF($B47=GG$12,$O47,"")</f>
        <v/>
      </c>
      <c r="GH47" s="88" t="str">
        <f aca="false">IF($B47=GH$12,$O47,"")</f>
        <v/>
      </c>
      <c r="GI47" s="88" t="str">
        <f aca="false">IF($B47=GI$12,$O47,"")</f>
        <v/>
      </c>
      <c r="GJ47" s="88" t="str">
        <f aca="false">IF($B47=GJ$12,$O47,"")</f>
        <v/>
      </c>
      <c r="GK47" s="88" t="str">
        <f aca="false">IF($B47=GK$12,$O47,"")</f>
        <v/>
      </c>
      <c r="GL47" s="88" t="str">
        <f aca="false">IF($B47=GL$12,$O47,"")</f>
        <v/>
      </c>
      <c r="GM47" s="88" t="str">
        <f aca="false">IF($B47=GM$12,$O47,"")</f>
        <v/>
      </c>
      <c r="GN47" s="88" t="str">
        <f aca="false">IF($B47=GN$12,$O47,"")</f>
        <v/>
      </c>
      <c r="GO47" s="88" t="str">
        <f aca="false">IF($B47=GO$12,$O47,"")</f>
        <v/>
      </c>
      <c r="GP47" s="88" t="str">
        <f aca="false">IF($B47=GP$12,$O47,"")</f>
        <v/>
      </c>
      <c r="GQ47" s="88" t="str">
        <f aca="false">IF($B47=GQ$12,$O47,"")</f>
        <v/>
      </c>
      <c r="GR47" s="88" t="str">
        <f aca="false">IF($B47=GR$12,$O47,"")</f>
        <v/>
      </c>
      <c r="GS47" s="88" t="str">
        <f aca="false">IF($B47=GS$12,$O47,"")</f>
        <v/>
      </c>
      <c r="GT47" s="88" t="str">
        <f aca="false">IF($B47=GT$12,$O47,"")</f>
        <v/>
      </c>
      <c r="GU47" s="88" t="str">
        <f aca="false">IF($B47=GU$12,$O47,"")</f>
        <v/>
      </c>
      <c r="GV47" s="88" t="str">
        <f aca="false">IF($B47=GV$12,$O47,"")</f>
        <v/>
      </c>
      <c r="GW47" s="88" t="str">
        <f aca="false">IF($B47=GW$12,$O47,"")</f>
        <v/>
      </c>
      <c r="GX47" s="88" t="str">
        <f aca="false">IF($B47=GX$12,$O47,"")</f>
        <v/>
      </c>
      <c r="GY47" s="88" t="str">
        <f aca="false">IF($B47=GY$12,$O47,"")</f>
        <v/>
      </c>
      <c r="GZ47" s="88" t="str">
        <f aca="false">IF($B47=GZ$12,$O47,"")</f>
        <v/>
      </c>
      <c r="HA47" s="88" t="str">
        <f aca="false">IF($B47=HA$12,$O47,"")</f>
        <v/>
      </c>
      <c r="HB47" s="88" t="str">
        <f aca="false">IF($B47=HB$12,$O47,"")</f>
        <v/>
      </c>
      <c r="HC47" s="88" t="str">
        <f aca="false">IF($B47=HC$12,$O47,"")</f>
        <v/>
      </c>
      <c r="HD47" s="88" t="str">
        <f aca="false">IF($B47=HD$12,$O47,"")</f>
        <v/>
      </c>
      <c r="HE47" s="88" t="str">
        <f aca="false">IF($B47=HE$12,$O47,"")</f>
        <v/>
      </c>
      <c r="HF47" s="88" t="str">
        <f aca="false">IF($B47=HF$12,$O47,"")</f>
        <v/>
      </c>
      <c r="HG47" s="88" t="str">
        <f aca="false">IF($B47=HG$12,$O47,"")</f>
        <v/>
      </c>
      <c r="HH47" s="88" t="str">
        <f aca="false">IF($B47=HH$12,$O47,"")</f>
        <v/>
      </c>
      <c r="HI47" s="88" t="str">
        <f aca="false">IF($B47=HI$12,$O47,"")</f>
        <v/>
      </c>
      <c r="HJ47" s="88" t="str">
        <f aca="false">IF($B47=HJ$12,$O47,"")</f>
        <v/>
      </c>
      <c r="HK47" s="88" t="str">
        <f aca="false">IF($B47=HK$12,$O47,"")</f>
        <v/>
      </c>
      <c r="HL47" s="88" t="str">
        <f aca="false">IF($B47=HL$12,$O47,"")</f>
        <v/>
      </c>
      <c r="HM47" s="88" t="str">
        <f aca="false">IF($B47=HM$12,$O47,"")</f>
        <v/>
      </c>
      <c r="HN47" s="88" t="str">
        <f aca="false">IF($B47=HN$12,$O47,"")</f>
        <v/>
      </c>
      <c r="HO47" s="88" t="str">
        <f aca="false">IF($B47=HO$12,$O47,"")</f>
        <v/>
      </c>
      <c r="HP47" s="88" t="str">
        <f aca="false">IF($B47=HP$12,$O47,"")</f>
        <v/>
      </c>
      <c r="HQ47" s="88" t="str">
        <f aca="false">IF($B47=HQ$12,$O47,"")</f>
        <v/>
      </c>
      <c r="HR47" s="89" t="str">
        <f aca="false">IF($B47=HR$12,$O47,"")</f>
        <v/>
      </c>
    </row>
    <row r="48" customFormat="false" ht="10.5" hidden="false" customHeight="true" outlineLevel="0" collapsed="false">
      <c r="A48" s="73"/>
      <c r="B48" s="74"/>
      <c r="C48" s="75" t="str">
        <f aca="false">IF(A48=0,"",VLOOKUP(A48,[3]CO!$A$3:$F$5311,2,0))</f>
        <v/>
      </c>
      <c r="D48" s="76"/>
      <c r="E48" s="76"/>
      <c r="F48" s="76"/>
      <c r="G48" s="77" t="str">
        <f aca="false">IF(A48=0,"",VLOOKUP(A48,[3]CO!$A$3:$F$5311,3,0))</f>
        <v/>
      </c>
      <c r="H48" s="76"/>
      <c r="I48" s="78"/>
      <c r="J48" s="78"/>
      <c r="K48" s="78"/>
      <c r="L48" s="78"/>
      <c r="M48" s="79" t="str">
        <f aca="false">IF(L48=0,"",PRODUCT(I48:L48))</f>
        <v/>
      </c>
      <c r="N48" s="79" t="str">
        <f aca="false">IF(B48=0,"",IF(H48="M",HLOOKUP(B48,$Y$12:$DT$13,2),IF(A48=0,"",VLOOKUP(A48,[3]CO!$A$3:$F$5311,4,0))))</f>
        <v/>
      </c>
      <c r="O48" s="79" t="str">
        <f aca="false">IF(L48=0,"",PRODUCT(M48:N48))</f>
        <v/>
      </c>
      <c r="P48" s="80"/>
      <c r="Q48" s="81" t="str">
        <f aca="false">IF(P48=0,"",(HLOOKUP(P48,$DW$12:$HR$13,2)))</f>
        <v/>
      </c>
      <c r="R48" s="82" t="str">
        <f aca="false">IF(S48=0,"",IF(OR(G48="PEON",G48="OF",G48="JARD",G48="CARP",G48="MAESTRO",G48="SOLD",G48="BGRO",G48="CHOFER",G48="AYTE",G48="S.INTTE.",G48="ASEO",G48="P.PISOS",G48="VELADOR",G48="RESID",G48="PINTOR",G48="ELECT",G48="AZULE",G48="AUX CONT.",G48="SECRETARIA",G48="AUXILIAR ADMTVO.",G48="ARQUITECTO",G48="DIBUJANTE",G48="AUX. DE RESIDENTE"),VLOOKUP(B48,P$14:Q$131,2),"")*S48)</f>
        <v/>
      </c>
      <c r="S48" s="5"/>
      <c r="T48" s="65" t="str">
        <f aca="false">IF(A48=0,"",VLOOKUP(A48,[3]CO!$A$3:$F$5302,5,0))</f>
        <v/>
      </c>
      <c r="U48" s="55" t="n">
        <f aca="false">IF(T48=1,O48*0.1,)</f>
        <v>0</v>
      </c>
      <c r="V48" s="66"/>
      <c r="W48" s="83"/>
      <c r="X48" s="83"/>
      <c r="Y48" s="84" t="str">
        <f aca="false">IF($B48=Y$12,$U48,"")</f>
        <v/>
      </c>
      <c r="Z48" s="85" t="str">
        <f aca="false">IF($B48=Z$12,$U48,"")</f>
        <v/>
      </c>
      <c r="AA48" s="85" t="str">
        <f aca="false">IF($B48=AA$12,$U48,"")</f>
        <v/>
      </c>
      <c r="AB48" s="85" t="str">
        <f aca="false">IF($B48=AB$12,$U48,"")</f>
        <v/>
      </c>
      <c r="AC48" s="85" t="str">
        <f aca="false">IF($B48=AC$12,$U48,"")</f>
        <v/>
      </c>
      <c r="AD48" s="85" t="str">
        <f aca="false">IF($B48=AD$12,$U48,"")</f>
        <v/>
      </c>
      <c r="AE48" s="85" t="str">
        <f aca="false">IF($B48=AE$12,$U48,"")</f>
        <v/>
      </c>
      <c r="AF48" s="85" t="str">
        <f aca="false">IF($B48=AF$12,$U48,"")</f>
        <v/>
      </c>
      <c r="AG48" s="85" t="str">
        <f aca="false">IF($B48=AG$12,$U48,"")</f>
        <v/>
      </c>
      <c r="AH48" s="85" t="str">
        <f aca="false">IF($B48=AH$12,$U48,"")</f>
        <v/>
      </c>
      <c r="AI48" s="85" t="str">
        <f aca="false">IF($B48=AI$12,$U48,"")</f>
        <v/>
      </c>
      <c r="AJ48" s="85" t="str">
        <f aca="false">IF($B48=AJ$12,$U48,"")</f>
        <v/>
      </c>
      <c r="AK48" s="85" t="str">
        <f aca="false">IF($B48=AK$12,$U48,"")</f>
        <v/>
      </c>
      <c r="AL48" s="85" t="str">
        <f aca="false">IF($B48=AL$12,$U48,"")</f>
        <v/>
      </c>
      <c r="AM48" s="85" t="str">
        <f aca="false">IF($B48=AM$12,$U48,"")</f>
        <v/>
      </c>
      <c r="AN48" s="85" t="str">
        <f aca="false">IF($B48=AN$12,$U48,"")</f>
        <v/>
      </c>
      <c r="AO48" s="85" t="str">
        <f aca="false">IF($B48=AO$12,$U48,"")</f>
        <v/>
      </c>
      <c r="AP48" s="85" t="str">
        <f aca="false">IF($B48=AP$12,$U48,"")</f>
        <v/>
      </c>
      <c r="AQ48" s="85" t="str">
        <f aca="false">IF($B48=AQ$12,$U48,"")</f>
        <v/>
      </c>
      <c r="AR48" s="85" t="str">
        <f aca="false">IF($B48=AR$12,$U48,"")</f>
        <v/>
      </c>
      <c r="AS48" s="85" t="str">
        <f aca="false">IF($B48=AS$12,$U48,"")</f>
        <v/>
      </c>
      <c r="AT48" s="85" t="str">
        <f aca="false">IF($B48=AT$12,$U48,"")</f>
        <v/>
      </c>
      <c r="AU48" s="85" t="str">
        <f aca="false">IF($B48=AU$12,$U48,"")</f>
        <v/>
      </c>
      <c r="AV48" s="85" t="str">
        <f aca="false">IF($B48=AV$12,$U48,"")</f>
        <v/>
      </c>
      <c r="AW48" s="85" t="str">
        <f aca="false">IF($B48=AW$12,$U48,"")</f>
        <v/>
      </c>
      <c r="AX48" s="85" t="str">
        <f aca="false">IF($B48=AX$12,$U48,"")</f>
        <v/>
      </c>
      <c r="AY48" s="85" t="str">
        <f aca="false">IF($B48=AY$12,$U48,"")</f>
        <v/>
      </c>
      <c r="AZ48" s="85" t="str">
        <f aca="false">IF($B48=AZ$12,$U48,"")</f>
        <v/>
      </c>
      <c r="BA48" s="85" t="str">
        <f aca="false">IF($B48=BA$12,$U48,"")</f>
        <v/>
      </c>
      <c r="BB48" s="85" t="str">
        <f aca="false">IF($B48=BB$12,$U48,"")</f>
        <v/>
      </c>
      <c r="BC48" s="85" t="str">
        <f aca="false">IF($B48=BC$12,$U48,"")</f>
        <v/>
      </c>
      <c r="BD48" s="85" t="str">
        <f aca="false">IF($B48=BD$12,$U48,"")</f>
        <v/>
      </c>
      <c r="BE48" s="85" t="str">
        <f aca="false">IF($B48=BE$12,$U48,"")</f>
        <v/>
      </c>
      <c r="BF48" s="85" t="str">
        <f aca="false">IF($B48=BF$12,$U48,"")</f>
        <v/>
      </c>
      <c r="BG48" s="85" t="str">
        <f aca="false">IF($B48=BG$12,$U48,"")</f>
        <v/>
      </c>
      <c r="BH48" s="85" t="str">
        <f aca="false">IF($B48=BH$12,$U48,"")</f>
        <v/>
      </c>
      <c r="BI48" s="85" t="str">
        <f aca="false">IF($B48=BI$12,$U48,"")</f>
        <v/>
      </c>
      <c r="BJ48" s="85" t="str">
        <f aca="false">IF($B48=BJ$12,$U48,"")</f>
        <v/>
      </c>
      <c r="BK48" s="85" t="str">
        <f aca="false">IF($B48=BK$12,$U48,"")</f>
        <v/>
      </c>
      <c r="BL48" s="85" t="str">
        <f aca="false">IF($B48=BL$12,$U48,"")</f>
        <v/>
      </c>
      <c r="BM48" s="85" t="str">
        <f aca="false">IF($B48=BM$12,$U48,"")</f>
        <v/>
      </c>
      <c r="BN48" s="85" t="str">
        <f aca="false">IF($B48=BN$12,$U48,"")</f>
        <v/>
      </c>
      <c r="BO48" s="85" t="str">
        <f aca="false">IF($B48=BO$12,$U48,"")</f>
        <v/>
      </c>
      <c r="BP48" s="85" t="str">
        <f aca="false">IF($B48=BP$12,$U48,"")</f>
        <v/>
      </c>
      <c r="BQ48" s="85" t="str">
        <f aca="false">IF($B48=BQ$12,$U48,"")</f>
        <v/>
      </c>
      <c r="BR48" s="85" t="str">
        <f aca="false">IF($B48=BR$12,$U48,"")</f>
        <v/>
      </c>
      <c r="BS48" s="85" t="str">
        <f aca="false">IF($B48=BS$12,$U48,"")</f>
        <v/>
      </c>
      <c r="BT48" s="85" t="str">
        <f aca="false">IF($B48=BT$12,$U48,"")</f>
        <v/>
      </c>
      <c r="BU48" s="85" t="str">
        <f aca="false">IF($B48=BU$12,$U48,"")</f>
        <v/>
      </c>
      <c r="BV48" s="85" t="str">
        <f aca="false">IF($B48=BV$12,$U48,"")</f>
        <v/>
      </c>
      <c r="BW48" s="85" t="str">
        <f aca="false">IF($B48=BW$12,$U48,"")</f>
        <v/>
      </c>
      <c r="BX48" s="85" t="str">
        <f aca="false">IF($B48=BX$12,$U48,"")</f>
        <v/>
      </c>
      <c r="BY48" s="85" t="str">
        <f aca="false">IF($B48=BY$12,$U48,"")</f>
        <v/>
      </c>
      <c r="BZ48" s="85" t="str">
        <f aca="false">IF($B48=BZ$12,$U48,"")</f>
        <v/>
      </c>
      <c r="CA48" s="85" t="str">
        <f aca="false">IF($B48=CA$12,$U48,"")</f>
        <v/>
      </c>
      <c r="CB48" s="85" t="str">
        <f aca="false">IF($B48=CB$12,$U48,"")</f>
        <v/>
      </c>
      <c r="CC48" s="85" t="str">
        <f aca="false">IF($B48=CC$12,$U48,"")</f>
        <v/>
      </c>
      <c r="CD48" s="85" t="str">
        <f aca="false">IF($B48=CD$12,$U48,"")</f>
        <v/>
      </c>
      <c r="CE48" s="85" t="str">
        <f aca="false">IF($B48=CE$12,$U48,"")</f>
        <v/>
      </c>
      <c r="CF48" s="85" t="str">
        <f aca="false">IF($B48=CF$12,$U48,"")</f>
        <v/>
      </c>
      <c r="CG48" s="85" t="str">
        <f aca="false">IF($B48=CG$12,$U48,"")</f>
        <v/>
      </c>
      <c r="CH48" s="85" t="str">
        <f aca="false">IF($B48=CH$12,$U48,"")</f>
        <v/>
      </c>
      <c r="CI48" s="85" t="str">
        <f aca="false">IF($B48=CI$12,$U48,"")</f>
        <v/>
      </c>
      <c r="CJ48" s="85" t="str">
        <f aca="false">IF($B48=CJ$12,$U48,"")</f>
        <v/>
      </c>
      <c r="CK48" s="85" t="str">
        <f aca="false">IF($B48=CK$12,$U48,"")</f>
        <v/>
      </c>
      <c r="CL48" s="85" t="str">
        <f aca="false">IF($B48=CL$12,$U48,"")</f>
        <v/>
      </c>
      <c r="CM48" s="85" t="str">
        <f aca="false">IF($B48=CM$12,$U48,"")</f>
        <v/>
      </c>
      <c r="CN48" s="85" t="str">
        <f aca="false">IF($B48=CN$12,$U48,"")</f>
        <v/>
      </c>
      <c r="CO48" s="85" t="str">
        <f aca="false">IF($B48=CO$12,$U48,"")</f>
        <v/>
      </c>
      <c r="CP48" s="85" t="str">
        <f aca="false">IF($B48=CP$12,$U48,"")</f>
        <v/>
      </c>
      <c r="CQ48" s="85" t="str">
        <f aca="false">IF($B48=CQ$12,$U48,"")</f>
        <v/>
      </c>
      <c r="CR48" s="85" t="str">
        <f aca="false">IF($B48=CR$12,$U48,"")</f>
        <v/>
      </c>
      <c r="CS48" s="85" t="str">
        <f aca="false">IF($B48=CS$12,$U48,"")</f>
        <v/>
      </c>
      <c r="CT48" s="85" t="str">
        <f aca="false">IF($B48=CT$12,$U48,"")</f>
        <v/>
      </c>
      <c r="CU48" s="85" t="str">
        <f aca="false">IF($B48=CU$12,$U48,"")</f>
        <v/>
      </c>
      <c r="CV48" s="85" t="str">
        <f aca="false">IF($B48=CV$12,$U48,"")</f>
        <v/>
      </c>
      <c r="CW48" s="85" t="str">
        <f aca="false">IF($B48=CW$12,$U48,"")</f>
        <v/>
      </c>
      <c r="CX48" s="85" t="str">
        <f aca="false">IF($B48=CX$12,$U48,"")</f>
        <v/>
      </c>
      <c r="CY48" s="85" t="str">
        <f aca="false">IF($B48=CY$12,$U48,"")</f>
        <v/>
      </c>
      <c r="CZ48" s="85" t="str">
        <f aca="false">IF($B48=CZ$12,$U48,"")</f>
        <v/>
      </c>
      <c r="DA48" s="85" t="str">
        <f aca="false">IF($B48=DA$12,$U48,"")</f>
        <v/>
      </c>
      <c r="DB48" s="85" t="str">
        <f aca="false">IF($B48=DB$12,$U48,"")</f>
        <v/>
      </c>
      <c r="DC48" s="85" t="str">
        <f aca="false">IF($B48=DC$12,$U48,"")</f>
        <v/>
      </c>
      <c r="DD48" s="85" t="str">
        <f aca="false">IF($B48=DD$12,$U48,"")</f>
        <v/>
      </c>
      <c r="DE48" s="85" t="str">
        <f aca="false">IF($B48=DE$12,$U48,"")</f>
        <v/>
      </c>
      <c r="DF48" s="85" t="str">
        <f aca="false">IF($B48=DF$12,$U48,"")</f>
        <v/>
      </c>
      <c r="DG48" s="85" t="str">
        <f aca="false">IF($B48=DG$12,$U48,"")</f>
        <v/>
      </c>
      <c r="DH48" s="85" t="str">
        <f aca="false">IF($B48=DH$12,$U48,"")</f>
        <v/>
      </c>
      <c r="DI48" s="85" t="str">
        <f aca="false">IF($B48=DI$12,$U48,"")</f>
        <v/>
      </c>
      <c r="DJ48" s="85" t="str">
        <f aca="false">IF($B48=DJ$12,$U48,"")</f>
        <v/>
      </c>
      <c r="DK48" s="85" t="str">
        <f aca="false">IF($B48=DK$12,$U48,"")</f>
        <v/>
      </c>
      <c r="DL48" s="85" t="str">
        <f aca="false">IF($B48=DL$12,$U48,"")</f>
        <v/>
      </c>
      <c r="DM48" s="85" t="str">
        <f aca="false">IF($B48=DM$12,$U48,"")</f>
        <v/>
      </c>
      <c r="DN48" s="85" t="str">
        <f aca="false">IF($B48=DN$12,$U48,"")</f>
        <v/>
      </c>
      <c r="DO48" s="85" t="str">
        <f aca="false">IF($B48=DO$12,$U48,"")</f>
        <v/>
      </c>
      <c r="DP48" s="85" t="str">
        <f aca="false">IF($B48=DP$12,$U48,"")</f>
        <v/>
      </c>
      <c r="DQ48" s="85" t="str">
        <f aca="false">IF($B48=DQ$12,$U48,"")</f>
        <v/>
      </c>
      <c r="DR48" s="85" t="str">
        <f aca="false">IF($B48=DR$12,$U48,"")</f>
        <v/>
      </c>
      <c r="DS48" s="85" t="str">
        <f aca="false">IF($B48=DS$12,$U48,"")</f>
        <v/>
      </c>
      <c r="DT48" s="86" t="str">
        <f aca="false">IF($B48=DT$12,$U48,"")</f>
        <v/>
      </c>
      <c r="DU48" s="55"/>
      <c r="DV48" s="83"/>
      <c r="DW48" s="87" t="str">
        <f aca="false">IF($B48=DW$12,$O48,"")</f>
        <v/>
      </c>
      <c r="DX48" s="88" t="str">
        <f aca="false">IF($B48=DX$12,$O48,"")</f>
        <v/>
      </c>
      <c r="DY48" s="88" t="str">
        <f aca="false">IF($B48=DY$12,$O48,"")</f>
        <v/>
      </c>
      <c r="DZ48" s="88" t="str">
        <f aca="false">IF($B48=DZ$12,$O48,"")</f>
        <v/>
      </c>
      <c r="EA48" s="88" t="str">
        <f aca="false">IF($B48=EA$12,$O48,"")</f>
        <v/>
      </c>
      <c r="EB48" s="88" t="str">
        <f aca="false">IF($B48=EB$12,$O48,"")</f>
        <v/>
      </c>
      <c r="EC48" s="88" t="str">
        <f aca="false">IF($B48=EC$12,$O48,"")</f>
        <v/>
      </c>
      <c r="ED48" s="88" t="str">
        <f aca="false">IF($B48=ED$12,$O48,"")</f>
        <v/>
      </c>
      <c r="EE48" s="88" t="str">
        <f aca="false">IF($B48=EE$12,$O48,"")</f>
        <v/>
      </c>
      <c r="EF48" s="88" t="str">
        <f aca="false">IF($B48=EF$12,$O48,"")</f>
        <v/>
      </c>
      <c r="EG48" s="88" t="str">
        <f aca="false">IF($B48=EG$12,$O48,"")</f>
        <v/>
      </c>
      <c r="EH48" s="88" t="str">
        <f aca="false">IF($B48=EH$12,$O48,"")</f>
        <v/>
      </c>
      <c r="EI48" s="88" t="str">
        <f aca="false">IF($B48=EI$12,$O48,"")</f>
        <v/>
      </c>
      <c r="EJ48" s="88" t="str">
        <f aca="false">IF($B48=EJ$12,$O48,"")</f>
        <v/>
      </c>
      <c r="EK48" s="88" t="str">
        <f aca="false">IF($B48=EK$12,$O48,"")</f>
        <v/>
      </c>
      <c r="EL48" s="88" t="str">
        <f aca="false">IF($B48=EL$12,$O48,"")</f>
        <v/>
      </c>
      <c r="EM48" s="88" t="str">
        <f aca="false">IF($B48=EM$12,$O48,"")</f>
        <v/>
      </c>
      <c r="EN48" s="88" t="str">
        <f aca="false">IF($B48=EN$12,$O48,"")</f>
        <v/>
      </c>
      <c r="EO48" s="88" t="str">
        <f aca="false">IF($B48=EO$12,$O48,"")</f>
        <v/>
      </c>
      <c r="EP48" s="88" t="str">
        <f aca="false">IF($B48=EP$12,$O48,"")</f>
        <v/>
      </c>
      <c r="EQ48" s="88" t="str">
        <f aca="false">IF($B48=EQ$12,$O48,"")</f>
        <v/>
      </c>
      <c r="ER48" s="88" t="str">
        <f aca="false">IF($B48=ER$12,$O48,"")</f>
        <v/>
      </c>
      <c r="ES48" s="88" t="str">
        <f aca="false">IF($B48=ES$12,$O48,"")</f>
        <v/>
      </c>
      <c r="ET48" s="88" t="str">
        <f aca="false">IF($B48=ET$12,$O48,"")</f>
        <v/>
      </c>
      <c r="EU48" s="88" t="str">
        <f aca="false">IF($B48=EU$12,$O48,"")</f>
        <v/>
      </c>
      <c r="EV48" s="88" t="str">
        <f aca="false">IF($B48=EV$12,$O48,"")</f>
        <v/>
      </c>
      <c r="EW48" s="88" t="str">
        <f aca="false">IF($B48=EW$12,$O48,"")</f>
        <v/>
      </c>
      <c r="EX48" s="88" t="str">
        <f aca="false">IF($B48=EX$12,$O48,"")</f>
        <v/>
      </c>
      <c r="EY48" s="88" t="str">
        <f aca="false">IF($B48=EY$12,$O48,"")</f>
        <v/>
      </c>
      <c r="EZ48" s="88" t="str">
        <f aca="false">IF($B48=EZ$12,$O48,"")</f>
        <v/>
      </c>
      <c r="FA48" s="88" t="str">
        <f aca="false">IF($B48=FA$12,$O48,"")</f>
        <v/>
      </c>
      <c r="FB48" s="88" t="str">
        <f aca="false">IF($B48=FB$12,$O48,"")</f>
        <v/>
      </c>
      <c r="FC48" s="88" t="str">
        <f aca="false">IF($B48=FC$12,$O48,"")</f>
        <v/>
      </c>
      <c r="FD48" s="88" t="str">
        <f aca="false">IF($B48=FD$12,$O48,"")</f>
        <v/>
      </c>
      <c r="FE48" s="88" t="str">
        <f aca="false">IF($B48=FE$12,$O48,"")</f>
        <v/>
      </c>
      <c r="FF48" s="88" t="str">
        <f aca="false">IF($B48=FF$12,$O48,"")</f>
        <v/>
      </c>
      <c r="FG48" s="88" t="str">
        <f aca="false">IF($B48=FG$12,$O48,"")</f>
        <v/>
      </c>
      <c r="FH48" s="88" t="str">
        <f aca="false">IF($B48=FH$12,$O48,"")</f>
        <v/>
      </c>
      <c r="FI48" s="88" t="str">
        <f aca="false">IF($B48=FI$12,$O48,"")</f>
        <v/>
      </c>
      <c r="FJ48" s="88" t="str">
        <f aca="false">IF($B48=FJ$12,$O48,"")</f>
        <v/>
      </c>
      <c r="FK48" s="88" t="str">
        <f aca="false">IF($B48=FK$12,$O48,"")</f>
        <v/>
      </c>
      <c r="FL48" s="88" t="str">
        <f aca="false">IF($B48=FL$12,$O48,"")</f>
        <v/>
      </c>
      <c r="FM48" s="88" t="str">
        <f aca="false">IF($B48=FM$12,$O48,"")</f>
        <v/>
      </c>
      <c r="FN48" s="88" t="str">
        <f aca="false">IF($B48=FN$12,$O48,"")</f>
        <v/>
      </c>
      <c r="FO48" s="88" t="str">
        <f aca="false">IF($B48=FO$12,$O48,"")</f>
        <v/>
      </c>
      <c r="FP48" s="88" t="str">
        <f aca="false">IF($B48=FP$12,$O48,"")</f>
        <v/>
      </c>
      <c r="FQ48" s="88" t="str">
        <f aca="false">IF($B48=FQ$12,$O48,"")</f>
        <v/>
      </c>
      <c r="FR48" s="88" t="str">
        <f aca="false">IF($B48=FR$12,$O48,"")</f>
        <v/>
      </c>
      <c r="FS48" s="88" t="str">
        <f aca="false">IF($B48=FS$12,$O48,"")</f>
        <v/>
      </c>
      <c r="FT48" s="88" t="str">
        <f aca="false">IF($B48=FT$12,$O48,"")</f>
        <v/>
      </c>
      <c r="FU48" s="88" t="str">
        <f aca="false">IF($B48=FU$12,$O48,"")</f>
        <v/>
      </c>
      <c r="FV48" s="88" t="str">
        <f aca="false">IF($B48=FV$12,$O48,"")</f>
        <v/>
      </c>
      <c r="FW48" s="88" t="str">
        <f aca="false">IF($B48=FW$12,$O48,"")</f>
        <v/>
      </c>
      <c r="FX48" s="88" t="str">
        <f aca="false">IF($B48=FX$12,$O48,"")</f>
        <v/>
      </c>
      <c r="FY48" s="88" t="str">
        <f aca="false">IF($B48=FY$12,$O48,"")</f>
        <v/>
      </c>
      <c r="FZ48" s="88" t="str">
        <f aca="false">IF($B48=FZ$12,$O48,"")</f>
        <v/>
      </c>
      <c r="GA48" s="88" t="str">
        <f aca="false">IF($B48=GA$12,$O48,"")</f>
        <v/>
      </c>
      <c r="GB48" s="88" t="str">
        <f aca="false">IF($B48=GB$12,$O48,"")</f>
        <v/>
      </c>
      <c r="GC48" s="88" t="str">
        <f aca="false">IF($B48=GC$12,$O48,"")</f>
        <v/>
      </c>
      <c r="GD48" s="88" t="str">
        <f aca="false">IF($B48=GD$12,$O48,"")</f>
        <v/>
      </c>
      <c r="GE48" s="88" t="str">
        <f aca="false">IF($B48=GE$12,$O48,"")</f>
        <v/>
      </c>
      <c r="GF48" s="88" t="str">
        <f aca="false">IF($B48=GF$12,$O48,"")</f>
        <v/>
      </c>
      <c r="GG48" s="88" t="str">
        <f aca="false">IF($B48=GG$12,$O48,"")</f>
        <v/>
      </c>
      <c r="GH48" s="88" t="str">
        <f aca="false">IF($B48=GH$12,$O48,"")</f>
        <v/>
      </c>
      <c r="GI48" s="88" t="str">
        <f aca="false">IF($B48=GI$12,$O48,"")</f>
        <v/>
      </c>
      <c r="GJ48" s="88" t="str">
        <f aca="false">IF($B48=GJ$12,$O48,"")</f>
        <v/>
      </c>
      <c r="GK48" s="88" t="str">
        <f aca="false">IF($B48=GK$12,$O48,"")</f>
        <v/>
      </c>
      <c r="GL48" s="88" t="str">
        <f aca="false">IF($B48=GL$12,$O48,"")</f>
        <v/>
      </c>
      <c r="GM48" s="88" t="str">
        <f aca="false">IF($B48=GM$12,$O48,"")</f>
        <v/>
      </c>
      <c r="GN48" s="88" t="str">
        <f aca="false">IF($B48=GN$12,$O48,"")</f>
        <v/>
      </c>
      <c r="GO48" s="88" t="str">
        <f aca="false">IF($B48=GO$12,$O48,"")</f>
        <v/>
      </c>
      <c r="GP48" s="88" t="str">
        <f aca="false">IF($B48=GP$12,$O48,"")</f>
        <v/>
      </c>
      <c r="GQ48" s="88" t="str">
        <f aca="false">IF($B48=GQ$12,$O48,"")</f>
        <v/>
      </c>
      <c r="GR48" s="88" t="str">
        <f aca="false">IF($B48=GR$12,$O48,"")</f>
        <v/>
      </c>
      <c r="GS48" s="88" t="str">
        <f aca="false">IF($B48=GS$12,$O48,"")</f>
        <v/>
      </c>
      <c r="GT48" s="88" t="str">
        <f aca="false">IF($B48=GT$12,$O48,"")</f>
        <v/>
      </c>
      <c r="GU48" s="88" t="str">
        <f aca="false">IF($B48=GU$12,$O48,"")</f>
        <v/>
      </c>
      <c r="GV48" s="88" t="str">
        <f aca="false">IF($B48=GV$12,$O48,"")</f>
        <v/>
      </c>
      <c r="GW48" s="88" t="str">
        <f aca="false">IF($B48=GW$12,$O48,"")</f>
        <v/>
      </c>
      <c r="GX48" s="88" t="str">
        <f aca="false">IF($B48=GX$12,$O48,"")</f>
        <v/>
      </c>
      <c r="GY48" s="88" t="str">
        <f aca="false">IF($B48=GY$12,$O48,"")</f>
        <v/>
      </c>
      <c r="GZ48" s="88" t="str">
        <f aca="false">IF($B48=GZ$12,$O48,"")</f>
        <v/>
      </c>
      <c r="HA48" s="88" t="str">
        <f aca="false">IF($B48=HA$12,$O48,"")</f>
        <v/>
      </c>
      <c r="HB48" s="88" t="str">
        <f aca="false">IF($B48=HB$12,$O48,"")</f>
        <v/>
      </c>
      <c r="HC48" s="88" t="str">
        <f aca="false">IF($B48=HC$12,$O48,"")</f>
        <v/>
      </c>
      <c r="HD48" s="88" t="str">
        <f aca="false">IF($B48=HD$12,$O48,"")</f>
        <v/>
      </c>
      <c r="HE48" s="88" t="str">
        <f aca="false">IF($B48=HE$12,$O48,"")</f>
        <v/>
      </c>
      <c r="HF48" s="88" t="str">
        <f aca="false">IF($B48=HF$12,$O48,"")</f>
        <v/>
      </c>
      <c r="HG48" s="88" t="str">
        <f aca="false">IF($B48=HG$12,$O48,"")</f>
        <v/>
      </c>
      <c r="HH48" s="88" t="str">
        <f aca="false">IF($B48=HH$12,$O48,"")</f>
        <v/>
      </c>
      <c r="HI48" s="88" t="str">
        <f aca="false">IF($B48=HI$12,$O48,"")</f>
        <v/>
      </c>
      <c r="HJ48" s="88" t="str">
        <f aca="false">IF($B48=HJ$12,$O48,"")</f>
        <v/>
      </c>
      <c r="HK48" s="88" t="str">
        <f aca="false">IF($B48=HK$12,$O48,"")</f>
        <v/>
      </c>
      <c r="HL48" s="88" t="str">
        <f aca="false">IF($B48=HL$12,$O48,"")</f>
        <v/>
      </c>
      <c r="HM48" s="88" t="str">
        <f aca="false">IF($B48=HM$12,$O48,"")</f>
        <v/>
      </c>
      <c r="HN48" s="88" t="str">
        <f aca="false">IF($B48=HN$12,$O48,"")</f>
        <v/>
      </c>
      <c r="HO48" s="88" t="str">
        <f aca="false">IF($B48=HO$12,$O48,"")</f>
        <v/>
      </c>
      <c r="HP48" s="88" t="str">
        <f aca="false">IF($B48=HP$12,$O48,"")</f>
        <v/>
      </c>
      <c r="HQ48" s="88" t="str">
        <f aca="false">IF($B48=HQ$12,$O48,"")</f>
        <v/>
      </c>
      <c r="HR48" s="89" t="str">
        <f aca="false">IF($B48=HR$12,$O48,"")</f>
        <v/>
      </c>
    </row>
    <row r="49" customFormat="false" ht="10.5" hidden="false" customHeight="true" outlineLevel="0" collapsed="false">
      <c r="A49" s="73"/>
      <c r="B49" s="74"/>
      <c r="C49" s="75" t="str">
        <f aca="false">IF(A49=0,"",VLOOKUP(A49,[3]CO!$A$3:$F$5311,2,0))</f>
        <v/>
      </c>
      <c r="D49" s="76"/>
      <c r="E49" s="76"/>
      <c r="F49" s="76"/>
      <c r="G49" s="77" t="str">
        <f aca="false">IF(A49=0,"",VLOOKUP(A49,[3]CO!$A$3:$F$5311,3,0))</f>
        <v/>
      </c>
      <c r="H49" s="76"/>
      <c r="I49" s="78"/>
      <c r="J49" s="78"/>
      <c r="K49" s="78"/>
      <c r="L49" s="78"/>
      <c r="M49" s="79" t="str">
        <f aca="false">IF(L49=0,"",PRODUCT(I49:L49))</f>
        <v/>
      </c>
      <c r="N49" s="79" t="str">
        <f aca="false">IF(B49=0,"",IF(H49="M",HLOOKUP(B49,$Y$12:$DT$13,2),IF(A49=0,"",VLOOKUP(A49,[3]CO!$A$3:$F$5311,4,0))))</f>
        <v/>
      </c>
      <c r="O49" s="79" t="str">
        <f aca="false">IF(L49=0,"",PRODUCT(M49:N49))</f>
        <v/>
      </c>
      <c r="P49" s="80"/>
      <c r="Q49" s="81" t="str">
        <f aca="false">IF(P49=0,"",(HLOOKUP(P49,$DW$12:$HR$13,2)))</f>
        <v/>
      </c>
      <c r="R49" s="82" t="str">
        <f aca="false">IF(S49=0,"",IF(OR(G49="PEON",G49="OF",G49="JARD",G49="CARP",G49="MAESTRO",G49="SOLD",G49="BGRO",G49="CHOFER",G49="AYTE",G49="S.INTTE.",G49="ASEO",G49="P.PISOS",G49="VELADOR",G49="RESID",G49="PINTOR",G49="ELECT",G49="AZULE",G49="AUX CONT.",G49="SECRETARIA",G49="AUXILIAR ADMTVO.",G49="ARQUITECTO",G49="DIBUJANTE",G49="AUX. DE RESIDENTE"),VLOOKUP(B49,P$14:Q$131,2),"")*S49)</f>
        <v/>
      </c>
      <c r="S49" s="5"/>
      <c r="T49" s="65" t="str">
        <f aca="false">IF(A49=0,"",VLOOKUP(A49,[3]CO!$A$3:$F$5302,5,0))</f>
        <v/>
      </c>
      <c r="U49" s="55" t="n">
        <f aca="false">IF(T49=1,O49*0.1,)</f>
        <v>0</v>
      </c>
      <c r="V49" s="66"/>
      <c r="W49" s="83"/>
      <c r="X49" s="83"/>
      <c r="Y49" s="84" t="str">
        <f aca="false">IF($B49=Y$12,$U49,"")</f>
        <v/>
      </c>
      <c r="Z49" s="85" t="str">
        <f aca="false">IF($B49=Z$12,$U49,"")</f>
        <v/>
      </c>
      <c r="AA49" s="85" t="str">
        <f aca="false">IF($B49=AA$12,$U49,"")</f>
        <v/>
      </c>
      <c r="AB49" s="85" t="str">
        <f aca="false">IF($B49=AB$12,$U49,"")</f>
        <v/>
      </c>
      <c r="AC49" s="85" t="str">
        <f aca="false">IF($B49=AC$12,$U49,"")</f>
        <v/>
      </c>
      <c r="AD49" s="85" t="str">
        <f aca="false">IF($B49=AD$12,$U49,"")</f>
        <v/>
      </c>
      <c r="AE49" s="85" t="str">
        <f aca="false">IF($B49=AE$12,$U49,"")</f>
        <v/>
      </c>
      <c r="AF49" s="85" t="str">
        <f aca="false">IF($B49=AF$12,$U49,"")</f>
        <v/>
      </c>
      <c r="AG49" s="85" t="str">
        <f aca="false">IF($B49=AG$12,$U49,"")</f>
        <v/>
      </c>
      <c r="AH49" s="85" t="str">
        <f aca="false">IF($B49=AH$12,$U49,"")</f>
        <v/>
      </c>
      <c r="AI49" s="85" t="str">
        <f aca="false">IF($B49=AI$12,$U49,"")</f>
        <v/>
      </c>
      <c r="AJ49" s="85" t="str">
        <f aca="false">IF($B49=AJ$12,$U49,"")</f>
        <v/>
      </c>
      <c r="AK49" s="85" t="str">
        <f aca="false">IF($B49=AK$12,$U49,"")</f>
        <v/>
      </c>
      <c r="AL49" s="85" t="str">
        <f aca="false">IF($B49=AL$12,$U49,"")</f>
        <v/>
      </c>
      <c r="AM49" s="85" t="str">
        <f aca="false">IF($B49=AM$12,$U49,"")</f>
        <v/>
      </c>
      <c r="AN49" s="85" t="str">
        <f aca="false">IF($B49=AN$12,$U49,"")</f>
        <v/>
      </c>
      <c r="AO49" s="85" t="str">
        <f aca="false">IF($B49=AO$12,$U49,"")</f>
        <v/>
      </c>
      <c r="AP49" s="85" t="str">
        <f aca="false">IF($B49=AP$12,$U49,"")</f>
        <v/>
      </c>
      <c r="AQ49" s="85" t="str">
        <f aca="false">IF($B49=AQ$12,$U49,"")</f>
        <v/>
      </c>
      <c r="AR49" s="85" t="str">
        <f aca="false">IF($B49=AR$12,$U49,"")</f>
        <v/>
      </c>
      <c r="AS49" s="85" t="str">
        <f aca="false">IF($B49=AS$12,$U49,"")</f>
        <v/>
      </c>
      <c r="AT49" s="85" t="str">
        <f aca="false">IF($B49=AT$12,$U49,"")</f>
        <v/>
      </c>
      <c r="AU49" s="85" t="str">
        <f aca="false">IF($B49=AU$12,$U49,"")</f>
        <v/>
      </c>
      <c r="AV49" s="85" t="str">
        <f aca="false">IF($B49=AV$12,$U49,"")</f>
        <v/>
      </c>
      <c r="AW49" s="85" t="str">
        <f aca="false">IF($B49=AW$12,$U49,"")</f>
        <v/>
      </c>
      <c r="AX49" s="85" t="str">
        <f aca="false">IF($B49=AX$12,$U49,"")</f>
        <v/>
      </c>
      <c r="AY49" s="85" t="str">
        <f aca="false">IF($B49=AY$12,$U49,"")</f>
        <v/>
      </c>
      <c r="AZ49" s="85" t="str">
        <f aca="false">IF($B49=AZ$12,$U49,"")</f>
        <v/>
      </c>
      <c r="BA49" s="85" t="str">
        <f aca="false">IF($B49=BA$12,$U49,"")</f>
        <v/>
      </c>
      <c r="BB49" s="85" t="str">
        <f aca="false">IF($B49=BB$12,$U49,"")</f>
        <v/>
      </c>
      <c r="BC49" s="85" t="str">
        <f aca="false">IF($B49=BC$12,$U49,"")</f>
        <v/>
      </c>
      <c r="BD49" s="85" t="str">
        <f aca="false">IF($B49=BD$12,$U49,"")</f>
        <v/>
      </c>
      <c r="BE49" s="85" t="str">
        <f aca="false">IF($B49=BE$12,$U49,"")</f>
        <v/>
      </c>
      <c r="BF49" s="85" t="str">
        <f aca="false">IF($B49=BF$12,$U49,"")</f>
        <v/>
      </c>
      <c r="BG49" s="85" t="str">
        <f aca="false">IF($B49=BG$12,$U49,"")</f>
        <v/>
      </c>
      <c r="BH49" s="85" t="str">
        <f aca="false">IF($B49=BH$12,$U49,"")</f>
        <v/>
      </c>
      <c r="BI49" s="85" t="str">
        <f aca="false">IF($B49=BI$12,$U49,"")</f>
        <v/>
      </c>
      <c r="BJ49" s="85" t="str">
        <f aca="false">IF($B49=BJ$12,$U49,"")</f>
        <v/>
      </c>
      <c r="BK49" s="85" t="str">
        <f aca="false">IF($B49=BK$12,$U49,"")</f>
        <v/>
      </c>
      <c r="BL49" s="85" t="str">
        <f aca="false">IF($B49=BL$12,$U49,"")</f>
        <v/>
      </c>
      <c r="BM49" s="85" t="str">
        <f aca="false">IF($B49=BM$12,$U49,"")</f>
        <v/>
      </c>
      <c r="BN49" s="85" t="str">
        <f aca="false">IF($B49=BN$12,$U49,"")</f>
        <v/>
      </c>
      <c r="BO49" s="85" t="str">
        <f aca="false">IF($B49=BO$12,$U49,"")</f>
        <v/>
      </c>
      <c r="BP49" s="85" t="str">
        <f aca="false">IF($B49=BP$12,$U49,"")</f>
        <v/>
      </c>
      <c r="BQ49" s="85" t="str">
        <f aca="false">IF($B49=BQ$12,$U49,"")</f>
        <v/>
      </c>
      <c r="BR49" s="85" t="str">
        <f aca="false">IF($B49=BR$12,$U49,"")</f>
        <v/>
      </c>
      <c r="BS49" s="85" t="str">
        <f aca="false">IF($B49=BS$12,$U49,"")</f>
        <v/>
      </c>
      <c r="BT49" s="85" t="str">
        <f aca="false">IF($B49=BT$12,$U49,"")</f>
        <v/>
      </c>
      <c r="BU49" s="85" t="str">
        <f aca="false">IF($B49=BU$12,$U49,"")</f>
        <v/>
      </c>
      <c r="BV49" s="85" t="str">
        <f aca="false">IF($B49=BV$12,$U49,"")</f>
        <v/>
      </c>
      <c r="BW49" s="85" t="str">
        <f aca="false">IF($B49=BW$12,$U49,"")</f>
        <v/>
      </c>
      <c r="BX49" s="85" t="str">
        <f aca="false">IF($B49=BX$12,$U49,"")</f>
        <v/>
      </c>
      <c r="BY49" s="85" t="str">
        <f aca="false">IF($B49=BY$12,$U49,"")</f>
        <v/>
      </c>
      <c r="BZ49" s="85" t="str">
        <f aca="false">IF($B49=BZ$12,$U49,"")</f>
        <v/>
      </c>
      <c r="CA49" s="85" t="str">
        <f aca="false">IF($B49=CA$12,$U49,"")</f>
        <v/>
      </c>
      <c r="CB49" s="85" t="str">
        <f aca="false">IF($B49=CB$12,$U49,"")</f>
        <v/>
      </c>
      <c r="CC49" s="85" t="str">
        <f aca="false">IF($B49=CC$12,$U49,"")</f>
        <v/>
      </c>
      <c r="CD49" s="85" t="str">
        <f aca="false">IF($B49=CD$12,$U49,"")</f>
        <v/>
      </c>
      <c r="CE49" s="85" t="str">
        <f aca="false">IF($B49=CE$12,$U49,"")</f>
        <v/>
      </c>
      <c r="CF49" s="85" t="str">
        <f aca="false">IF($B49=CF$12,$U49,"")</f>
        <v/>
      </c>
      <c r="CG49" s="85" t="str">
        <f aca="false">IF($B49=CG$12,$U49,"")</f>
        <v/>
      </c>
      <c r="CH49" s="85" t="str">
        <f aca="false">IF($B49=CH$12,$U49,"")</f>
        <v/>
      </c>
      <c r="CI49" s="85" t="str">
        <f aca="false">IF($B49=CI$12,$U49,"")</f>
        <v/>
      </c>
      <c r="CJ49" s="85" t="str">
        <f aca="false">IF($B49=CJ$12,$U49,"")</f>
        <v/>
      </c>
      <c r="CK49" s="85" t="str">
        <f aca="false">IF($B49=CK$12,$U49,"")</f>
        <v/>
      </c>
      <c r="CL49" s="85" t="str">
        <f aca="false">IF($B49=CL$12,$U49,"")</f>
        <v/>
      </c>
      <c r="CM49" s="85" t="str">
        <f aca="false">IF($B49=CM$12,$U49,"")</f>
        <v/>
      </c>
      <c r="CN49" s="85" t="str">
        <f aca="false">IF($B49=CN$12,$U49,"")</f>
        <v/>
      </c>
      <c r="CO49" s="85" t="str">
        <f aca="false">IF($B49=CO$12,$U49,"")</f>
        <v/>
      </c>
      <c r="CP49" s="85" t="str">
        <f aca="false">IF($B49=CP$12,$U49,"")</f>
        <v/>
      </c>
      <c r="CQ49" s="85" t="str">
        <f aca="false">IF($B49=CQ$12,$U49,"")</f>
        <v/>
      </c>
      <c r="CR49" s="85" t="str">
        <f aca="false">IF($B49=CR$12,$U49,"")</f>
        <v/>
      </c>
      <c r="CS49" s="85" t="str">
        <f aca="false">IF($B49=CS$12,$U49,"")</f>
        <v/>
      </c>
      <c r="CT49" s="85" t="str">
        <f aca="false">IF($B49=CT$12,$U49,"")</f>
        <v/>
      </c>
      <c r="CU49" s="85" t="str">
        <f aca="false">IF($B49=CU$12,$U49,"")</f>
        <v/>
      </c>
      <c r="CV49" s="85" t="str">
        <f aca="false">IF($B49=CV$12,$U49,"")</f>
        <v/>
      </c>
      <c r="CW49" s="85" t="str">
        <f aca="false">IF($B49=CW$12,$U49,"")</f>
        <v/>
      </c>
      <c r="CX49" s="85" t="str">
        <f aca="false">IF($B49=CX$12,$U49,"")</f>
        <v/>
      </c>
      <c r="CY49" s="85" t="str">
        <f aca="false">IF($B49=CY$12,$U49,"")</f>
        <v/>
      </c>
      <c r="CZ49" s="85" t="str">
        <f aca="false">IF($B49=CZ$12,$U49,"")</f>
        <v/>
      </c>
      <c r="DA49" s="85" t="str">
        <f aca="false">IF($B49=DA$12,$U49,"")</f>
        <v/>
      </c>
      <c r="DB49" s="85" t="str">
        <f aca="false">IF($B49=DB$12,$U49,"")</f>
        <v/>
      </c>
      <c r="DC49" s="85" t="str">
        <f aca="false">IF($B49=DC$12,$U49,"")</f>
        <v/>
      </c>
      <c r="DD49" s="85" t="str">
        <f aca="false">IF($B49=DD$12,$U49,"")</f>
        <v/>
      </c>
      <c r="DE49" s="85" t="str">
        <f aca="false">IF($B49=DE$12,$U49,"")</f>
        <v/>
      </c>
      <c r="DF49" s="85" t="str">
        <f aca="false">IF($B49=DF$12,$U49,"")</f>
        <v/>
      </c>
      <c r="DG49" s="85" t="str">
        <f aca="false">IF($B49=DG$12,$U49,"")</f>
        <v/>
      </c>
      <c r="DH49" s="85" t="str">
        <f aca="false">IF($B49=DH$12,$U49,"")</f>
        <v/>
      </c>
      <c r="DI49" s="85" t="str">
        <f aca="false">IF($B49=DI$12,$U49,"")</f>
        <v/>
      </c>
      <c r="DJ49" s="85" t="str">
        <f aca="false">IF($B49=DJ$12,$U49,"")</f>
        <v/>
      </c>
      <c r="DK49" s="85" t="str">
        <f aca="false">IF($B49=DK$12,$U49,"")</f>
        <v/>
      </c>
      <c r="DL49" s="85" t="str">
        <f aca="false">IF($B49=DL$12,$U49,"")</f>
        <v/>
      </c>
      <c r="DM49" s="85" t="str">
        <f aca="false">IF($B49=DM$12,$U49,"")</f>
        <v/>
      </c>
      <c r="DN49" s="85" t="str">
        <f aca="false">IF($B49=DN$12,$U49,"")</f>
        <v/>
      </c>
      <c r="DO49" s="85" t="str">
        <f aca="false">IF($B49=DO$12,$U49,"")</f>
        <v/>
      </c>
      <c r="DP49" s="85" t="str">
        <f aca="false">IF($B49=DP$12,$U49,"")</f>
        <v/>
      </c>
      <c r="DQ49" s="85" t="str">
        <f aca="false">IF($B49=DQ$12,$U49,"")</f>
        <v/>
      </c>
      <c r="DR49" s="85" t="str">
        <f aca="false">IF($B49=DR$12,$U49,"")</f>
        <v/>
      </c>
      <c r="DS49" s="85" t="str">
        <f aca="false">IF($B49=DS$12,$U49,"")</f>
        <v/>
      </c>
      <c r="DT49" s="86" t="str">
        <f aca="false">IF($B49=DT$12,$U49,"")</f>
        <v/>
      </c>
      <c r="DU49" s="55"/>
      <c r="DV49" s="83"/>
      <c r="DW49" s="87" t="str">
        <f aca="false">IF($B49=DW$12,$O49,"")</f>
        <v/>
      </c>
      <c r="DX49" s="88" t="str">
        <f aca="false">IF($B49=DX$12,$O49,"")</f>
        <v/>
      </c>
      <c r="DY49" s="88" t="str">
        <f aca="false">IF($B49=DY$12,$O49,"")</f>
        <v/>
      </c>
      <c r="DZ49" s="88" t="str">
        <f aca="false">IF($B49=DZ$12,$O49,"")</f>
        <v/>
      </c>
      <c r="EA49" s="88" t="str">
        <f aca="false">IF($B49=EA$12,$O49,"")</f>
        <v/>
      </c>
      <c r="EB49" s="88" t="str">
        <f aca="false">IF($B49=EB$12,$O49,"")</f>
        <v/>
      </c>
      <c r="EC49" s="88" t="str">
        <f aca="false">IF($B49=EC$12,$O49,"")</f>
        <v/>
      </c>
      <c r="ED49" s="88" t="str">
        <f aca="false">IF($B49=ED$12,$O49,"")</f>
        <v/>
      </c>
      <c r="EE49" s="88" t="str">
        <f aca="false">IF($B49=EE$12,$O49,"")</f>
        <v/>
      </c>
      <c r="EF49" s="88" t="str">
        <f aca="false">IF($B49=EF$12,$O49,"")</f>
        <v/>
      </c>
      <c r="EG49" s="88" t="str">
        <f aca="false">IF($B49=EG$12,$O49,"")</f>
        <v/>
      </c>
      <c r="EH49" s="88" t="str">
        <f aca="false">IF($B49=EH$12,$O49,"")</f>
        <v/>
      </c>
      <c r="EI49" s="88" t="str">
        <f aca="false">IF($B49=EI$12,$O49,"")</f>
        <v/>
      </c>
      <c r="EJ49" s="88" t="str">
        <f aca="false">IF($B49=EJ$12,$O49,"")</f>
        <v/>
      </c>
      <c r="EK49" s="88" t="str">
        <f aca="false">IF($B49=EK$12,$O49,"")</f>
        <v/>
      </c>
      <c r="EL49" s="88" t="str">
        <f aca="false">IF($B49=EL$12,$O49,"")</f>
        <v/>
      </c>
      <c r="EM49" s="88" t="str">
        <f aca="false">IF($B49=EM$12,$O49,"")</f>
        <v/>
      </c>
      <c r="EN49" s="88" t="str">
        <f aca="false">IF($B49=EN$12,$O49,"")</f>
        <v/>
      </c>
      <c r="EO49" s="88" t="str">
        <f aca="false">IF($B49=EO$12,$O49,"")</f>
        <v/>
      </c>
      <c r="EP49" s="88" t="str">
        <f aca="false">IF($B49=EP$12,$O49,"")</f>
        <v/>
      </c>
      <c r="EQ49" s="88" t="str">
        <f aca="false">IF($B49=EQ$12,$O49,"")</f>
        <v/>
      </c>
      <c r="ER49" s="88" t="str">
        <f aca="false">IF($B49=ER$12,$O49,"")</f>
        <v/>
      </c>
      <c r="ES49" s="88" t="str">
        <f aca="false">IF($B49=ES$12,$O49,"")</f>
        <v/>
      </c>
      <c r="ET49" s="88" t="str">
        <f aca="false">IF($B49=ET$12,$O49,"")</f>
        <v/>
      </c>
      <c r="EU49" s="88" t="str">
        <f aca="false">IF($B49=EU$12,$O49,"")</f>
        <v/>
      </c>
      <c r="EV49" s="88" t="str">
        <f aca="false">IF($B49=EV$12,$O49,"")</f>
        <v/>
      </c>
      <c r="EW49" s="88" t="str">
        <f aca="false">IF($B49=EW$12,$O49,"")</f>
        <v/>
      </c>
      <c r="EX49" s="88" t="str">
        <f aca="false">IF($B49=EX$12,$O49,"")</f>
        <v/>
      </c>
      <c r="EY49" s="88" t="str">
        <f aca="false">IF($B49=EY$12,$O49,"")</f>
        <v/>
      </c>
      <c r="EZ49" s="88" t="str">
        <f aca="false">IF($B49=EZ$12,$O49,"")</f>
        <v/>
      </c>
      <c r="FA49" s="88" t="str">
        <f aca="false">IF($B49=FA$12,$O49,"")</f>
        <v/>
      </c>
      <c r="FB49" s="88" t="str">
        <f aca="false">IF($B49=FB$12,$O49,"")</f>
        <v/>
      </c>
      <c r="FC49" s="88" t="str">
        <f aca="false">IF($B49=FC$12,$O49,"")</f>
        <v/>
      </c>
      <c r="FD49" s="88" t="str">
        <f aca="false">IF($B49=FD$12,$O49,"")</f>
        <v/>
      </c>
      <c r="FE49" s="88" t="str">
        <f aca="false">IF($B49=FE$12,$O49,"")</f>
        <v/>
      </c>
      <c r="FF49" s="88" t="str">
        <f aca="false">IF($B49=FF$12,$O49,"")</f>
        <v/>
      </c>
      <c r="FG49" s="88" t="str">
        <f aca="false">IF($B49=FG$12,$O49,"")</f>
        <v/>
      </c>
      <c r="FH49" s="88" t="str">
        <f aca="false">IF($B49=FH$12,$O49,"")</f>
        <v/>
      </c>
      <c r="FI49" s="88" t="str">
        <f aca="false">IF($B49=FI$12,$O49,"")</f>
        <v/>
      </c>
      <c r="FJ49" s="88" t="str">
        <f aca="false">IF($B49=FJ$12,$O49,"")</f>
        <v/>
      </c>
      <c r="FK49" s="88" t="str">
        <f aca="false">IF($B49=FK$12,$O49,"")</f>
        <v/>
      </c>
      <c r="FL49" s="88" t="str">
        <f aca="false">IF($B49=FL$12,$O49,"")</f>
        <v/>
      </c>
      <c r="FM49" s="88" t="str">
        <f aca="false">IF($B49=FM$12,$O49,"")</f>
        <v/>
      </c>
      <c r="FN49" s="88" t="str">
        <f aca="false">IF($B49=FN$12,$O49,"")</f>
        <v/>
      </c>
      <c r="FO49" s="88" t="str">
        <f aca="false">IF($B49=FO$12,$O49,"")</f>
        <v/>
      </c>
      <c r="FP49" s="88" t="str">
        <f aca="false">IF($B49=FP$12,$O49,"")</f>
        <v/>
      </c>
      <c r="FQ49" s="88" t="str">
        <f aca="false">IF($B49=FQ$12,$O49,"")</f>
        <v/>
      </c>
      <c r="FR49" s="88" t="str">
        <f aca="false">IF($B49=FR$12,$O49,"")</f>
        <v/>
      </c>
      <c r="FS49" s="88" t="str">
        <f aca="false">IF($B49=FS$12,$O49,"")</f>
        <v/>
      </c>
      <c r="FT49" s="88" t="str">
        <f aca="false">IF($B49=FT$12,$O49,"")</f>
        <v/>
      </c>
      <c r="FU49" s="88" t="str">
        <f aca="false">IF($B49=FU$12,$O49,"")</f>
        <v/>
      </c>
      <c r="FV49" s="88" t="str">
        <f aca="false">IF($B49=FV$12,$O49,"")</f>
        <v/>
      </c>
      <c r="FW49" s="88" t="str">
        <f aca="false">IF($B49=FW$12,$O49,"")</f>
        <v/>
      </c>
      <c r="FX49" s="88" t="str">
        <f aca="false">IF($B49=FX$12,$O49,"")</f>
        <v/>
      </c>
      <c r="FY49" s="88" t="str">
        <f aca="false">IF($B49=FY$12,$O49,"")</f>
        <v/>
      </c>
      <c r="FZ49" s="88" t="str">
        <f aca="false">IF($B49=FZ$12,$O49,"")</f>
        <v/>
      </c>
      <c r="GA49" s="88" t="str">
        <f aca="false">IF($B49=GA$12,$O49,"")</f>
        <v/>
      </c>
      <c r="GB49" s="88" t="str">
        <f aca="false">IF($B49=GB$12,$O49,"")</f>
        <v/>
      </c>
      <c r="GC49" s="88" t="str">
        <f aca="false">IF($B49=GC$12,$O49,"")</f>
        <v/>
      </c>
      <c r="GD49" s="88" t="str">
        <f aca="false">IF($B49=GD$12,$O49,"")</f>
        <v/>
      </c>
      <c r="GE49" s="88" t="str">
        <f aca="false">IF($B49=GE$12,$O49,"")</f>
        <v/>
      </c>
      <c r="GF49" s="88" t="str">
        <f aca="false">IF($B49=GF$12,$O49,"")</f>
        <v/>
      </c>
      <c r="GG49" s="88" t="str">
        <f aca="false">IF($B49=GG$12,$O49,"")</f>
        <v/>
      </c>
      <c r="GH49" s="88" t="str">
        <f aca="false">IF($B49=GH$12,$O49,"")</f>
        <v/>
      </c>
      <c r="GI49" s="88" t="str">
        <f aca="false">IF($B49=GI$12,$O49,"")</f>
        <v/>
      </c>
      <c r="GJ49" s="88" t="str">
        <f aca="false">IF($B49=GJ$12,$O49,"")</f>
        <v/>
      </c>
      <c r="GK49" s="88" t="str">
        <f aca="false">IF($B49=GK$12,$O49,"")</f>
        <v/>
      </c>
      <c r="GL49" s="88" t="str">
        <f aca="false">IF($B49=GL$12,$O49,"")</f>
        <v/>
      </c>
      <c r="GM49" s="88" t="str">
        <f aca="false">IF($B49=GM$12,$O49,"")</f>
        <v/>
      </c>
      <c r="GN49" s="88" t="str">
        <f aca="false">IF($B49=GN$12,$O49,"")</f>
        <v/>
      </c>
      <c r="GO49" s="88" t="str">
        <f aca="false">IF($B49=GO$12,$O49,"")</f>
        <v/>
      </c>
      <c r="GP49" s="88" t="str">
        <f aca="false">IF($B49=GP$12,$O49,"")</f>
        <v/>
      </c>
      <c r="GQ49" s="88" t="str">
        <f aca="false">IF($B49=GQ$12,$O49,"")</f>
        <v/>
      </c>
      <c r="GR49" s="88" t="str">
        <f aca="false">IF($B49=GR$12,$O49,"")</f>
        <v/>
      </c>
      <c r="GS49" s="88" t="str">
        <f aca="false">IF($B49=GS$12,$O49,"")</f>
        <v/>
      </c>
      <c r="GT49" s="88" t="str">
        <f aca="false">IF($B49=GT$12,$O49,"")</f>
        <v/>
      </c>
      <c r="GU49" s="88" t="str">
        <f aca="false">IF($B49=GU$12,$O49,"")</f>
        <v/>
      </c>
      <c r="GV49" s="88" t="str">
        <f aca="false">IF($B49=GV$12,$O49,"")</f>
        <v/>
      </c>
      <c r="GW49" s="88" t="str">
        <f aca="false">IF($B49=GW$12,$O49,"")</f>
        <v/>
      </c>
      <c r="GX49" s="88" t="str">
        <f aca="false">IF($B49=GX$12,$O49,"")</f>
        <v/>
      </c>
      <c r="GY49" s="88" t="str">
        <f aca="false">IF($B49=GY$12,$O49,"")</f>
        <v/>
      </c>
      <c r="GZ49" s="88" t="str">
        <f aca="false">IF($B49=GZ$12,$O49,"")</f>
        <v/>
      </c>
      <c r="HA49" s="88" t="str">
        <f aca="false">IF($B49=HA$12,$O49,"")</f>
        <v/>
      </c>
      <c r="HB49" s="88" t="str">
        <f aca="false">IF($B49=HB$12,$O49,"")</f>
        <v/>
      </c>
      <c r="HC49" s="88" t="str">
        <f aca="false">IF($B49=HC$12,$O49,"")</f>
        <v/>
      </c>
      <c r="HD49" s="88" t="str">
        <f aca="false">IF($B49=HD$12,$O49,"")</f>
        <v/>
      </c>
      <c r="HE49" s="88" t="str">
        <f aca="false">IF($B49=HE$12,$O49,"")</f>
        <v/>
      </c>
      <c r="HF49" s="88" t="str">
        <f aca="false">IF($B49=HF$12,$O49,"")</f>
        <v/>
      </c>
      <c r="HG49" s="88" t="str">
        <f aca="false">IF($B49=HG$12,$O49,"")</f>
        <v/>
      </c>
      <c r="HH49" s="88" t="str">
        <f aca="false">IF($B49=HH$12,$O49,"")</f>
        <v/>
      </c>
      <c r="HI49" s="88" t="str">
        <f aca="false">IF($B49=HI$12,$O49,"")</f>
        <v/>
      </c>
      <c r="HJ49" s="88" t="str">
        <f aca="false">IF($B49=HJ$12,$O49,"")</f>
        <v/>
      </c>
      <c r="HK49" s="88" t="str">
        <f aca="false">IF($B49=HK$12,$O49,"")</f>
        <v/>
      </c>
      <c r="HL49" s="88" t="str">
        <f aca="false">IF($B49=HL$12,$O49,"")</f>
        <v/>
      </c>
      <c r="HM49" s="88" t="str">
        <f aca="false">IF($B49=HM$12,$O49,"")</f>
        <v/>
      </c>
      <c r="HN49" s="88" t="str">
        <f aca="false">IF($B49=HN$12,$O49,"")</f>
        <v/>
      </c>
      <c r="HO49" s="88" t="str">
        <f aca="false">IF($B49=HO$12,$O49,"")</f>
        <v/>
      </c>
      <c r="HP49" s="88" t="str">
        <f aca="false">IF($B49=HP$12,$O49,"")</f>
        <v/>
      </c>
      <c r="HQ49" s="88" t="str">
        <f aca="false">IF($B49=HQ$12,$O49,"")</f>
        <v/>
      </c>
      <c r="HR49" s="89" t="str">
        <f aca="false">IF($B49=HR$12,$O49,"")</f>
        <v/>
      </c>
    </row>
    <row r="50" customFormat="false" ht="10.5" hidden="false" customHeight="true" outlineLevel="0" collapsed="false">
      <c r="A50" s="73"/>
      <c r="B50" s="74"/>
      <c r="C50" s="75" t="str">
        <f aca="false">IF(A50=0,"",VLOOKUP(A50,[3]CO!$A$3:$F$5311,2,0))</f>
        <v/>
      </c>
      <c r="D50" s="76"/>
      <c r="E50" s="76"/>
      <c r="F50" s="76"/>
      <c r="G50" s="77" t="str">
        <f aca="false">IF(A50=0,"",VLOOKUP(A50,[3]CO!$A$3:$F$5311,3,0))</f>
        <v/>
      </c>
      <c r="H50" s="76"/>
      <c r="I50" s="78"/>
      <c r="J50" s="78"/>
      <c r="K50" s="78"/>
      <c r="L50" s="78"/>
      <c r="M50" s="79" t="str">
        <f aca="false">IF(L50=0,"",PRODUCT(I50:L50))</f>
        <v/>
      </c>
      <c r="N50" s="79" t="str">
        <f aca="false">IF(B50=0,"",IF(H50="M",HLOOKUP(B50,$Y$12:$DT$13,2),IF(A50=0,"",VLOOKUP(A50,[3]CO!$A$3:$F$5311,4,0))))</f>
        <v/>
      </c>
      <c r="O50" s="79" t="str">
        <f aca="false">IF(L50=0,"",PRODUCT(M50:N50))</f>
        <v/>
      </c>
      <c r="P50" s="80"/>
      <c r="Q50" s="81" t="str">
        <f aca="false">IF(P50=0,"",(HLOOKUP(P50,$DW$12:$HR$13,2)))</f>
        <v/>
      </c>
      <c r="R50" s="82" t="str">
        <f aca="false">IF(S50=0,"",IF(OR(G50="PEON",G50="OF",G50="JARD",G50="CARP",G50="MAESTRO",G50="SOLD",G50="BGRO",G50="CHOFER",G50="AYTE",G50="S.INTTE.",G50="ASEO",G50="P.PISOS",G50="VELADOR",G50="RESID",G50="PINTOR",G50="ELECT",G50="AZULE",G50="AUX CONT.",G50="SECRETARIA",G50="AUXILIAR ADMTVO.",G50="ARQUITECTO",G50="DIBUJANTE",G50="AUX. DE RESIDENTE"),VLOOKUP(B50,P$14:Q$131,2),"")*S50)</f>
        <v/>
      </c>
      <c r="S50" s="5"/>
      <c r="T50" s="65" t="str">
        <f aca="false">IF(A50=0,"",VLOOKUP(A50,[3]CO!$A$3:$F$5302,5,0))</f>
        <v/>
      </c>
      <c r="U50" s="55" t="n">
        <f aca="false">IF(T50=1,O50*0.1,)</f>
        <v>0</v>
      </c>
      <c r="V50" s="66"/>
      <c r="W50" s="83"/>
      <c r="X50" s="83"/>
      <c r="Y50" s="84" t="str">
        <f aca="false">IF($B50=Y$12,$U50,"")</f>
        <v/>
      </c>
      <c r="Z50" s="85" t="str">
        <f aca="false">IF($B50=Z$12,$U50,"")</f>
        <v/>
      </c>
      <c r="AA50" s="85" t="str">
        <f aca="false">IF($B50=AA$12,$U50,"")</f>
        <v/>
      </c>
      <c r="AB50" s="85" t="str">
        <f aca="false">IF($B50=AB$12,$U50,"")</f>
        <v/>
      </c>
      <c r="AC50" s="85" t="str">
        <f aca="false">IF($B50=AC$12,$U50,"")</f>
        <v/>
      </c>
      <c r="AD50" s="85" t="str">
        <f aca="false">IF($B50=AD$12,$U50,"")</f>
        <v/>
      </c>
      <c r="AE50" s="85" t="str">
        <f aca="false">IF($B50=AE$12,$U50,"")</f>
        <v/>
      </c>
      <c r="AF50" s="85" t="str">
        <f aca="false">IF($B50=AF$12,$U50,"")</f>
        <v/>
      </c>
      <c r="AG50" s="85" t="str">
        <f aca="false">IF($B50=AG$12,$U50,"")</f>
        <v/>
      </c>
      <c r="AH50" s="85" t="str">
        <f aca="false">IF($B50=AH$12,$U50,"")</f>
        <v/>
      </c>
      <c r="AI50" s="85" t="str">
        <f aca="false">IF($B50=AI$12,$U50,"")</f>
        <v/>
      </c>
      <c r="AJ50" s="85" t="str">
        <f aca="false">IF($B50=AJ$12,$U50,"")</f>
        <v/>
      </c>
      <c r="AK50" s="85" t="str">
        <f aca="false">IF($B50=AK$12,$U50,"")</f>
        <v/>
      </c>
      <c r="AL50" s="85" t="str">
        <f aca="false">IF($B50=AL$12,$U50,"")</f>
        <v/>
      </c>
      <c r="AM50" s="85" t="str">
        <f aca="false">IF($B50=AM$12,$U50,"")</f>
        <v/>
      </c>
      <c r="AN50" s="85" t="str">
        <f aca="false">IF($B50=AN$12,$U50,"")</f>
        <v/>
      </c>
      <c r="AO50" s="85" t="str">
        <f aca="false">IF($B50=AO$12,$U50,"")</f>
        <v/>
      </c>
      <c r="AP50" s="85" t="str">
        <f aca="false">IF($B50=AP$12,$U50,"")</f>
        <v/>
      </c>
      <c r="AQ50" s="85" t="str">
        <f aca="false">IF($B50=AQ$12,$U50,"")</f>
        <v/>
      </c>
      <c r="AR50" s="85" t="str">
        <f aca="false">IF($B50=AR$12,$U50,"")</f>
        <v/>
      </c>
      <c r="AS50" s="85" t="str">
        <f aca="false">IF($B50=AS$12,$U50,"")</f>
        <v/>
      </c>
      <c r="AT50" s="85" t="str">
        <f aca="false">IF($B50=AT$12,$U50,"")</f>
        <v/>
      </c>
      <c r="AU50" s="85" t="str">
        <f aca="false">IF($B50=AU$12,$U50,"")</f>
        <v/>
      </c>
      <c r="AV50" s="85" t="str">
        <f aca="false">IF($B50=AV$12,$U50,"")</f>
        <v/>
      </c>
      <c r="AW50" s="85" t="str">
        <f aca="false">IF($B50=AW$12,$U50,"")</f>
        <v/>
      </c>
      <c r="AX50" s="85" t="str">
        <f aca="false">IF($B50=AX$12,$U50,"")</f>
        <v/>
      </c>
      <c r="AY50" s="85" t="str">
        <f aca="false">IF($B50=AY$12,$U50,"")</f>
        <v/>
      </c>
      <c r="AZ50" s="85" t="str">
        <f aca="false">IF($B50=AZ$12,$U50,"")</f>
        <v/>
      </c>
      <c r="BA50" s="85" t="str">
        <f aca="false">IF($B50=BA$12,$U50,"")</f>
        <v/>
      </c>
      <c r="BB50" s="85" t="str">
        <f aca="false">IF($B50=BB$12,$U50,"")</f>
        <v/>
      </c>
      <c r="BC50" s="85" t="str">
        <f aca="false">IF($B50=BC$12,$U50,"")</f>
        <v/>
      </c>
      <c r="BD50" s="85" t="str">
        <f aca="false">IF($B50=BD$12,$U50,"")</f>
        <v/>
      </c>
      <c r="BE50" s="85" t="str">
        <f aca="false">IF($B50=BE$12,$U50,"")</f>
        <v/>
      </c>
      <c r="BF50" s="85" t="str">
        <f aca="false">IF($B50=BF$12,$U50,"")</f>
        <v/>
      </c>
      <c r="BG50" s="85" t="str">
        <f aca="false">IF($B50=BG$12,$U50,"")</f>
        <v/>
      </c>
      <c r="BH50" s="85" t="str">
        <f aca="false">IF($B50=BH$12,$U50,"")</f>
        <v/>
      </c>
      <c r="BI50" s="85" t="str">
        <f aca="false">IF($B50=BI$12,$U50,"")</f>
        <v/>
      </c>
      <c r="BJ50" s="85" t="str">
        <f aca="false">IF($B50=BJ$12,$U50,"")</f>
        <v/>
      </c>
      <c r="BK50" s="85" t="str">
        <f aca="false">IF($B50=BK$12,$U50,"")</f>
        <v/>
      </c>
      <c r="BL50" s="85" t="str">
        <f aca="false">IF($B50=BL$12,$U50,"")</f>
        <v/>
      </c>
      <c r="BM50" s="85" t="str">
        <f aca="false">IF($B50=BM$12,$U50,"")</f>
        <v/>
      </c>
      <c r="BN50" s="85" t="str">
        <f aca="false">IF($B50=BN$12,$U50,"")</f>
        <v/>
      </c>
      <c r="BO50" s="85" t="str">
        <f aca="false">IF($B50=BO$12,$U50,"")</f>
        <v/>
      </c>
      <c r="BP50" s="85" t="str">
        <f aca="false">IF($B50=BP$12,$U50,"")</f>
        <v/>
      </c>
      <c r="BQ50" s="85" t="str">
        <f aca="false">IF($B50=BQ$12,$U50,"")</f>
        <v/>
      </c>
      <c r="BR50" s="85" t="str">
        <f aca="false">IF($B50=BR$12,$U50,"")</f>
        <v/>
      </c>
      <c r="BS50" s="85" t="str">
        <f aca="false">IF($B50=BS$12,$U50,"")</f>
        <v/>
      </c>
      <c r="BT50" s="85" t="str">
        <f aca="false">IF($B50=BT$12,$U50,"")</f>
        <v/>
      </c>
      <c r="BU50" s="85" t="str">
        <f aca="false">IF($B50=BU$12,$U50,"")</f>
        <v/>
      </c>
      <c r="BV50" s="85" t="str">
        <f aca="false">IF($B50=BV$12,$U50,"")</f>
        <v/>
      </c>
      <c r="BW50" s="85" t="str">
        <f aca="false">IF($B50=BW$12,$U50,"")</f>
        <v/>
      </c>
      <c r="BX50" s="85" t="str">
        <f aca="false">IF($B50=BX$12,$U50,"")</f>
        <v/>
      </c>
      <c r="BY50" s="85" t="str">
        <f aca="false">IF($B50=BY$12,$U50,"")</f>
        <v/>
      </c>
      <c r="BZ50" s="85" t="str">
        <f aca="false">IF($B50=BZ$12,$U50,"")</f>
        <v/>
      </c>
      <c r="CA50" s="85" t="str">
        <f aca="false">IF($B50=CA$12,$U50,"")</f>
        <v/>
      </c>
      <c r="CB50" s="85" t="str">
        <f aca="false">IF($B50=CB$12,$U50,"")</f>
        <v/>
      </c>
      <c r="CC50" s="85" t="str">
        <f aca="false">IF($B50=CC$12,$U50,"")</f>
        <v/>
      </c>
      <c r="CD50" s="85" t="str">
        <f aca="false">IF($B50=CD$12,$U50,"")</f>
        <v/>
      </c>
      <c r="CE50" s="85" t="str">
        <f aca="false">IF($B50=CE$12,$U50,"")</f>
        <v/>
      </c>
      <c r="CF50" s="85" t="str">
        <f aca="false">IF($B50=CF$12,$U50,"")</f>
        <v/>
      </c>
      <c r="CG50" s="85" t="str">
        <f aca="false">IF($B50=CG$12,$U50,"")</f>
        <v/>
      </c>
      <c r="CH50" s="85" t="str">
        <f aca="false">IF($B50=CH$12,$U50,"")</f>
        <v/>
      </c>
      <c r="CI50" s="85" t="str">
        <f aca="false">IF($B50=CI$12,$U50,"")</f>
        <v/>
      </c>
      <c r="CJ50" s="85" t="str">
        <f aca="false">IF($B50=CJ$12,$U50,"")</f>
        <v/>
      </c>
      <c r="CK50" s="85" t="str">
        <f aca="false">IF($B50=CK$12,$U50,"")</f>
        <v/>
      </c>
      <c r="CL50" s="85" t="str">
        <f aca="false">IF($B50=CL$12,$U50,"")</f>
        <v/>
      </c>
      <c r="CM50" s="85" t="str">
        <f aca="false">IF($B50=CM$12,$U50,"")</f>
        <v/>
      </c>
      <c r="CN50" s="85" t="str">
        <f aca="false">IF($B50=CN$12,$U50,"")</f>
        <v/>
      </c>
      <c r="CO50" s="85" t="str">
        <f aca="false">IF($B50=CO$12,$U50,"")</f>
        <v/>
      </c>
      <c r="CP50" s="85" t="str">
        <f aca="false">IF($B50=CP$12,$U50,"")</f>
        <v/>
      </c>
      <c r="CQ50" s="85" t="str">
        <f aca="false">IF($B50=CQ$12,$U50,"")</f>
        <v/>
      </c>
      <c r="CR50" s="85" t="str">
        <f aca="false">IF($B50=CR$12,$U50,"")</f>
        <v/>
      </c>
      <c r="CS50" s="85" t="str">
        <f aca="false">IF($B50=CS$12,$U50,"")</f>
        <v/>
      </c>
      <c r="CT50" s="85" t="str">
        <f aca="false">IF($B50=CT$12,$U50,"")</f>
        <v/>
      </c>
      <c r="CU50" s="85" t="str">
        <f aca="false">IF($B50=CU$12,$U50,"")</f>
        <v/>
      </c>
      <c r="CV50" s="85" t="str">
        <f aca="false">IF($B50=CV$12,$U50,"")</f>
        <v/>
      </c>
      <c r="CW50" s="85" t="str">
        <f aca="false">IF($B50=CW$12,$U50,"")</f>
        <v/>
      </c>
      <c r="CX50" s="85" t="str">
        <f aca="false">IF($B50=CX$12,$U50,"")</f>
        <v/>
      </c>
      <c r="CY50" s="85" t="str">
        <f aca="false">IF($B50=CY$12,$U50,"")</f>
        <v/>
      </c>
      <c r="CZ50" s="85" t="str">
        <f aca="false">IF($B50=CZ$12,$U50,"")</f>
        <v/>
      </c>
      <c r="DA50" s="85" t="str">
        <f aca="false">IF($B50=DA$12,$U50,"")</f>
        <v/>
      </c>
      <c r="DB50" s="85" t="str">
        <f aca="false">IF($B50=DB$12,$U50,"")</f>
        <v/>
      </c>
      <c r="DC50" s="85" t="str">
        <f aca="false">IF($B50=DC$12,$U50,"")</f>
        <v/>
      </c>
      <c r="DD50" s="85" t="str">
        <f aca="false">IF($B50=DD$12,$U50,"")</f>
        <v/>
      </c>
      <c r="DE50" s="85" t="str">
        <f aca="false">IF($B50=DE$12,$U50,"")</f>
        <v/>
      </c>
      <c r="DF50" s="85" t="str">
        <f aca="false">IF($B50=DF$12,$U50,"")</f>
        <v/>
      </c>
      <c r="DG50" s="85" t="str">
        <f aca="false">IF($B50=DG$12,$U50,"")</f>
        <v/>
      </c>
      <c r="DH50" s="85" t="str">
        <f aca="false">IF($B50=DH$12,$U50,"")</f>
        <v/>
      </c>
      <c r="DI50" s="85" t="str">
        <f aca="false">IF($B50=DI$12,$U50,"")</f>
        <v/>
      </c>
      <c r="DJ50" s="85" t="str">
        <f aca="false">IF($B50=DJ$12,$U50,"")</f>
        <v/>
      </c>
      <c r="DK50" s="85" t="str">
        <f aca="false">IF($B50=DK$12,$U50,"")</f>
        <v/>
      </c>
      <c r="DL50" s="85" t="str">
        <f aca="false">IF($B50=DL$12,$U50,"")</f>
        <v/>
      </c>
      <c r="DM50" s="85" t="str">
        <f aca="false">IF($B50=DM$12,$U50,"")</f>
        <v/>
      </c>
      <c r="DN50" s="85" t="str">
        <f aca="false">IF($B50=DN$12,$U50,"")</f>
        <v/>
      </c>
      <c r="DO50" s="85" t="str">
        <f aca="false">IF($B50=DO$12,$U50,"")</f>
        <v/>
      </c>
      <c r="DP50" s="85" t="str">
        <f aca="false">IF($B50=DP$12,$U50,"")</f>
        <v/>
      </c>
      <c r="DQ50" s="85" t="str">
        <f aca="false">IF($B50=DQ$12,$U50,"")</f>
        <v/>
      </c>
      <c r="DR50" s="85" t="str">
        <f aca="false">IF($B50=DR$12,$U50,"")</f>
        <v/>
      </c>
      <c r="DS50" s="85" t="str">
        <f aca="false">IF($B50=DS$12,$U50,"")</f>
        <v/>
      </c>
      <c r="DT50" s="86" t="str">
        <f aca="false">IF($B50=DT$12,$U50,"")</f>
        <v/>
      </c>
      <c r="DU50" s="55"/>
      <c r="DV50" s="83"/>
      <c r="DW50" s="87" t="str">
        <f aca="false">IF($B50=DW$12,$O50,"")</f>
        <v/>
      </c>
      <c r="DX50" s="88" t="str">
        <f aca="false">IF($B50=DX$12,$O50,"")</f>
        <v/>
      </c>
      <c r="DY50" s="88" t="str">
        <f aca="false">IF($B50=DY$12,$O50,"")</f>
        <v/>
      </c>
      <c r="DZ50" s="88" t="str">
        <f aca="false">IF($B50=DZ$12,$O50,"")</f>
        <v/>
      </c>
      <c r="EA50" s="88" t="str">
        <f aca="false">IF($B50=EA$12,$O50,"")</f>
        <v/>
      </c>
      <c r="EB50" s="88" t="str">
        <f aca="false">IF($B50=EB$12,$O50,"")</f>
        <v/>
      </c>
      <c r="EC50" s="88" t="str">
        <f aca="false">IF($B50=EC$12,$O50,"")</f>
        <v/>
      </c>
      <c r="ED50" s="88" t="str">
        <f aca="false">IF($B50=ED$12,$O50,"")</f>
        <v/>
      </c>
      <c r="EE50" s="88" t="str">
        <f aca="false">IF($B50=EE$12,$O50,"")</f>
        <v/>
      </c>
      <c r="EF50" s="88" t="str">
        <f aca="false">IF($B50=EF$12,$O50,"")</f>
        <v/>
      </c>
      <c r="EG50" s="88" t="str">
        <f aca="false">IF($B50=EG$12,$O50,"")</f>
        <v/>
      </c>
      <c r="EH50" s="88" t="str">
        <f aca="false">IF($B50=EH$12,$O50,"")</f>
        <v/>
      </c>
      <c r="EI50" s="88" t="str">
        <f aca="false">IF($B50=EI$12,$O50,"")</f>
        <v/>
      </c>
      <c r="EJ50" s="88" t="str">
        <f aca="false">IF($B50=EJ$12,$O50,"")</f>
        <v/>
      </c>
      <c r="EK50" s="88" t="str">
        <f aca="false">IF($B50=EK$12,$O50,"")</f>
        <v/>
      </c>
      <c r="EL50" s="88" t="str">
        <f aca="false">IF($B50=EL$12,$O50,"")</f>
        <v/>
      </c>
      <c r="EM50" s="88" t="str">
        <f aca="false">IF($B50=EM$12,$O50,"")</f>
        <v/>
      </c>
      <c r="EN50" s="88" t="str">
        <f aca="false">IF($B50=EN$12,$O50,"")</f>
        <v/>
      </c>
      <c r="EO50" s="88" t="str">
        <f aca="false">IF($B50=EO$12,$O50,"")</f>
        <v/>
      </c>
      <c r="EP50" s="88" t="str">
        <f aca="false">IF($B50=EP$12,$O50,"")</f>
        <v/>
      </c>
      <c r="EQ50" s="88" t="str">
        <f aca="false">IF($B50=EQ$12,$O50,"")</f>
        <v/>
      </c>
      <c r="ER50" s="88" t="str">
        <f aca="false">IF($B50=ER$12,$O50,"")</f>
        <v/>
      </c>
      <c r="ES50" s="88" t="str">
        <f aca="false">IF($B50=ES$12,$O50,"")</f>
        <v/>
      </c>
      <c r="ET50" s="88" t="str">
        <f aca="false">IF($B50=ET$12,$O50,"")</f>
        <v/>
      </c>
      <c r="EU50" s="88" t="str">
        <f aca="false">IF($B50=EU$12,$O50,"")</f>
        <v/>
      </c>
      <c r="EV50" s="88" t="str">
        <f aca="false">IF($B50=EV$12,$O50,"")</f>
        <v/>
      </c>
      <c r="EW50" s="88" t="str">
        <f aca="false">IF($B50=EW$12,$O50,"")</f>
        <v/>
      </c>
      <c r="EX50" s="88" t="str">
        <f aca="false">IF($B50=EX$12,$O50,"")</f>
        <v/>
      </c>
      <c r="EY50" s="88" t="str">
        <f aca="false">IF($B50=EY$12,$O50,"")</f>
        <v/>
      </c>
      <c r="EZ50" s="88" t="str">
        <f aca="false">IF($B50=EZ$12,$O50,"")</f>
        <v/>
      </c>
      <c r="FA50" s="88" t="str">
        <f aca="false">IF($B50=FA$12,$O50,"")</f>
        <v/>
      </c>
      <c r="FB50" s="88" t="str">
        <f aca="false">IF($B50=FB$12,$O50,"")</f>
        <v/>
      </c>
      <c r="FC50" s="88" t="str">
        <f aca="false">IF($B50=FC$12,$O50,"")</f>
        <v/>
      </c>
      <c r="FD50" s="88" t="str">
        <f aca="false">IF($B50=FD$12,$O50,"")</f>
        <v/>
      </c>
      <c r="FE50" s="88" t="str">
        <f aca="false">IF($B50=FE$12,$O50,"")</f>
        <v/>
      </c>
      <c r="FF50" s="88" t="str">
        <f aca="false">IF($B50=FF$12,$O50,"")</f>
        <v/>
      </c>
      <c r="FG50" s="88" t="str">
        <f aca="false">IF($B50=FG$12,$O50,"")</f>
        <v/>
      </c>
      <c r="FH50" s="88" t="str">
        <f aca="false">IF($B50=FH$12,$O50,"")</f>
        <v/>
      </c>
      <c r="FI50" s="88" t="str">
        <f aca="false">IF($B50=FI$12,$O50,"")</f>
        <v/>
      </c>
      <c r="FJ50" s="88" t="str">
        <f aca="false">IF($B50=FJ$12,$O50,"")</f>
        <v/>
      </c>
      <c r="FK50" s="88" t="str">
        <f aca="false">IF($B50=FK$12,$O50,"")</f>
        <v/>
      </c>
      <c r="FL50" s="88" t="str">
        <f aca="false">IF($B50=FL$12,$O50,"")</f>
        <v/>
      </c>
      <c r="FM50" s="88" t="str">
        <f aca="false">IF($B50=FM$12,$O50,"")</f>
        <v/>
      </c>
      <c r="FN50" s="88" t="str">
        <f aca="false">IF($B50=FN$12,$O50,"")</f>
        <v/>
      </c>
      <c r="FO50" s="88" t="str">
        <f aca="false">IF($B50=FO$12,$O50,"")</f>
        <v/>
      </c>
      <c r="FP50" s="88" t="str">
        <f aca="false">IF($B50=FP$12,$O50,"")</f>
        <v/>
      </c>
      <c r="FQ50" s="88" t="str">
        <f aca="false">IF($B50=FQ$12,$O50,"")</f>
        <v/>
      </c>
      <c r="FR50" s="88" t="str">
        <f aca="false">IF($B50=FR$12,$O50,"")</f>
        <v/>
      </c>
      <c r="FS50" s="88" t="str">
        <f aca="false">IF($B50=FS$12,$O50,"")</f>
        <v/>
      </c>
      <c r="FT50" s="88" t="str">
        <f aca="false">IF($B50=FT$12,$O50,"")</f>
        <v/>
      </c>
      <c r="FU50" s="88" t="str">
        <f aca="false">IF($B50=FU$12,$O50,"")</f>
        <v/>
      </c>
      <c r="FV50" s="88" t="str">
        <f aca="false">IF($B50=FV$12,$O50,"")</f>
        <v/>
      </c>
      <c r="FW50" s="88" t="str">
        <f aca="false">IF($B50=FW$12,$O50,"")</f>
        <v/>
      </c>
      <c r="FX50" s="88" t="str">
        <f aca="false">IF($B50=FX$12,$O50,"")</f>
        <v/>
      </c>
      <c r="FY50" s="88" t="str">
        <f aca="false">IF($B50=FY$12,$O50,"")</f>
        <v/>
      </c>
      <c r="FZ50" s="88" t="str">
        <f aca="false">IF($B50=FZ$12,$O50,"")</f>
        <v/>
      </c>
      <c r="GA50" s="88" t="str">
        <f aca="false">IF($B50=GA$12,$O50,"")</f>
        <v/>
      </c>
      <c r="GB50" s="88" t="str">
        <f aca="false">IF($B50=GB$12,$O50,"")</f>
        <v/>
      </c>
      <c r="GC50" s="88" t="str">
        <f aca="false">IF($B50=GC$12,$O50,"")</f>
        <v/>
      </c>
      <c r="GD50" s="88" t="str">
        <f aca="false">IF($B50=GD$12,$O50,"")</f>
        <v/>
      </c>
      <c r="GE50" s="88" t="str">
        <f aca="false">IF($B50=GE$12,$O50,"")</f>
        <v/>
      </c>
      <c r="GF50" s="88" t="str">
        <f aca="false">IF($B50=GF$12,$O50,"")</f>
        <v/>
      </c>
      <c r="GG50" s="88" t="str">
        <f aca="false">IF($B50=GG$12,$O50,"")</f>
        <v/>
      </c>
      <c r="GH50" s="88" t="str">
        <f aca="false">IF($B50=GH$12,$O50,"")</f>
        <v/>
      </c>
      <c r="GI50" s="88" t="str">
        <f aca="false">IF($B50=GI$12,$O50,"")</f>
        <v/>
      </c>
      <c r="GJ50" s="88" t="str">
        <f aca="false">IF($B50=GJ$12,$O50,"")</f>
        <v/>
      </c>
      <c r="GK50" s="88" t="str">
        <f aca="false">IF($B50=GK$12,$O50,"")</f>
        <v/>
      </c>
      <c r="GL50" s="88" t="str">
        <f aca="false">IF($B50=GL$12,$O50,"")</f>
        <v/>
      </c>
      <c r="GM50" s="88" t="str">
        <f aca="false">IF($B50=GM$12,$O50,"")</f>
        <v/>
      </c>
      <c r="GN50" s="88" t="str">
        <f aca="false">IF($B50=GN$12,$O50,"")</f>
        <v/>
      </c>
      <c r="GO50" s="88" t="str">
        <f aca="false">IF($B50=GO$12,$O50,"")</f>
        <v/>
      </c>
      <c r="GP50" s="88" t="str">
        <f aca="false">IF($B50=GP$12,$O50,"")</f>
        <v/>
      </c>
      <c r="GQ50" s="88" t="str">
        <f aca="false">IF($B50=GQ$12,$O50,"")</f>
        <v/>
      </c>
      <c r="GR50" s="88" t="str">
        <f aca="false">IF($B50=GR$12,$O50,"")</f>
        <v/>
      </c>
      <c r="GS50" s="88" t="str">
        <f aca="false">IF($B50=GS$12,$O50,"")</f>
        <v/>
      </c>
      <c r="GT50" s="88" t="str">
        <f aca="false">IF($B50=GT$12,$O50,"")</f>
        <v/>
      </c>
      <c r="GU50" s="88" t="str">
        <f aca="false">IF($B50=GU$12,$O50,"")</f>
        <v/>
      </c>
      <c r="GV50" s="88" t="str">
        <f aca="false">IF($B50=GV$12,$O50,"")</f>
        <v/>
      </c>
      <c r="GW50" s="88" t="str">
        <f aca="false">IF($B50=GW$12,$O50,"")</f>
        <v/>
      </c>
      <c r="GX50" s="88" t="str">
        <f aca="false">IF($B50=GX$12,$O50,"")</f>
        <v/>
      </c>
      <c r="GY50" s="88" t="str">
        <f aca="false">IF($B50=GY$12,$O50,"")</f>
        <v/>
      </c>
      <c r="GZ50" s="88" t="str">
        <f aca="false">IF($B50=GZ$12,$O50,"")</f>
        <v/>
      </c>
      <c r="HA50" s="88" t="str">
        <f aca="false">IF($B50=HA$12,$O50,"")</f>
        <v/>
      </c>
      <c r="HB50" s="88" t="str">
        <f aca="false">IF($B50=HB$12,$O50,"")</f>
        <v/>
      </c>
      <c r="HC50" s="88" t="str">
        <f aca="false">IF($B50=HC$12,$O50,"")</f>
        <v/>
      </c>
      <c r="HD50" s="88" t="str">
        <f aca="false">IF($B50=HD$12,$O50,"")</f>
        <v/>
      </c>
      <c r="HE50" s="88" t="str">
        <f aca="false">IF($B50=HE$12,$O50,"")</f>
        <v/>
      </c>
      <c r="HF50" s="88" t="str">
        <f aca="false">IF($B50=HF$12,$O50,"")</f>
        <v/>
      </c>
      <c r="HG50" s="88" t="str">
        <f aca="false">IF($B50=HG$12,$O50,"")</f>
        <v/>
      </c>
      <c r="HH50" s="88" t="str">
        <f aca="false">IF($B50=HH$12,$O50,"")</f>
        <v/>
      </c>
      <c r="HI50" s="88" t="str">
        <f aca="false">IF($B50=HI$12,$O50,"")</f>
        <v/>
      </c>
      <c r="HJ50" s="88" t="str">
        <f aca="false">IF($B50=HJ$12,$O50,"")</f>
        <v/>
      </c>
      <c r="HK50" s="88" t="str">
        <f aca="false">IF($B50=HK$12,$O50,"")</f>
        <v/>
      </c>
      <c r="HL50" s="88" t="str">
        <f aca="false">IF($B50=HL$12,$O50,"")</f>
        <v/>
      </c>
      <c r="HM50" s="88" t="str">
        <f aca="false">IF($B50=HM$12,$O50,"")</f>
        <v/>
      </c>
      <c r="HN50" s="88" t="str">
        <f aca="false">IF($B50=HN$12,$O50,"")</f>
        <v/>
      </c>
      <c r="HO50" s="88" t="str">
        <f aca="false">IF($B50=HO$12,$O50,"")</f>
        <v/>
      </c>
      <c r="HP50" s="88" t="str">
        <f aca="false">IF($B50=HP$12,$O50,"")</f>
        <v/>
      </c>
      <c r="HQ50" s="88" t="str">
        <f aca="false">IF($B50=HQ$12,$O50,"")</f>
        <v/>
      </c>
      <c r="HR50" s="89" t="str">
        <f aca="false">IF($B50=HR$12,$O50,"")</f>
        <v/>
      </c>
    </row>
    <row r="51" customFormat="false" ht="10.5" hidden="false" customHeight="true" outlineLevel="0" collapsed="false">
      <c r="A51" s="73"/>
      <c r="B51" s="74"/>
      <c r="C51" s="75" t="str">
        <f aca="false">IF(A51=0,"",VLOOKUP(A51,[3]CO!$A$3:$F$5311,2,0))</f>
        <v/>
      </c>
      <c r="D51" s="76"/>
      <c r="E51" s="76"/>
      <c r="F51" s="76"/>
      <c r="G51" s="77" t="str">
        <f aca="false">IF(A51=0,"",VLOOKUP(A51,[3]CO!$A$3:$F$5311,3,0))</f>
        <v/>
      </c>
      <c r="H51" s="76"/>
      <c r="I51" s="78"/>
      <c r="J51" s="78"/>
      <c r="K51" s="78"/>
      <c r="L51" s="78"/>
      <c r="M51" s="79" t="str">
        <f aca="false">IF(L51=0,"",PRODUCT(I51:L51))</f>
        <v/>
      </c>
      <c r="N51" s="79" t="str">
        <f aca="false">IF(B51=0,"",IF(H51="M",HLOOKUP(B51,$Y$12:$DT$13,2),IF(A51=0,"",VLOOKUP(A51,[3]CO!$A$3:$F$5311,4,0))))</f>
        <v/>
      </c>
      <c r="O51" s="79" t="str">
        <f aca="false">IF(L51=0,"",PRODUCT(M51:N51))</f>
        <v/>
      </c>
      <c r="P51" s="80"/>
      <c r="Q51" s="81" t="str">
        <f aca="false">IF(P51=0,"",(HLOOKUP(P51,$DW$12:$HR$13,2)))</f>
        <v/>
      </c>
      <c r="R51" s="82" t="str">
        <f aca="false">IF(S51=0,"",IF(OR(G51="PEON",G51="OF",G51="JARD",G51="CARP",G51="MAESTRO",G51="SOLD",G51="BGRO",G51="CHOFER",G51="AYTE",G51="S.INTTE.",G51="ASEO",G51="P.PISOS",G51="VELADOR",G51="RESID",G51="PINTOR",G51="ELECT",G51="AZULE",G51="AUX CONT.",G51="SECRETARIA",G51="AUXILIAR ADMTVO.",G51="ARQUITECTO",G51="DIBUJANTE",G51="AUX. DE RESIDENTE"),VLOOKUP(B51,P$14:Q$131,2),"")*S51)</f>
        <v/>
      </c>
      <c r="S51" s="5"/>
      <c r="T51" s="65" t="str">
        <f aca="false">IF(A51=0,"",VLOOKUP(A51,[3]CO!$A$3:$F$5302,5,0))</f>
        <v/>
      </c>
      <c r="U51" s="55" t="n">
        <f aca="false">IF(T51=1,O51*0.1,)</f>
        <v>0</v>
      </c>
      <c r="V51" s="66"/>
      <c r="W51" s="83"/>
      <c r="X51" s="83"/>
      <c r="Y51" s="84" t="str">
        <f aca="false">IF($B51=Y$12,$U51,"")</f>
        <v/>
      </c>
      <c r="Z51" s="85" t="str">
        <f aca="false">IF($B51=Z$12,$U51,"")</f>
        <v/>
      </c>
      <c r="AA51" s="85" t="str">
        <f aca="false">IF($B51=AA$12,$U51,"")</f>
        <v/>
      </c>
      <c r="AB51" s="85" t="str">
        <f aca="false">IF($B51=AB$12,$U51,"")</f>
        <v/>
      </c>
      <c r="AC51" s="85" t="str">
        <f aca="false">IF($B51=AC$12,$U51,"")</f>
        <v/>
      </c>
      <c r="AD51" s="85" t="str">
        <f aca="false">IF($B51=AD$12,$U51,"")</f>
        <v/>
      </c>
      <c r="AE51" s="85" t="str">
        <f aca="false">IF($B51=AE$12,$U51,"")</f>
        <v/>
      </c>
      <c r="AF51" s="85" t="str">
        <f aca="false">IF($B51=AF$12,$U51,"")</f>
        <v/>
      </c>
      <c r="AG51" s="85" t="str">
        <f aca="false">IF($B51=AG$12,$U51,"")</f>
        <v/>
      </c>
      <c r="AH51" s="85" t="str">
        <f aca="false">IF($B51=AH$12,$U51,"")</f>
        <v/>
      </c>
      <c r="AI51" s="85" t="str">
        <f aca="false">IF($B51=AI$12,$U51,"")</f>
        <v/>
      </c>
      <c r="AJ51" s="85" t="str">
        <f aca="false">IF($B51=AJ$12,$U51,"")</f>
        <v/>
      </c>
      <c r="AK51" s="85" t="str">
        <f aca="false">IF($B51=AK$12,$U51,"")</f>
        <v/>
      </c>
      <c r="AL51" s="85" t="str">
        <f aca="false">IF($B51=AL$12,$U51,"")</f>
        <v/>
      </c>
      <c r="AM51" s="85" t="str">
        <f aca="false">IF($B51=AM$12,$U51,"")</f>
        <v/>
      </c>
      <c r="AN51" s="85" t="str">
        <f aca="false">IF($B51=AN$12,$U51,"")</f>
        <v/>
      </c>
      <c r="AO51" s="85" t="str">
        <f aca="false">IF($B51=AO$12,$U51,"")</f>
        <v/>
      </c>
      <c r="AP51" s="85" t="str">
        <f aca="false">IF($B51=AP$12,$U51,"")</f>
        <v/>
      </c>
      <c r="AQ51" s="85" t="str">
        <f aca="false">IF($B51=AQ$12,$U51,"")</f>
        <v/>
      </c>
      <c r="AR51" s="85" t="str">
        <f aca="false">IF($B51=AR$12,$U51,"")</f>
        <v/>
      </c>
      <c r="AS51" s="85" t="str">
        <f aca="false">IF($B51=AS$12,$U51,"")</f>
        <v/>
      </c>
      <c r="AT51" s="85" t="str">
        <f aca="false">IF($B51=AT$12,$U51,"")</f>
        <v/>
      </c>
      <c r="AU51" s="85" t="str">
        <f aca="false">IF($B51=AU$12,$U51,"")</f>
        <v/>
      </c>
      <c r="AV51" s="85" t="str">
        <f aca="false">IF($B51=AV$12,$U51,"")</f>
        <v/>
      </c>
      <c r="AW51" s="85" t="str">
        <f aca="false">IF($B51=AW$12,$U51,"")</f>
        <v/>
      </c>
      <c r="AX51" s="85" t="str">
        <f aca="false">IF($B51=AX$12,$U51,"")</f>
        <v/>
      </c>
      <c r="AY51" s="85" t="str">
        <f aca="false">IF($B51=AY$12,$U51,"")</f>
        <v/>
      </c>
      <c r="AZ51" s="85" t="str">
        <f aca="false">IF($B51=AZ$12,$U51,"")</f>
        <v/>
      </c>
      <c r="BA51" s="85" t="str">
        <f aca="false">IF($B51=BA$12,$U51,"")</f>
        <v/>
      </c>
      <c r="BB51" s="85" t="str">
        <f aca="false">IF($B51=BB$12,$U51,"")</f>
        <v/>
      </c>
      <c r="BC51" s="85" t="str">
        <f aca="false">IF($B51=BC$12,$U51,"")</f>
        <v/>
      </c>
      <c r="BD51" s="85" t="str">
        <f aca="false">IF($B51=BD$12,$U51,"")</f>
        <v/>
      </c>
      <c r="BE51" s="85" t="str">
        <f aca="false">IF($B51=BE$12,$U51,"")</f>
        <v/>
      </c>
      <c r="BF51" s="85" t="str">
        <f aca="false">IF($B51=BF$12,$U51,"")</f>
        <v/>
      </c>
      <c r="BG51" s="85" t="str">
        <f aca="false">IF($B51=BG$12,$U51,"")</f>
        <v/>
      </c>
      <c r="BH51" s="85" t="str">
        <f aca="false">IF($B51=BH$12,$U51,"")</f>
        <v/>
      </c>
      <c r="BI51" s="85" t="str">
        <f aca="false">IF($B51=BI$12,$U51,"")</f>
        <v/>
      </c>
      <c r="BJ51" s="85" t="str">
        <f aca="false">IF($B51=BJ$12,$U51,"")</f>
        <v/>
      </c>
      <c r="BK51" s="85" t="str">
        <f aca="false">IF($B51=BK$12,$U51,"")</f>
        <v/>
      </c>
      <c r="BL51" s="85" t="str">
        <f aca="false">IF($B51=BL$12,$U51,"")</f>
        <v/>
      </c>
      <c r="BM51" s="85" t="str">
        <f aca="false">IF($B51=BM$12,$U51,"")</f>
        <v/>
      </c>
      <c r="BN51" s="85" t="str">
        <f aca="false">IF($B51=BN$12,$U51,"")</f>
        <v/>
      </c>
      <c r="BO51" s="85" t="str">
        <f aca="false">IF($B51=BO$12,$U51,"")</f>
        <v/>
      </c>
      <c r="BP51" s="85" t="str">
        <f aca="false">IF($B51=BP$12,$U51,"")</f>
        <v/>
      </c>
      <c r="BQ51" s="85" t="str">
        <f aca="false">IF($B51=BQ$12,$U51,"")</f>
        <v/>
      </c>
      <c r="BR51" s="85" t="str">
        <f aca="false">IF($B51=BR$12,$U51,"")</f>
        <v/>
      </c>
      <c r="BS51" s="85" t="str">
        <f aca="false">IF($B51=BS$12,$U51,"")</f>
        <v/>
      </c>
      <c r="BT51" s="85" t="str">
        <f aca="false">IF($B51=BT$12,$U51,"")</f>
        <v/>
      </c>
      <c r="BU51" s="85" t="str">
        <f aca="false">IF($B51=BU$12,$U51,"")</f>
        <v/>
      </c>
      <c r="BV51" s="85" t="str">
        <f aca="false">IF($B51=BV$12,$U51,"")</f>
        <v/>
      </c>
      <c r="BW51" s="85" t="str">
        <f aca="false">IF($B51=BW$12,$U51,"")</f>
        <v/>
      </c>
      <c r="BX51" s="85" t="str">
        <f aca="false">IF($B51=BX$12,$U51,"")</f>
        <v/>
      </c>
      <c r="BY51" s="85" t="str">
        <f aca="false">IF($B51=BY$12,$U51,"")</f>
        <v/>
      </c>
      <c r="BZ51" s="85" t="str">
        <f aca="false">IF($B51=BZ$12,$U51,"")</f>
        <v/>
      </c>
      <c r="CA51" s="85" t="str">
        <f aca="false">IF($B51=CA$12,$U51,"")</f>
        <v/>
      </c>
      <c r="CB51" s="85" t="str">
        <f aca="false">IF($B51=CB$12,$U51,"")</f>
        <v/>
      </c>
      <c r="CC51" s="85" t="str">
        <f aca="false">IF($B51=CC$12,$U51,"")</f>
        <v/>
      </c>
      <c r="CD51" s="85" t="str">
        <f aca="false">IF($B51=CD$12,$U51,"")</f>
        <v/>
      </c>
      <c r="CE51" s="85" t="str">
        <f aca="false">IF($B51=CE$12,$U51,"")</f>
        <v/>
      </c>
      <c r="CF51" s="85" t="str">
        <f aca="false">IF($B51=CF$12,$U51,"")</f>
        <v/>
      </c>
      <c r="CG51" s="85" t="str">
        <f aca="false">IF($B51=CG$12,$U51,"")</f>
        <v/>
      </c>
      <c r="CH51" s="85" t="str">
        <f aca="false">IF($B51=CH$12,$U51,"")</f>
        <v/>
      </c>
      <c r="CI51" s="85" t="str">
        <f aca="false">IF($B51=CI$12,$U51,"")</f>
        <v/>
      </c>
      <c r="CJ51" s="85" t="str">
        <f aca="false">IF($B51=CJ$12,$U51,"")</f>
        <v/>
      </c>
      <c r="CK51" s="85" t="str">
        <f aca="false">IF($B51=CK$12,$U51,"")</f>
        <v/>
      </c>
      <c r="CL51" s="85" t="str">
        <f aca="false">IF($B51=CL$12,$U51,"")</f>
        <v/>
      </c>
      <c r="CM51" s="85" t="str">
        <f aca="false">IF($B51=CM$12,$U51,"")</f>
        <v/>
      </c>
      <c r="CN51" s="85" t="str">
        <f aca="false">IF($B51=CN$12,$U51,"")</f>
        <v/>
      </c>
      <c r="CO51" s="85" t="str">
        <f aca="false">IF($B51=CO$12,$U51,"")</f>
        <v/>
      </c>
      <c r="CP51" s="85" t="str">
        <f aca="false">IF($B51=CP$12,$U51,"")</f>
        <v/>
      </c>
      <c r="CQ51" s="85" t="str">
        <f aca="false">IF($B51=CQ$12,$U51,"")</f>
        <v/>
      </c>
      <c r="CR51" s="85" t="str">
        <f aca="false">IF($B51=CR$12,$U51,"")</f>
        <v/>
      </c>
      <c r="CS51" s="85" t="str">
        <f aca="false">IF($B51=CS$12,$U51,"")</f>
        <v/>
      </c>
      <c r="CT51" s="85" t="str">
        <f aca="false">IF($B51=CT$12,$U51,"")</f>
        <v/>
      </c>
      <c r="CU51" s="85" t="str">
        <f aca="false">IF($B51=CU$12,$U51,"")</f>
        <v/>
      </c>
      <c r="CV51" s="85" t="str">
        <f aca="false">IF($B51=CV$12,$U51,"")</f>
        <v/>
      </c>
      <c r="CW51" s="85" t="str">
        <f aca="false">IF($B51=CW$12,$U51,"")</f>
        <v/>
      </c>
      <c r="CX51" s="85" t="str">
        <f aca="false">IF($B51=CX$12,$U51,"")</f>
        <v/>
      </c>
      <c r="CY51" s="85" t="str">
        <f aca="false">IF($B51=CY$12,$U51,"")</f>
        <v/>
      </c>
      <c r="CZ51" s="85" t="str">
        <f aca="false">IF($B51=CZ$12,$U51,"")</f>
        <v/>
      </c>
      <c r="DA51" s="85" t="str">
        <f aca="false">IF($B51=DA$12,$U51,"")</f>
        <v/>
      </c>
      <c r="DB51" s="85" t="str">
        <f aca="false">IF($B51=DB$12,$U51,"")</f>
        <v/>
      </c>
      <c r="DC51" s="85" t="str">
        <f aca="false">IF($B51=DC$12,$U51,"")</f>
        <v/>
      </c>
      <c r="DD51" s="85" t="str">
        <f aca="false">IF($B51=DD$12,$U51,"")</f>
        <v/>
      </c>
      <c r="DE51" s="85" t="str">
        <f aca="false">IF($B51=DE$12,$U51,"")</f>
        <v/>
      </c>
      <c r="DF51" s="85" t="str">
        <f aca="false">IF($B51=DF$12,$U51,"")</f>
        <v/>
      </c>
      <c r="DG51" s="85" t="str">
        <f aca="false">IF($B51=DG$12,$U51,"")</f>
        <v/>
      </c>
      <c r="DH51" s="85" t="str">
        <f aca="false">IF($B51=DH$12,$U51,"")</f>
        <v/>
      </c>
      <c r="DI51" s="85" t="str">
        <f aca="false">IF($B51=DI$12,$U51,"")</f>
        <v/>
      </c>
      <c r="DJ51" s="85" t="str">
        <f aca="false">IF($B51=DJ$12,$U51,"")</f>
        <v/>
      </c>
      <c r="DK51" s="85" t="str">
        <f aca="false">IF($B51=DK$12,$U51,"")</f>
        <v/>
      </c>
      <c r="DL51" s="85" t="str">
        <f aca="false">IF($B51=DL$12,$U51,"")</f>
        <v/>
      </c>
      <c r="DM51" s="85" t="str">
        <f aca="false">IF($B51=DM$12,$U51,"")</f>
        <v/>
      </c>
      <c r="DN51" s="85" t="str">
        <f aca="false">IF($B51=DN$12,$U51,"")</f>
        <v/>
      </c>
      <c r="DO51" s="85" t="str">
        <f aca="false">IF($B51=DO$12,$U51,"")</f>
        <v/>
      </c>
      <c r="DP51" s="85" t="str">
        <f aca="false">IF($B51=DP$12,$U51,"")</f>
        <v/>
      </c>
      <c r="DQ51" s="85" t="str">
        <f aca="false">IF($B51=DQ$12,$U51,"")</f>
        <v/>
      </c>
      <c r="DR51" s="85" t="str">
        <f aca="false">IF($B51=DR$12,$U51,"")</f>
        <v/>
      </c>
      <c r="DS51" s="85" t="str">
        <f aca="false">IF($B51=DS$12,$U51,"")</f>
        <v/>
      </c>
      <c r="DT51" s="86" t="str">
        <f aca="false">IF($B51=DT$12,$U51,"")</f>
        <v/>
      </c>
      <c r="DU51" s="55"/>
      <c r="DV51" s="83"/>
      <c r="DW51" s="87" t="str">
        <f aca="false">IF($B51=DW$12,$O51,"")</f>
        <v/>
      </c>
      <c r="DX51" s="88" t="str">
        <f aca="false">IF($B51=DX$12,$O51,"")</f>
        <v/>
      </c>
      <c r="DY51" s="88" t="str">
        <f aca="false">IF($B51=DY$12,$O51,"")</f>
        <v/>
      </c>
      <c r="DZ51" s="88" t="str">
        <f aca="false">IF($B51=DZ$12,$O51,"")</f>
        <v/>
      </c>
      <c r="EA51" s="88" t="str">
        <f aca="false">IF($B51=EA$12,$O51,"")</f>
        <v/>
      </c>
      <c r="EB51" s="88" t="str">
        <f aca="false">IF($B51=EB$12,$O51,"")</f>
        <v/>
      </c>
      <c r="EC51" s="88" t="str">
        <f aca="false">IF($B51=EC$12,$O51,"")</f>
        <v/>
      </c>
      <c r="ED51" s="88" t="str">
        <f aca="false">IF($B51=ED$12,$O51,"")</f>
        <v/>
      </c>
      <c r="EE51" s="88" t="str">
        <f aca="false">IF($B51=EE$12,$O51,"")</f>
        <v/>
      </c>
      <c r="EF51" s="88" t="str">
        <f aca="false">IF($B51=EF$12,$O51,"")</f>
        <v/>
      </c>
      <c r="EG51" s="88" t="str">
        <f aca="false">IF($B51=EG$12,$O51,"")</f>
        <v/>
      </c>
      <c r="EH51" s="88" t="str">
        <f aca="false">IF($B51=EH$12,$O51,"")</f>
        <v/>
      </c>
      <c r="EI51" s="88" t="str">
        <f aca="false">IF($B51=EI$12,$O51,"")</f>
        <v/>
      </c>
      <c r="EJ51" s="88" t="str">
        <f aca="false">IF($B51=EJ$12,$O51,"")</f>
        <v/>
      </c>
      <c r="EK51" s="88" t="str">
        <f aca="false">IF($B51=EK$12,$O51,"")</f>
        <v/>
      </c>
      <c r="EL51" s="88" t="str">
        <f aca="false">IF($B51=EL$12,$O51,"")</f>
        <v/>
      </c>
      <c r="EM51" s="88" t="str">
        <f aca="false">IF($B51=EM$12,$O51,"")</f>
        <v/>
      </c>
      <c r="EN51" s="88" t="str">
        <f aca="false">IF($B51=EN$12,$O51,"")</f>
        <v/>
      </c>
      <c r="EO51" s="88" t="str">
        <f aca="false">IF($B51=EO$12,$O51,"")</f>
        <v/>
      </c>
      <c r="EP51" s="88" t="str">
        <f aca="false">IF($B51=EP$12,$O51,"")</f>
        <v/>
      </c>
      <c r="EQ51" s="88" t="str">
        <f aca="false">IF($B51=EQ$12,$O51,"")</f>
        <v/>
      </c>
      <c r="ER51" s="88" t="str">
        <f aca="false">IF($B51=ER$12,$O51,"")</f>
        <v/>
      </c>
      <c r="ES51" s="88" t="str">
        <f aca="false">IF($B51=ES$12,$O51,"")</f>
        <v/>
      </c>
      <c r="ET51" s="88" t="str">
        <f aca="false">IF($B51=ET$12,$O51,"")</f>
        <v/>
      </c>
      <c r="EU51" s="88" t="str">
        <f aca="false">IF($B51=EU$12,$O51,"")</f>
        <v/>
      </c>
      <c r="EV51" s="88" t="str">
        <f aca="false">IF($B51=EV$12,$O51,"")</f>
        <v/>
      </c>
      <c r="EW51" s="88" t="str">
        <f aca="false">IF($B51=EW$12,$O51,"")</f>
        <v/>
      </c>
      <c r="EX51" s="88" t="str">
        <f aca="false">IF($B51=EX$12,$O51,"")</f>
        <v/>
      </c>
      <c r="EY51" s="88" t="str">
        <f aca="false">IF($B51=EY$12,$O51,"")</f>
        <v/>
      </c>
      <c r="EZ51" s="88" t="str">
        <f aca="false">IF($B51=EZ$12,$O51,"")</f>
        <v/>
      </c>
      <c r="FA51" s="88" t="str">
        <f aca="false">IF($B51=FA$12,$O51,"")</f>
        <v/>
      </c>
      <c r="FB51" s="88" t="str">
        <f aca="false">IF($B51=FB$12,$O51,"")</f>
        <v/>
      </c>
      <c r="FC51" s="88" t="str">
        <f aca="false">IF($B51=FC$12,$O51,"")</f>
        <v/>
      </c>
      <c r="FD51" s="88" t="str">
        <f aca="false">IF($B51=FD$12,$O51,"")</f>
        <v/>
      </c>
      <c r="FE51" s="88" t="str">
        <f aca="false">IF($B51=FE$12,$O51,"")</f>
        <v/>
      </c>
      <c r="FF51" s="88" t="str">
        <f aca="false">IF($B51=FF$12,$O51,"")</f>
        <v/>
      </c>
      <c r="FG51" s="88" t="str">
        <f aca="false">IF($B51=FG$12,$O51,"")</f>
        <v/>
      </c>
      <c r="FH51" s="88" t="str">
        <f aca="false">IF($B51=FH$12,$O51,"")</f>
        <v/>
      </c>
      <c r="FI51" s="88" t="str">
        <f aca="false">IF($B51=FI$12,$O51,"")</f>
        <v/>
      </c>
      <c r="FJ51" s="88" t="str">
        <f aca="false">IF($B51=FJ$12,$O51,"")</f>
        <v/>
      </c>
      <c r="FK51" s="88" t="str">
        <f aca="false">IF($B51=FK$12,$O51,"")</f>
        <v/>
      </c>
      <c r="FL51" s="88" t="str">
        <f aca="false">IF($B51=FL$12,$O51,"")</f>
        <v/>
      </c>
      <c r="FM51" s="88" t="str">
        <f aca="false">IF($B51=FM$12,$O51,"")</f>
        <v/>
      </c>
      <c r="FN51" s="88" t="str">
        <f aca="false">IF($B51=FN$12,$O51,"")</f>
        <v/>
      </c>
      <c r="FO51" s="88" t="str">
        <f aca="false">IF($B51=FO$12,$O51,"")</f>
        <v/>
      </c>
      <c r="FP51" s="88" t="str">
        <f aca="false">IF($B51=FP$12,$O51,"")</f>
        <v/>
      </c>
      <c r="FQ51" s="88" t="str">
        <f aca="false">IF($B51=FQ$12,$O51,"")</f>
        <v/>
      </c>
      <c r="FR51" s="88" t="str">
        <f aca="false">IF($B51=FR$12,$O51,"")</f>
        <v/>
      </c>
      <c r="FS51" s="88" t="str">
        <f aca="false">IF($B51=FS$12,$O51,"")</f>
        <v/>
      </c>
      <c r="FT51" s="88" t="str">
        <f aca="false">IF($B51=FT$12,$O51,"")</f>
        <v/>
      </c>
      <c r="FU51" s="88" t="str">
        <f aca="false">IF($B51=FU$12,$O51,"")</f>
        <v/>
      </c>
      <c r="FV51" s="88" t="str">
        <f aca="false">IF($B51=FV$12,$O51,"")</f>
        <v/>
      </c>
      <c r="FW51" s="88" t="str">
        <f aca="false">IF($B51=FW$12,$O51,"")</f>
        <v/>
      </c>
      <c r="FX51" s="88" t="str">
        <f aca="false">IF($B51=FX$12,$O51,"")</f>
        <v/>
      </c>
      <c r="FY51" s="88" t="str">
        <f aca="false">IF($B51=FY$12,$O51,"")</f>
        <v/>
      </c>
      <c r="FZ51" s="88" t="str">
        <f aca="false">IF($B51=FZ$12,$O51,"")</f>
        <v/>
      </c>
      <c r="GA51" s="88" t="str">
        <f aca="false">IF($B51=GA$12,$O51,"")</f>
        <v/>
      </c>
      <c r="GB51" s="88" t="str">
        <f aca="false">IF($B51=GB$12,$O51,"")</f>
        <v/>
      </c>
      <c r="GC51" s="88" t="str">
        <f aca="false">IF($B51=GC$12,$O51,"")</f>
        <v/>
      </c>
      <c r="GD51" s="88" t="str">
        <f aca="false">IF($B51=GD$12,$O51,"")</f>
        <v/>
      </c>
      <c r="GE51" s="88" t="str">
        <f aca="false">IF($B51=GE$12,$O51,"")</f>
        <v/>
      </c>
      <c r="GF51" s="88" t="str">
        <f aca="false">IF($B51=GF$12,$O51,"")</f>
        <v/>
      </c>
      <c r="GG51" s="88" t="str">
        <f aca="false">IF($B51=GG$12,$O51,"")</f>
        <v/>
      </c>
      <c r="GH51" s="88" t="str">
        <f aca="false">IF($B51=GH$12,$O51,"")</f>
        <v/>
      </c>
      <c r="GI51" s="88" t="str">
        <f aca="false">IF($B51=GI$12,$O51,"")</f>
        <v/>
      </c>
      <c r="GJ51" s="88" t="str">
        <f aca="false">IF($B51=GJ$12,$O51,"")</f>
        <v/>
      </c>
      <c r="GK51" s="88" t="str">
        <f aca="false">IF($B51=GK$12,$O51,"")</f>
        <v/>
      </c>
      <c r="GL51" s="88" t="str">
        <f aca="false">IF($B51=GL$12,$O51,"")</f>
        <v/>
      </c>
      <c r="GM51" s="88" t="str">
        <f aca="false">IF($B51=GM$12,$O51,"")</f>
        <v/>
      </c>
      <c r="GN51" s="88" t="str">
        <f aca="false">IF($B51=GN$12,$O51,"")</f>
        <v/>
      </c>
      <c r="GO51" s="88" t="str">
        <f aca="false">IF($B51=GO$12,$O51,"")</f>
        <v/>
      </c>
      <c r="GP51" s="88" t="str">
        <f aca="false">IF($B51=GP$12,$O51,"")</f>
        <v/>
      </c>
      <c r="GQ51" s="88" t="str">
        <f aca="false">IF($B51=GQ$12,$O51,"")</f>
        <v/>
      </c>
      <c r="GR51" s="88" t="str">
        <f aca="false">IF($B51=GR$12,$O51,"")</f>
        <v/>
      </c>
      <c r="GS51" s="88" t="str">
        <f aca="false">IF($B51=GS$12,$O51,"")</f>
        <v/>
      </c>
      <c r="GT51" s="88" t="str">
        <f aca="false">IF($B51=GT$12,$O51,"")</f>
        <v/>
      </c>
      <c r="GU51" s="88" t="str">
        <f aca="false">IF($B51=GU$12,$O51,"")</f>
        <v/>
      </c>
      <c r="GV51" s="88" t="str">
        <f aca="false">IF($B51=GV$12,$O51,"")</f>
        <v/>
      </c>
      <c r="GW51" s="88" t="str">
        <f aca="false">IF($B51=GW$12,$O51,"")</f>
        <v/>
      </c>
      <c r="GX51" s="88" t="str">
        <f aca="false">IF($B51=GX$12,$O51,"")</f>
        <v/>
      </c>
      <c r="GY51" s="88" t="str">
        <f aca="false">IF($B51=GY$12,$O51,"")</f>
        <v/>
      </c>
      <c r="GZ51" s="88" t="str">
        <f aca="false">IF($B51=GZ$12,$O51,"")</f>
        <v/>
      </c>
      <c r="HA51" s="88" t="str">
        <f aca="false">IF($B51=HA$12,$O51,"")</f>
        <v/>
      </c>
      <c r="HB51" s="88" t="str">
        <f aca="false">IF($B51=HB$12,$O51,"")</f>
        <v/>
      </c>
      <c r="HC51" s="88" t="str">
        <f aca="false">IF($B51=HC$12,$O51,"")</f>
        <v/>
      </c>
      <c r="HD51" s="88" t="str">
        <f aca="false">IF($B51=HD$12,$O51,"")</f>
        <v/>
      </c>
      <c r="HE51" s="88" t="str">
        <f aca="false">IF($B51=HE$12,$O51,"")</f>
        <v/>
      </c>
      <c r="HF51" s="88" t="str">
        <f aca="false">IF($B51=HF$12,$O51,"")</f>
        <v/>
      </c>
      <c r="HG51" s="88" t="str">
        <f aca="false">IF($B51=HG$12,$O51,"")</f>
        <v/>
      </c>
      <c r="HH51" s="88" t="str">
        <f aca="false">IF($B51=HH$12,$O51,"")</f>
        <v/>
      </c>
      <c r="HI51" s="88" t="str">
        <f aca="false">IF($B51=HI$12,$O51,"")</f>
        <v/>
      </c>
      <c r="HJ51" s="88" t="str">
        <f aca="false">IF($B51=HJ$12,$O51,"")</f>
        <v/>
      </c>
      <c r="HK51" s="88" t="str">
        <f aca="false">IF($B51=HK$12,$O51,"")</f>
        <v/>
      </c>
      <c r="HL51" s="88" t="str">
        <f aca="false">IF($B51=HL$12,$O51,"")</f>
        <v/>
      </c>
      <c r="HM51" s="88" t="str">
        <f aca="false">IF($B51=HM$12,$O51,"")</f>
        <v/>
      </c>
      <c r="HN51" s="88" t="str">
        <f aca="false">IF($B51=HN$12,$O51,"")</f>
        <v/>
      </c>
      <c r="HO51" s="88" t="str">
        <f aca="false">IF($B51=HO$12,$O51,"")</f>
        <v/>
      </c>
      <c r="HP51" s="88" t="str">
        <f aca="false">IF($B51=HP$12,$O51,"")</f>
        <v/>
      </c>
      <c r="HQ51" s="88" t="str">
        <f aca="false">IF($B51=HQ$12,$O51,"")</f>
        <v/>
      </c>
      <c r="HR51" s="89" t="str">
        <f aca="false">IF($B51=HR$12,$O51,"")</f>
        <v/>
      </c>
    </row>
    <row r="52" customFormat="false" ht="10.5" hidden="false" customHeight="true" outlineLevel="0" collapsed="false">
      <c r="A52" s="73"/>
      <c r="B52" s="74"/>
      <c r="C52" s="75" t="str">
        <f aca="false">IF(A52=0,"",VLOOKUP(A52,[3]CO!$A$3:$F$5311,2,0))</f>
        <v/>
      </c>
      <c r="D52" s="76"/>
      <c r="E52" s="76"/>
      <c r="F52" s="76"/>
      <c r="G52" s="77" t="str">
        <f aca="false">IF(A52=0,"",VLOOKUP(A52,[3]CO!$A$3:$F$5311,3,0))</f>
        <v/>
      </c>
      <c r="H52" s="76"/>
      <c r="I52" s="78"/>
      <c r="J52" s="78"/>
      <c r="K52" s="78"/>
      <c r="L52" s="78"/>
      <c r="M52" s="79" t="str">
        <f aca="false">IF(L52=0,"",PRODUCT(I52:L52))</f>
        <v/>
      </c>
      <c r="N52" s="79" t="str">
        <f aca="false">IF(B52=0,"",IF(H52="M",HLOOKUP(B52,$Y$12:$DT$13,2),IF(A52=0,"",VLOOKUP(A52,[3]CO!$A$3:$F$5311,4,0))))</f>
        <v/>
      </c>
      <c r="O52" s="79" t="str">
        <f aca="false">IF(L52=0,"",PRODUCT(M52:N52))</f>
        <v/>
      </c>
      <c r="P52" s="80"/>
      <c r="Q52" s="81" t="str">
        <f aca="false">IF(P52=0,"",(HLOOKUP(P52,$DW$12:$HR$13,2)))</f>
        <v/>
      </c>
      <c r="R52" s="82" t="str">
        <f aca="false">IF(S52=0,"",IF(OR(G52="PEON",G52="OF",G52="JARD",G52="CARP",G52="MAESTRO",G52="SOLD",G52="BGRO",G52="CHOFER",G52="AYTE",G52="S.INTTE.",G52="ASEO",G52="P.PISOS",G52="VELADOR",G52="RESID",G52="PINTOR",G52="ELECT",G52="AZULE",G52="AUX CONT.",G52="SECRETARIA",G52="AUXILIAR ADMTVO.",G52="ARQUITECTO",G52="DIBUJANTE",G52="AUX. DE RESIDENTE"),VLOOKUP(B52,P$14:Q$131,2),"")*S52)</f>
        <v/>
      </c>
      <c r="S52" s="5"/>
      <c r="T52" s="65" t="str">
        <f aca="false">IF(A52=0,"",VLOOKUP(A52,[3]CO!$A$3:$F$5302,5,0))</f>
        <v/>
      </c>
      <c r="U52" s="55" t="n">
        <f aca="false">IF(T52=1,O52*0.1,)</f>
        <v>0</v>
      </c>
      <c r="V52" s="66"/>
      <c r="W52" s="83"/>
      <c r="X52" s="83"/>
      <c r="Y52" s="84" t="str">
        <f aca="false">IF($B52=Y$12,$U52,"")</f>
        <v/>
      </c>
      <c r="Z52" s="85" t="str">
        <f aca="false">IF($B52=Z$12,$U52,"")</f>
        <v/>
      </c>
      <c r="AA52" s="85" t="str">
        <f aca="false">IF($B52=AA$12,$U52,"")</f>
        <v/>
      </c>
      <c r="AB52" s="85" t="str">
        <f aca="false">IF($B52=AB$12,$U52,"")</f>
        <v/>
      </c>
      <c r="AC52" s="85" t="str">
        <f aca="false">IF($B52=AC$12,$U52,"")</f>
        <v/>
      </c>
      <c r="AD52" s="85" t="str">
        <f aca="false">IF($B52=AD$12,$U52,"")</f>
        <v/>
      </c>
      <c r="AE52" s="85" t="str">
        <f aca="false">IF($B52=AE$12,$U52,"")</f>
        <v/>
      </c>
      <c r="AF52" s="85" t="str">
        <f aca="false">IF($B52=AF$12,$U52,"")</f>
        <v/>
      </c>
      <c r="AG52" s="85" t="str">
        <f aca="false">IF($B52=AG$12,$U52,"")</f>
        <v/>
      </c>
      <c r="AH52" s="85" t="str">
        <f aca="false">IF($B52=AH$12,$U52,"")</f>
        <v/>
      </c>
      <c r="AI52" s="85" t="str">
        <f aca="false">IF($B52=AI$12,$U52,"")</f>
        <v/>
      </c>
      <c r="AJ52" s="85" t="str">
        <f aca="false">IF($B52=AJ$12,$U52,"")</f>
        <v/>
      </c>
      <c r="AK52" s="85" t="str">
        <f aca="false">IF($B52=AK$12,$U52,"")</f>
        <v/>
      </c>
      <c r="AL52" s="85" t="str">
        <f aca="false">IF($B52=AL$12,$U52,"")</f>
        <v/>
      </c>
      <c r="AM52" s="85" t="str">
        <f aca="false">IF($B52=AM$12,$U52,"")</f>
        <v/>
      </c>
      <c r="AN52" s="85" t="str">
        <f aca="false">IF($B52=AN$12,$U52,"")</f>
        <v/>
      </c>
      <c r="AO52" s="85" t="str">
        <f aca="false">IF($B52=AO$12,$U52,"")</f>
        <v/>
      </c>
      <c r="AP52" s="85" t="str">
        <f aca="false">IF($B52=AP$12,$U52,"")</f>
        <v/>
      </c>
      <c r="AQ52" s="85" t="str">
        <f aca="false">IF($B52=AQ$12,$U52,"")</f>
        <v/>
      </c>
      <c r="AR52" s="85" t="str">
        <f aca="false">IF($B52=AR$12,$U52,"")</f>
        <v/>
      </c>
      <c r="AS52" s="85" t="str">
        <f aca="false">IF($B52=AS$12,$U52,"")</f>
        <v/>
      </c>
      <c r="AT52" s="85" t="str">
        <f aca="false">IF($B52=AT$12,$U52,"")</f>
        <v/>
      </c>
      <c r="AU52" s="85" t="str">
        <f aca="false">IF($B52=AU$12,$U52,"")</f>
        <v/>
      </c>
      <c r="AV52" s="85" t="str">
        <f aca="false">IF($B52=AV$12,$U52,"")</f>
        <v/>
      </c>
      <c r="AW52" s="85" t="str">
        <f aca="false">IF($B52=AW$12,$U52,"")</f>
        <v/>
      </c>
      <c r="AX52" s="85" t="str">
        <f aca="false">IF($B52=AX$12,$U52,"")</f>
        <v/>
      </c>
      <c r="AY52" s="85" t="str">
        <f aca="false">IF($B52=AY$12,$U52,"")</f>
        <v/>
      </c>
      <c r="AZ52" s="85" t="str">
        <f aca="false">IF($B52=AZ$12,$U52,"")</f>
        <v/>
      </c>
      <c r="BA52" s="85" t="str">
        <f aca="false">IF($B52=BA$12,$U52,"")</f>
        <v/>
      </c>
      <c r="BB52" s="85" t="str">
        <f aca="false">IF($B52=BB$12,$U52,"")</f>
        <v/>
      </c>
      <c r="BC52" s="85" t="str">
        <f aca="false">IF($B52=BC$12,$U52,"")</f>
        <v/>
      </c>
      <c r="BD52" s="85" t="str">
        <f aca="false">IF($B52=BD$12,$U52,"")</f>
        <v/>
      </c>
      <c r="BE52" s="85" t="str">
        <f aca="false">IF($B52=BE$12,$U52,"")</f>
        <v/>
      </c>
      <c r="BF52" s="85" t="str">
        <f aca="false">IF($B52=BF$12,$U52,"")</f>
        <v/>
      </c>
      <c r="BG52" s="85" t="str">
        <f aca="false">IF($B52=BG$12,$U52,"")</f>
        <v/>
      </c>
      <c r="BH52" s="85" t="str">
        <f aca="false">IF($B52=BH$12,$U52,"")</f>
        <v/>
      </c>
      <c r="BI52" s="85" t="str">
        <f aca="false">IF($B52=BI$12,$U52,"")</f>
        <v/>
      </c>
      <c r="BJ52" s="85" t="str">
        <f aca="false">IF($B52=BJ$12,$U52,"")</f>
        <v/>
      </c>
      <c r="BK52" s="85" t="str">
        <f aca="false">IF($B52=BK$12,$U52,"")</f>
        <v/>
      </c>
      <c r="BL52" s="85" t="str">
        <f aca="false">IF($B52=BL$12,$U52,"")</f>
        <v/>
      </c>
      <c r="BM52" s="85" t="str">
        <f aca="false">IF($B52=BM$12,$U52,"")</f>
        <v/>
      </c>
      <c r="BN52" s="85" t="str">
        <f aca="false">IF($B52=BN$12,$U52,"")</f>
        <v/>
      </c>
      <c r="BO52" s="85" t="str">
        <f aca="false">IF($B52=BO$12,$U52,"")</f>
        <v/>
      </c>
      <c r="BP52" s="85" t="str">
        <f aca="false">IF($B52=BP$12,$U52,"")</f>
        <v/>
      </c>
      <c r="BQ52" s="85" t="str">
        <f aca="false">IF($B52=BQ$12,$U52,"")</f>
        <v/>
      </c>
      <c r="BR52" s="85" t="str">
        <f aca="false">IF($B52=BR$12,$U52,"")</f>
        <v/>
      </c>
      <c r="BS52" s="85" t="str">
        <f aca="false">IF($B52=BS$12,$U52,"")</f>
        <v/>
      </c>
      <c r="BT52" s="85" t="str">
        <f aca="false">IF($B52=BT$12,$U52,"")</f>
        <v/>
      </c>
      <c r="BU52" s="85" t="str">
        <f aca="false">IF($B52=BU$12,$U52,"")</f>
        <v/>
      </c>
      <c r="BV52" s="85" t="str">
        <f aca="false">IF($B52=BV$12,$U52,"")</f>
        <v/>
      </c>
      <c r="BW52" s="85" t="str">
        <f aca="false">IF($B52=BW$12,$U52,"")</f>
        <v/>
      </c>
      <c r="BX52" s="85" t="str">
        <f aca="false">IF($B52=BX$12,$U52,"")</f>
        <v/>
      </c>
      <c r="BY52" s="85" t="str">
        <f aca="false">IF($B52=BY$12,$U52,"")</f>
        <v/>
      </c>
      <c r="BZ52" s="85" t="str">
        <f aca="false">IF($B52=BZ$12,$U52,"")</f>
        <v/>
      </c>
      <c r="CA52" s="85" t="str">
        <f aca="false">IF($B52=CA$12,$U52,"")</f>
        <v/>
      </c>
      <c r="CB52" s="85" t="str">
        <f aca="false">IF($B52=CB$12,$U52,"")</f>
        <v/>
      </c>
      <c r="CC52" s="85" t="str">
        <f aca="false">IF($B52=CC$12,$U52,"")</f>
        <v/>
      </c>
      <c r="CD52" s="85" t="str">
        <f aca="false">IF($B52=CD$12,$U52,"")</f>
        <v/>
      </c>
      <c r="CE52" s="85" t="str">
        <f aca="false">IF($B52=CE$12,$U52,"")</f>
        <v/>
      </c>
      <c r="CF52" s="85" t="str">
        <f aca="false">IF($B52=CF$12,$U52,"")</f>
        <v/>
      </c>
      <c r="CG52" s="85" t="str">
        <f aca="false">IF($B52=CG$12,$U52,"")</f>
        <v/>
      </c>
      <c r="CH52" s="85" t="str">
        <f aca="false">IF($B52=CH$12,$U52,"")</f>
        <v/>
      </c>
      <c r="CI52" s="85" t="str">
        <f aca="false">IF($B52=CI$12,$U52,"")</f>
        <v/>
      </c>
      <c r="CJ52" s="85" t="str">
        <f aca="false">IF($B52=CJ$12,$U52,"")</f>
        <v/>
      </c>
      <c r="CK52" s="85" t="str">
        <f aca="false">IF($B52=CK$12,$U52,"")</f>
        <v/>
      </c>
      <c r="CL52" s="85" t="str">
        <f aca="false">IF($B52=CL$12,$U52,"")</f>
        <v/>
      </c>
      <c r="CM52" s="85" t="str">
        <f aca="false">IF($B52=CM$12,$U52,"")</f>
        <v/>
      </c>
      <c r="CN52" s="85" t="str">
        <f aca="false">IF($B52=CN$12,$U52,"")</f>
        <v/>
      </c>
      <c r="CO52" s="85" t="str">
        <f aca="false">IF($B52=CO$12,$U52,"")</f>
        <v/>
      </c>
      <c r="CP52" s="85" t="str">
        <f aca="false">IF($B52=CP$12,$U52,"")</f>
        <v/>
      </c>
      <c r="CQ52" s="85" t="str">
        <f aca="false">IF($B52=CQ$12,$U52,"")</f>
        <v/>
      </c>
      <c r="CR52" s="85" t="str">
        <f aca="false">IF($B52=CR$12,$U52,"")</f>
        <v/>
      </c>
      <c r="CS52" s="85" t="str">
        <f aca="false">IF($B52=CS$12,$U52,"")</f>
        <v/>
      </c>
      <c r="CT52" s="85" t="str">
        <f aca="false">IF($B52=CT$12,$U52,"")</f>
        <v/>
      </c>
      <c r="CU52" s="85" t="str">
        <f aca="false">IF($B52=CU$12,$U52,"")</f>
        <v/>
      </c>
      <c r="CV52" s="85" t="str">
        <f aca="false">IF($B52=CV$12,$U52,"")</f>
        <v/>
      </c>
      <c r="CW52" s="85" t="str">
        <f aca="false">IF($B52=CW$12,$U52,"")</f>
        <v/>
      </c>
      <c r="CX52" s="85" t="str">
        <f aca="false">IF($B52=CX$12,$U52,"")</f>
        <v/>
      </c>
      <c r="CY52" s="85" t="str">
        <f aca="false">IF($B52=CY$12,$U52,"")</f>
        <v/>
      </c>
      <c r="CZ52" s="85" t="str">
        <f aca="false">IF($B52=CZ$12,$U52,"")</f>
        <v/>
      </c>
      <c r="DA52" s="85" t="str">
        <f aca="false">IF($B52=DA$12,$U52,"")</f>
        <v/>
      </c>
      <c r="DB52" s="85" t="str">
        <f aca="false">IF($B52=DB$12,$U52,"")</f>
        <v/>
      </c>
      <c r="DC52" s="85" t="str">
        <f aca="false">IF($B52=DC$12,$U52,"")</f>
        <v/>
      </c>
      <c r="DD52" s="85" t="str">
        <f aca="false">IF($B52=DD$12,$U52,"")</f>
        <v/>
      </c>
      <c r="DE52" s="85" t="str">
        <f aca="false">IF($B52=DE$12,$U52,"")</f>
        <v/>
      </c>
      <c r="DF52" s="85" t="str">
        <f aca="false">IF($B52=DF$12,$U52,"")</f>
        <v/>
      </c>
      <c r="DG52" s="85" t="str">
        <f aca="false">IF($B52=DG$12,$U52,"")</f>
        <v/>
      </c>
      <c r="DH52" s="85" t="str">
        <f aca="false">IF($B52=DH$12,$U52,"")</f>
        <v/>
      </c>
      <c r="DI52" s="85" t="str">
        <f aca="false">IF($B52=DI$12,$U52,"")</f>
        <v/>
      </c>
      <c r="DJ52" s="85" t="str">
        <f aca="false">IF($B52=DJ$12,$U52,"")</f>
        <v/>
      </c>
      <c r="DK52" s="85" t="str">
        <f aca="false">IF($B52=DK$12,$U52,"")</f>
        <v/>
      </c>
      <c r="DL52" s="85" t="str">
        <f aca="false">IF($B52=DL$12,$U52,"")</f>
        <v/>
      </c>
      <c r="DM52" s="85" t="str">
        <f aca="false">IF($B52=DM$12,$U52,"")</f>
        <v/>
      </c>
      <c r="DN52" s="85" t="str">
        <f aca="false">IF($B52=DN$12,$U52,"")</f>
        <v/>
      </c>
      <c r="DO52" s="85" t="str">
        <f aca="false">IF($B52=DO$12,$U52,"")</f>
        <v/>
      </c>
      <c r="DP52" s="85" t="str">
        <f aca="false">IF($B52=DP$12,$U52,"")</f>
        <v/>
      </c>
      <c r="DQ52" s="85" t="str">
        <f aca="false">IF($B52=DQ$12,$U52,"")</f>
        <v/>
      </c>
      <c r="DR52" s="85" t="str">
        <f aca="false">IF($B52=DR$12,$U52,"")</f>
        <v/>
      </c>
      <c r="DS52" s="85" t="str">
        <f aca="false">IF($B52=DS$12,$U52,"")</f>
        <v/>
      </c>
      <c r="DT52" s="86" t="str">
        <f aca="false">IF($B52=DT$12,$U52,"")</f>
        <v/>
      </c>
      <c r="DU52" s="55"/>
      <c r="DV52" s="83"/>
      <c r="DW52" s="87" t="str">
        <f aca="false">IF($B52=DW$12,$O52,"")</f>
        <v/>
      </c>
      <c r="DX52" s="88" t="str">
        <f aca="false">IF($B52=DX$12,$O52,"")</f>
        <v/>
      </c>
      <c r="DY52" s="88" t="str">
        <f aca="false">IF($B52=DY$12,$O52,"")</f>
        <v/>
      </c>
      <c r="DZ52" s="88" t="str">
        <f aca="false">IF($B52=DZ$12,$O52,"")</f>
        <v/>
      </c>
      <c r="EA52" s="88" t="str">
        <f aca="false">IF($B52=EA$12,$O52,"")</f>
        <v/>
      </c>
      <c r="EB52" s="88" t="str">
        <f aca="false">IF($B52=EB$12,$O52,"")</f>
        <v/>
      </c>
      <c r="EC52" s="88" t="str">
        <f aca="false">IF($B52=EC$12,$O52,"")</f>
        <v/>
      </c>
      <c r="ED52" s="88" t="str">
        <f aca="false">IF($B52=ED$12,$O52,"")</f>
        <v/>
      </c>
      <c r="EE52" s="88" t="str">
        <f aca="false">IF($B52=EE$12,$O52,"")</f>
        <v/>
      </c>
      <c r="EF52" s="88" t="str">
        <f aca="false">IF($B52=EF$12,$O52,"")</f>
        <v/>
      </c>
      <c r="EG52" s="88" t="str">
        <f aca="false">IF($B52=EG$12,$O52,"")</f>
        <v/>
      </c>
      <c r="EH52" s="88" t="str">
        <f aca="false">IF($B52=EH$12,$O52,"")</f>
        <v/>
      </c>
      <c r="EI52" s="88" t="str">
        <f aca="false">IF($B52=EI$12,$O52,"")</f>
        <v/>
      </c>
      <c r="EJ52" s="88" t="str">
        <f aca="false">IF($B52=EJ$12,$O52,"")</f>
        <v/>
      </c>
      <c r="EK52" s="88" t="str">
        <f aca="false">IF($B52=EK$12,$O52,"")</f>
        <v/>
      </c>
      <c r="EL52" s="88" t="str">
        <f aca="false">IF($B52=EL$12,$O52,"")</f>
        <v/>
      </c>
      <c r="EM52" s="88" t="str">
        <f aca="false">IF($B52=EM$12,$O52,"")</f>
        <v/>
      </c>
      <c r="EN52" s="88" t="str">
        <f aca="false">IF($B52=EN$12,$O52,"")</f>
        <v/>
      </c>
      <c r="EO52" s="88" t="str">
        <f aca="false">IF($B52=EO$12,$O52,"")</f>
        <v/>
      </c>
      <c r="EP52" s="88" t="str">
        <f aca="false">IF($B52=EP$12,$O52,"")</f>
        <v/>
      </c>
      <c r="EQ52" s="88" t="str">
        <f aca="false">IF($B52=EQ$12,$O52,"")</f>
        <v/>
      </c>
      <c r="ER52" s="88" t="str">
        <f aca="false">IF($B52=ER$12,$O52,"")</f>
        <v/>
      </c>
      <c r="ES52" s="88" t="str">
        <f aca="false">IF($B52=ES$12,$O52,"")</f>
        <v/>
      </c>
      <c r="ET52" s="88" t="str">
        <f aca="false">IF($B52=ET$12,$O52,"")</f>
        <v/>
      </c>
      <c r="EU52" s="88" t="str">
        <f aca="false">IF($B52=EU$12,$O52,"")</f>
        <v/>
      </c>
      <c r="EV52" s="88" t="str">
        <f aca="false">IF($B52=EV$12,$O52,"")</f>
        <v/>
      </c>
      <c r="EW52" s="88" t="str">
        <f aca="false">IF($B52=EW$12,$O52,"")</f>
        <v/>
      </c>
      <c r="EX52" s="88" t="str">
        <f aca="false">IF($B52=EX$12,$O52,"")</f>
        <v/>
      </c>
      <c r="EY52" s="88" t="str">
        <f aca="false">IF($B52=EY$12,$O52,"")</f>
        <v/>
      </c>
      <c r="EZ52" s="88" t="str">
        <f aca="false">IF($B52=EZ$12,$O52,"")</f>
        <v/>
      </c>
      <c r="FA52" s="88" t="str">
        <f aca="false">IF($B52=FA$12,$O52,"")</f>
        <v/>
      </c>
      <c r="FB52" s="88" t="str">
        <f aca="false">IF($B52=FB$12,$O52,"")</f>
        <v/>
      </c>
      <c r="FC52" s="88" t="str">
        <f aca="false">IF($B52=FC$12,$O52,"")</f>
        <v/>
      </c>
      <c r="FD52" s="88" t="str">
        <f aca="false">IF($B52=FD$12,$O52,"")</f>
        <v/>
      </c>
      <c r="FE52" s="88" t="str">
        <f aca="false">IF($B52=FE$12,$O52,"")</f>
        <v/>
      </c>
      <c r="FF52" s="88" t="str">
        <f aca="false">IF($B52=FF$12,$O52,"")</f>
        <v/>
      </c>
      <c r="FG52" s="88" t="str">
        <f aca="false">IF($B52=FG$12,$O52,"")</f>
        <v/>
      </c>
      <c r="FH52" s="88" t="str">
        <f aca="false">IF($B52=FH$12,$O52,"")</f>
        <v/>
      </c>
      <c r="FI52" s="88" t="str">
        <f aca="false">IF($B52=FI$12,$O52,"")</f>
        <v/>
      </c>
      <c r="FJ52" s="88" t="str">
        <f aca="false">IF($B52=FJ$12,$O52,"")</f>
        <v/>
      </c>
      <c r="FK52" s="88" t="str">
        <f aca="false">IF($B52=FK$12,$O52,"")</f>
        <v/>
      </c>
      <c r="FL52" s="88" t="str">
        <f aca="false">IF($B52=FL$12,$O52,"")</f>
        <v/>
      </c>
      <c r="FM52" s="88" t="str">
        <f aca="false">IF($B52=FM$12,$O52,"")</f>
        <v/>
      </c>
      <c r="FN52" s="88" t="str">
        <f aca="false">IF($B52=FN$12,$O52,"")</f>
        <v/>
      </c>
      <c r="FO52" s="88" t="str">
        <f aca="false">IF($B52=FO$12,$O52,"")</f>
        <v/>
      </c>
      <c r="FP52" s="88" t="str">
        <f aca="false">IF($B52=FP$12,$O52,"")</f>
        <v/>
      </c>
      <c r="FQ52" s="88" t="str">
        <f aca="false">IF($B52=FQ$12,$O52,"")</f>
        <v/>
      </c>
      <c r="FR52" s="88" t="str">
        <f aca="false">IF($B52=FR$12,$O52,"")</f>
        <v/>
      </c>
      <c r="FS52" s="88" t="str">
        <f aca="false">IF($B52=FS$12,$O52,"")</f>
        <v/>
      </c>
      <c r="FT52" s="88" t="str">
        <f aca="false">IF($B52=FT$12,$O52,"")</f>
        <v/>
      </c>
      <c r="FU52" s="88" t="str">
        <f aca="false">IF($B52=FU$12,$O52,"")</f>
        <v/>
      </c>
      <c r="FV52" s="88" t="str">
        <f aca="false">IF($B52=FV$12,$O52,"")</f>
        <v/>
      </c>
      <c r="FW52" s="88" t="str">
        <f aca="false">IF($B52=FW$12,$O52,"")</f>
        <v/>
      </c>
      <c r="FX52" s="88" t="str">
        <f aca="false">IF($B52=FX$12,$O52,"")</f>
        <v/>
      </c>
      <c r="FY52" s="88" t="str">
        <f aca="false">IF($B52=FY$12,$O52,"")</f>
        <v/>
      </c>
      <c r="FZ52" s="88" t="str">
        <f aca="false">IF($B52=FZ$12,$O52,"")</f>
        <v/>
      </c>
      <c r="GA52" s="88" t="str">
        <f aca="false">IF($B52=GA$12,$O52,"")</f>
        <v/>
      </c>
      <c r="GB52" s="88" t="str">
        <f aca="false">IF($B52=GB$12,$O52,"")</f>
        <v/>
      </c>
      <c r="GC52" s="88" t="str">
        <f aca="false">IF($B52=GC$12,$O52,"")</f>
        <v/>
      </c>
      <c r="GD52" s="88" t="str">
        <f aca="false">IF($B52=GD$12,$O52,"")</f>
        <v/>
      </c>
      <c r="GE52" s="88" t="str">
        <f aca="false">IF($B52=GE$12,$O52,"")</f>
        <v/>
      </c>
      <c r="GF52" s="88" t="str">
        <f aca="false">IF($B52=GF$12,$O52,"")</f>
        <v/>
      </c>
      <c r="GG52" s="88" t="str">
        <f aca="false">IF($B52=GG$12,$O52,"")</f>
        <v/>
      </c>
      <c r="GH52" s="88" t="str">
        <f aca="false">IF($B52=GH$12,$O52,"")</f>
        <v/>
      </c>
      <c r="GI52" s="88" t="str">
        <f aca="false">IF($B52=GI$12,$O52,"")</f>
        <v/>
      </c>
      <c r="GJ52" s="88" t="str">
        <f aca="false">IF($B52=GJ$12,$O52,"")</f>
        <v/>
      </c>
      <c r="GK52" s="88" t="str">
        <f aca="false">IF($B52=GK$12,$O52,"")</f>
        <v/>
      </c>
      <c r="GL52" s="88" t="str">
        <f aca="false">IF($B52=GL$12,$O52,"")</f>
        <v/>
      </c>
      <c r="GM52" s="88" t="str">
        <f aca="false">IF($B52=GM$12,$O52,"")</f>
        <v/>
      </c>
      <c r="GN52" s="88" t="str">
        <f aca="false">IF($B52=GN$12,$O52,"")</f>
        <v/>
      </c>
      <c r="GO52" s="88" t="str">
        <f aca="false">IF($B52=GO$12,$O52,"")</f>
        <v/>
      </c>
      <c r="GP52" s="88" t="str">
        <f aca="false">IF($B52=GP$12,$O52,"")</f>
        <v/>
      </c>
      <c r="GQ52" s="88" t="str">
        <f aca="false">IF($B52=GQ$12,$O52,"")</f>
        <v/>
      </c>
      <c r="GR52" s="88" t="str">
        <f aca="false">IF($B52=GR$12,$O52,"")</f>
        <v/>
      </c>
      <c r="GS52" s="88" t="str">
        <f aca="false">IF($B52=GS$12,$O52,"")</f>
        <v/>
      </c>
      <c r="GT52" s="88" t="str">
        <f aca="false">IF($B52=GT$12,$O52,"")</f>
        <v/>
      </c>
      <c r="GU52" s="88" t="str">
        <f aca="false">IF($B52=GU$12,$O52,"")</f>
        <v/>
      </c>
      <c r="GV52" s="88" t="str">
        <f aca="false">IF($B52=GV$12,$O52,"")</f>
        <v/>
      </c>
      <c r="GW52" s="88" t="str">
        <f aca="false">IF($B52=GW$12,$O52,"")</f>
        <v/>
      </c>
      <c r="GX52" s="88" t="str">
        <f aca="false">IF($B52=GX$12,$O52,"")</f>
        <v/>
      </c>
      <c r="GY52" s="88" t="str">
        <f aca="false">IF($B52=GY$12,$O52,"")</f>
        <v/>
      </c>
      <c r="GZ52" s="88" t="str">
        <f aca="false">IF($B52=GZ$12,$O52,"")</f>
        <v/>
      </c>
      <c r="HA52" s="88" t="str">
        <f aca="false">IF($B52=HA$12,$O52,"")</f>
        <v/>
      </c>
      <c r="HB52" s="88" t="str">
        <f aca="false">IF($B52=HB$12,$O52,"")</f>
        <v/>
      </c>
      <c r="HC52" s="88" t="str">
        <f aca="false">IF($B52=HC$12,$O52,"")</f>
        <v/>
      </c>
      <c r="HD52" s="88" t="str">
        <f aca="false">IF($B52=HD$12,$O52,"")</f>
        <v/>
      </c>
      <c r="HE52" s="88" t="str">
        <f aca="false">IF($B52=HE$12,$O52,"")</f>
        <v/>
      </c>
      <c r="HF52" s="88" t="str">
        <f aca="false">IF($B52=HF$12,$O52,"")</f>
        <v/>
      </c>
      <c r="HG52" s="88" t="str">
        <f aca="false">IF($B52=HG$12,$O52,"")</f>
        <v/>
      </c>
      <c r="HH52" s="88" t="str">
        <f aca="false">IF($B52=HH$12,$O52,"")</f>
        <v/>
      </c>
      <c r="HI52" s="88" t="str">
        <f aca="false">IF($B52=HI$12,$O52,"")</f>
        <v/>
      </c>
      <c r="HJ52" s="88" t="str">
        <f aca="false">IF($B52=HJ$12,$O52,"")</f>
        <v/>
      </c>
      <c r="HK52" s="88" t="str">
        <f aca="false">IF($B52=HK$12,$O52,"")</f>
        <v/>
      </c>
      <c r="HL52" s="88" t="str">
        <f aca="false">IF($B52=HL$12,$O52,"")</f>
        <v/>
      </c>
      <c r="HM52" s="88" t="str">
        <f aca="false">IF($B52=HM$12,$O52,"")</f>
        <v/>
      </c>
      <c r="HN52" s="88" t="str">
        <f aca="false">IF($B52=HN$12,$O52,"")</f>
        <v/>
      </c>
      <c r="HO52" s="88" t="str">
        <f aca="false">IF($B52=HO$12,$O52,"")</f>
        <v/>
      </c>
      <c r="HP52" s="88" t="str">
        <f aca="false">IF($B52=HP$12,$O52,"")</f>
        <v/>
      </c>
      <c r="HQ52" s="88" t="str">
        <f aca="false">IF($B52=HQ$12,$O52,"")</f>
        <v/>
      </c>
      <c r="HR52" s="89" t="str">
        <f aca="false">IF($B52=HR$12,$O52,"")</f>
        <v/>
      </c>
    </row>
    <row r="53" customFormat="false" ht="10.5" hidden="false" customHeight="true" outlineLevel="0" collapsed="false">
      <c r="A53" s="73"/>
      <c r="B53" s="74"/>
      <c r="C53" s="75" t="str">
        <f aca="false">IF(A53=0,"",VLOOKUP(A53,[3]CO!$A$3:$F$5311,2,0))</f>
        <v/>
      </c>
      <c r="D53" s="76"/>
      <c r="E53" s="76"/>
      <c r="F53" s="76"/>
      <c r="G53" s="77" t="str">
        <f aca="false">IF(A53=0,"",VLOOKUP(A53,[3]CO!$A$3:$F$5311,3,0))</f>
        <v/>
      </c>
      <c r="H53" s="76"/>
      <c r="I53" s="78"/>
      <c r="J53" s="78"/>
      <c r="K53" s="78"/>
      <c r="L53" s="78"/>
      <c r="M53" s="79" t="str">
        <f aca="false">IF(L53=0,"",PRODUCT(I53:L53))</f>
        <v/>
      </c>
      <c r="N53" s="79" t="str">
        <f aca="false">IF(B53=0,"",IF(H53="M",HLOOKUP(B53,$Y$12:$DT$13,2),IF(A53=0,"",VLOOKUP(A53,[3]CO!$A$3:$F$5311,4,0))))</f>
        <v/>
      </c>
      <c r="O53" s="79" t="str">
        <f aca="false">IF(L53=0,"",PRODUCT(M53:N53))</f>
        <v/>
      </c>
      <c r="P53" s="80"/>
      <c r="Q53" s="81" t="str">
        <f aca="false">IF(P53=0,"",(HLOOKUP(P53,$DW$12:$HR$13,2)))</f>
        <v/>
      </c>
      <c r="R53" s="82" t="str">
        <f aca="false">IF(S53=0,"",IF(OR(G53="PEON",G53="OF",G53="JARD",G53="CARP",G53="MAESTRO",G53="SOLD",G53="BGRO",G53="CHOFER",G53="AYTE",G53="S.INTTE.",G53="ASEO",G53="P.PISOS",G53="VELADOR",G53="RESID",G53="PINTOR",G53="ELECT",G53="AZULE",G53="AUX CONT.",G53="SECRETARIA",G53="AUXILIAR ADMTVO.",G53="ARQUITECTO",G53="DIBUJANTE",G53="AUX. DE RESIDENTE"),VLOOKUP(B53,P$14:Q$131,2),"")*S53)</f>
        <v/>
      </c>
      <c r="S53" s="5"/>
      <c r="T53" s="65" t="str">
        <f aca="false">IF(A53=0,"",VLOOKUP(A53,[3]CO!$A$3:$F$5302,5,0))</f>
        <v/>
      </c>
      <c r="U53" s="55" t="n">
        <f aca="false">IF(T53=1,O53*0.1,)</f>
        <v>0</v>
      </c>
      <c r="V53" s="66"/>
      <c r="W53" s="83"/>
      <c r="X53" s="83"/>
      <c r="Y53" s="84" t="str">
        <f aca="false">IF($B53=Y$12,$U53,"")</f>
        <v/>
      </c>
      <c r="Z53" s="85" t="str">
        <f aca="false">IF($B53=Z$12,$U53,"")</f>
        <v/>
      </c>
      <c r="AA53" s="85" t="str">
        <f aca="false">IF($B53=AA$12,$U53,"")</f>
        <v/>
      </c>
      <c r="AB53" s="85" t="str">
        <f aca="false">IF($B53=AB$12,$U53,"")</f>
        <v/>
      </c>
      <c r="AC53" s="85" t="str">
        <f aca="false">IF($B53=AC$12,$U53,"")</f>
        <v/>
      </c>
      <c r="AD53" s="85" t="str">
        <f aca="false">IF($B53=AD$12,$U53,"")</f>
        <v/>
      </c>
      <c r="AE53" s="85" t="str">
        <f aca="false">IF($B53=AE$12,$U53,"")</f>
        <v/>
      </c>
      <c r="AF53" s="85" t="str">
        <f aca="false">IF($B53=AF$12,$U53,"")</f>
        <v/>
      </c>
      <c r="AG53" s="85" t="str">
        <f aca="false">IF($B53=AG$12,$U53,"")</f>
        <v/>
      </c>
      <c r="AH53" s="85" t="str">
        <f aca="false">IF($B53=AH$12,$U53,"")</f>
        <v/>
      </c>
      <c r="AI53" s="85" t="str">
        <f aca="false">IF($B53=AI$12,$U53,"")</f>
        <v/>
      </c>
      <c r="AJ53" s="85" t="str">
        <f aca="false">IF($B53=AJ$12,$U53,"")</f>
        <v/>
      </c>
      <c r="AK53" s="85" t="str">
        <f aca="false">IF($B53=AK$12,$U53,"")</f>
        <v/>
      </c>
      <c r="AL53" s="85" t="str">
        <f aca="false">IF($B53=AL$12,$U53,"")</f>
        <v/>
      </c>
      <c r="AM53" s="85" t="str">
        <f aca="false">IF($B53=AM$12,$U53,"")</f>
        <v/>
      </c>
      <c r="AN53" s="85" t="str">
        <f aca="false">IF($B53=AN$12,$U53,"")</f>
        <v/>
      </c>
      <c r="AO53" s="85" t="str">
        <f aca="false">IF($B53=AO$12,$U53,"")</f>
        <v/>
      </c>
      <c r="AP53" s="85" t="str">
        <f aca="false">IF($B53=AP$12,$U53,"")</f>
        <v/>
      </c>
      <c r="AQ53" s="85" t="str">
        <f aca="false">IF($B53=AQ$12,$U53,"")</f>
        <v/>
      </c>
      <c r="AR53" s="85" t="str">
        <f aca="false">IF($B53=AR$12,$U53,"")</f>
        <v/>
      </c>
      <c r="AS53" s="85" t="str">
        <f aca="false">IF($B53=AS$12,$U53,"")</f>
        <v/>
      </c>
      <c r="AT53" s="85" t="str">
        <f aca="false">IF($B53=AT$12,$U53,"")</f>
        <v/>
      </c>
      <c r="AU53" s="85" t="str">
        <f aca="false">IF($B53=AU$12,$U53,"")</f>
        <v/>
      </c>
      <c r="AV53" s="85" t="str">
        <f aca="false">IF($B53=AV$12,$U53,"")</f>
        <v/>
      </c>
      <c r="AW53" s="85" t="str">
        <f aca="false">IF($B53=AW$12,$U53,"")</f>
        <v/>
      </c>
      <c r="AX53" s="85" t="str">
        <f aca="false">IF($B53=AX$12,$U53,"")</f>
        <v/>
      </c>
      <c r="AY53" s="85" t="str">
        <f aca="false">IF($B53=AY$12,$U53,"")</f>
        <v/>
      </c>
      <c r="AZ53" s="85" t="str">
        <f aca="false">IF($B53=AZ$12,$U53,"")</f>
        <v/>
      </c>
      <c r="BA53" s="85" t="str">
        <f aca="false">IF($B53=BA$12,$U53,"")</f>
        <v/>
      </c>
      <c r="BB53" s="85" t="str">
        <f aca="false">IF($B53=BB$12,$U53,"")</f>
        <v/>
      </c>
      <c r="BC53" s="85" t="str">
        <f aca="false">IF($B53=BC$12,$U53,"")</f>
        <v/>
      </c>
      <c r="BD53" s="85" t="str">
        <f aca="false">IF($B53=BD$12,$U53,"")</f>
        <v/>
      </c>
      <c r="BE53" s="85" t="str">
        <f aca="false">IF($B53=BE$12,$U53,"")</f>
        <v/>
      </c>
      <c r="BF53" s="85" t="str">
        <f aca="false">IF($B53=BF$12,$U53,"")</f>
        <v/>
      </c>
      <c r="BG53" s="85" t="str">
        <f aca="false">IF($B53=BG$12,$U53,"")</f>
        <v/>
      </c>
      <c r="BH53" s="85" t="str">
        <f aca="false">IF($B53=BH$12,$U53,"")</f>
        <v/>
      </c>
      <c r="BI53" s="85" t="str">
        <f aca="false">IF($B53=BI$12,$U53,"")</f>
        <v/>
      </c>
      <c r="BJ53" s="85" t="str">
        <f aca="false">IF($B53=BJ$12,$U53,"")</f>
        <v/>
      </c>
      <c r="BK53" s="85" t="str">
        <f aca="false">IF($B53=BK$12,$U53,"")</f>
        <v/>
      </c>
      <c r="BL53" s="85" t="str">
        <f aca="false">IF($B53=BL$12,$U53,"")</f>
        <v/>
      </c>
      <c r="BM53" s="85" t="str">
        <f aca="false">IF($B53=BM$12,$U53,"")</f>
        <v/>
      </c>
      <c r="BN53" s="85" t="str">
        <f aca="false">IF($B53=BN$12,$U53,"")</f>
        <v/>
      </c>
      <c r="BO53" s="85" t="str">
        <f aca="false">IF($B53=BO$12,$U53,"")</f>
        <v/>
      </c>
      <c r="BP53" s="85" t="str">
        <f aca="false">IF($B53=BP$12,$U53,"")</f>
        <v/>
      </c>
      <c r="BQ53" s="85" t="str">
        <f aca="false">IF($B53=BQ$12,$U53,"")</f>
        <v/>
      </c>
      <c r="BR53" s="85" t="str">
        <f aca="false">IF($B53=BR$12,$U53,"")</f>
        <v/>
      </c>
      <c r="BS53" s="85" t="str">
        <f aca="false">IF($B53=BS$12,$U53,"")</f>
        <v/>
      </c>
      <c r="BT53" s="85" t="str">
        <f aca="false">IF($B53=BT$12,$U53,"")</f>
        <v/>
      </c>
      <c r="BU53" s="85" t="str">
        <f aca="false">IF($B53=BU$12,$U53,"")</f>
        <v/>
      </c>
      <c r="BV53" s="85" t="str">
        <f aca="false">IF($B53=BV$12,$U53,"")</f>
        <v/>
      </c>
      <c r="BW53" s="85" t="str">
        <f aca="false">IF($B53=BW$12,$U53,"")</f>
        <v/>
      </c>
      <c r="BX53" s="85" t="str">
        <f aca="false">IF($B53=BX$12,$U53,"")</f>
        <v/>
      </c>
      <c r="BY53" s="85" t="str">
        <f aca="false">IF($B53=BY$12,$U53,"")</f>
        <v/>
      </c>
      <c r="BZ53" s="85" t="str">
        <f aca="false">IF($B53=BZ$12,$U53,"")</f>
        <v/>
      </c>
      <c r="CA53" s="85" t="str">
        <f aca="false">IF($B53=CA$12,$U53,"")</f>
        <v/>
      </c>
      <c r="CB53" s="85" t="str">
        <f aca="false">IF($B53=CB$12,$U53,"")</f>
        <v/>
      </c>
      <c r="CC53" s="85" t="str">
        <f aca="false">IF($B53=CC$12,$U53,"")</f>
        <v/>
      </c>
      <c r="CD53" s="85" t="str">
        <f aca="false">IF($B53=CD$12,$U53,"")</f>
        <v/>
      </c>
      <c r="CE53" s="85" t="str">
        <f aca="false">IF($B53=CE$12,$U53,"")</f>
        <v/>
      </c>
      <c r="CF53" s="85" t="str">
        <f aca="false">IF($B53=CF$12,$U53,"")</f>
        <v/>
      </c>
      <c r="CG53" s="85" t="str">
        <f aca="false">IF($B53=CG$12,$U53,"")</f>
        <v/>
      </c>
      <c r="CH53" s="85" t="str">
        <f aca="false">IF($B53=CH$12,$U53,"")</f>
        <v/>
      </c>
      <c r="CI53" s="85" t="str">
        <f aca="false">IF($B53=CI$12,$U53,"")</f>
        <v/>
      </c>
      <c r="CJ53" s="85" t="str">
        <f aca="false">IF($B53=CJ$12,$U53,"")</f>
        <v/>
      </c>
      <c r="CK53" s="85" t="str">
        <f aca="false">IF($B53=CK$12,$U53,"")</f>
        <v/>
      </c>
      <c r="CL53" s="85" t="str">
        <f aca="false">IF($B53=CL$12,$U53,"")</f>
        <v/>
      </c>
      <c r="CM53" s="85" t="str">
        <f aca="false">IF($B53=CM$12,$U53,"")</f>
        <v/>
      </c>
      <c r="CN53" s="85" t="str">
        <f aca="false">IF($B53=CN$12,$U53,"")</f>
        <v/>
      </c>
      <c r="CO53" s="85" t="str">
        <f aca="false">IF($B53=CO$12,$U53,"")</f>
        <v/>
      </c>
      <c r="CP53" s="85" t="str">
        <f aca="false">IF($B53=CP$12,$U53,"")</f>
        <v/>
      </c>
      <c r="CQ53" s="85" t="str">
        <f aca="false">IF($B53=CQ$12,$U53,"")</f>
        <v/>
      </c>
      <c r="CR53" s="85" t="str">
        <f aca="false">IF($B53=CR$12,$U53,"")</f>
        <v/>
      </c>
      <c r="CS53" s="85" t="str">
        <f aca="false">IF($B53=CS$12,$U53,"")</f>
        <v/>
      </c>
      <c r="CT53" s="85" t="str">
        <f aca="false">IF($B53=CT$12,$U53,"")</f>
        <v/>
      </c>
      <c r="CU53" s="85" t="str">
        <f aca="false">IF($B53=CU$12,$U53,"")</f>
        <v/>
      </c>
      <c r="CV53" s="85" t="str">
        <f aca="false">IF($B53=CV$12,$U53,"")</f>
        <v/>
      </c>
      <c r="CW53" s="85" t="str">
        <f aca="false">IF($B53=CW$12,$U53,"")</f>
        <v/>
      </c>
      <c r="CX53" s="85" t="str">
        <f aca="false">IF($B53=CX$12,$U53,"")</f>
        <v/>
      </c>
      <c r="CY53" s="85" t="str">
        <f aca="false">IF($B53=CY$12,$U53,"")</f>
        <v/>
      </c>
      <c r="CZ53" s="85" t="str">
        <f aca="false">IF($B53=CZ$12,$U53,"")</f>
        <v/>
      </c>
      <c r="DA53" s="85" t="str">
        <f aca="false">IF($B53=DA$12,$U53,"")</f>
        <v/>
      </c>
      <c r="DB53" s="85" t="str">
        <f aca="false">IF($B53=DB$12,$U53,"")</f>
        <v/>
      </c>
      <c r="DC53" s="85" t="str">
        <f aca="false">IF($B53=DC$12,$U53,"")</f>
        <v/>
      </c>
      <c r="DD53" s="85" t="str">
        <f aca="false">IF($B53=DD$12,$U53,"")</f>
        <v/>
      </c>
      <c r="DE53" s="85" t="str">
        <f aca="false">IF($B53=DE$12,$U53,"")</f>
        <v/>
      </c>
      <c r="DF53" s="85" t="str">
        <f aca="false">IF($B53=DF$12,$U53,"")</f>
        <v/>
      </c>
      <c r="DG53" s="85" t="str">
        <f aca="false">IF($B53=DG$12,$U53,"")</f>
        <v/>
      </c>
      <c r="DH53" s="85" t="str">
        <f aca="false">IF($B53=DH$12,$U53,"")</f>
        <v/>
      </c>
      <c r="DI53" s="85" t="str">
        <f aca="false">IF($B53=DI$12,$U53,"")</f>
        <v/>
      </c>
      <c r="DJ53" s="85" t="str">
        <f aca="false">IF($B53=DJ$12,$U53,"")</f>
        <v/>
      </c>
      <c r="DK53" s="85" t="str">
        <f aca="false">IF($B53=DK$12,$U53,"")</f>
        <v/>
      </c>
      <c r="DL53" s="85" t="str">
        <f aca="false">IF($B53=DL$12,$U53,"")</f>
        <v/>
      </c>
      <c r="DM53" s="85" t="str">
        <f aca="false">IF($B53=DM$12,$U53,"")</f>
        <v/>
      </c>
      <c r="DN53" s="85" t="str">
        <f aca="false">IF($B53=DN$12,$U53,"")</f>
        <v/>
      </c>
      <c r="DO53" s="85" t="str">
        <f aca="false">IF($B53=DO$12,$U53,"")</f>
        <v/>
      </c>
      <c r="DP53" s="85" t="str">
        <f aca="false">IF($B53=DP$12,$U53,"")</f>
        <v/>
      </c>
      <c r="DQ53" s="85" t="str">
        <f aca="false">IF($B53=DQ$12,$U53,"")</f>
        <v/>
      </c>
      <c r="DR53" s="85" t="str">
        <f aca="false">IF($B53=DR$12,$U53,"")</f>
        <v/>
      </c>
      <c r="DS53" s="85" t="str">
        <f aca="false">IF($B53=DS$12,$U53,"")</f>
        <v/>
      </c>
      <c r="DT53" s="86" t="str">
        <f aca="false">IF($B53=DT$12,$U53,"")</f>
        <v/>
      </c>
      <c r="DU53" s="55"/>
      <c r="DV53" s="83"/>
      <c r="DW53" s="87" t="str">
        <f aca="false">IF($B53=DW$12,$O53,"")</f>
        <v/>
      </c>
      <c r="DX53" s="88" t="str">
        <f aca="false">IF($B53=DX$12,$O53,"")</f>
        <v/>
      </c>
      <c r="DY53" s="88" t="str">
        <f aca="false">IF($B53=DY$12,$O53,"")</f>
        <v/>
      </c>
      <c r="DZ53" s="88" t="str">
        <f aca="false">IF($B53=DZ$12,$O53,"")</f>
        <v/>
      </c>
      <c r="EA53" s="88" t="str">
        <f aca="false">IF($B53=EA$12,$O53,"")</f>
        <v/>
      </c>
      <c r="EB53" s="88" t="str">
        <f aca="false">IF($B53=EB$12,$O53,"")</f>
        <v/>
      </c>
      <c r="EC53" s="88" t="str">
        <f aca="false">IF($B53=EC$12,$O53,"")</f>
        <v/>
      </c>
      <c r="ED53" s="88" t="str">
        <f aca="false">IF($B53=ED$12,$O53,"")</f>
        <v/>
      </c>
      <c r="EE53" s="88" t="str">
        <f aca="false">IF($B53=EE$12,$O53,"")</f>
        <v/>
      </c>
      <c r="EF53" s="88" t="str">
        <f aca="false">IF($B53=EF$12,$O53,"")</f>
        <v/>
      </c>
      <c r="EG53" s="88" t="str">
        <f aca="false">IF($B53=EG$12,$O53,"")</f>
        <v/>
      </c>
      <c r="EH53" s="88" t="str">
        <f aca="false">IF($B53=EH$12,$O53,"")</f>
        <v/>
      </c>
      <c r="EI53" s="88" t="str">
        <f aca="false">IF($B53=EI$12,$O53,"")</f>
        <v/>
      </c>
      <c r="EJ53" s="88" t="str">
        <f aca="false">IF($B53=EJ$12,$O53,"")</f>
        <v/>
      </c>
      <c r="EK53" s="88" t="str">
        <f aca="false">IF($B53=EK$12,$O53,"")</f>
        <v/>
      </c>
      <c r="EL53" s="88" t="str">
        <f aca="false">IF($B53=EL$12,$O53,"")</f>
        <v/>
      </c>
      <c r="EM53" s="88" t="str">
        <f aca="false">IF($B53=EM$12,$O53,"")</f>
        <v/>
      </c>
      <c r="EN53" s="88" t="str">
        <f aca="false">IF($B53=EN$12,$O53,"")</f>
        <v/>
      </c>
      <c r="EO53" s="88" t="str">
        <f aca="false">IF($B53=EO$12,$O53,"")</f>
        <v/>
      </c>
      <c r="EP53" s="88" t="str">
        <f aca="false">IF($B53=EP$12,$O53,"")</f>
        <v/>
      </c>
      <c r="EQ53" s="88" t="str">
        <f aca="false">IF($B53=EQ$12,$O53,"")</f>
        <v/>
      </c>
      <c r="ER53" s="88" t="str">
        <f aca="false">IF($B53=ER$12,$O53,"")</f>
        <v/>
      </c>
      <c r="ES53" s="88" t="str">
        <f aca="false">IF($B53=ES$12,$O53,"")</f>
        <v/>
      </c>
      <c r="ET53" s="88" t="str">
        <f aca="false">IF($B53=ET$12,$O53,"")</f>
        <v/>
      </c>
      <c r="EU53" s="88" t="str">
        <f aca="false">IF($B53=EU$12,$O53,"")</f>
        <v/>
      </c>
      <c r="EV53" s="88" t="str">
        <f aca="false">IF($B53=EV$12,$O53,"")</f>
        <v/>
      </c>
      <c r="EW53" s="88" t="str">
        <f aca="false">IF($B53=EW$12,$O53,"")</f>
        <v/>
      </c>
      <c r="EX53" s="88" t="str">
        <f aca="false">IF($B53=EX$12,$O53,"")</f>
        <v/>
      </c>
      <c r="EY53" s="88" t="str">
        <f aca="false">IF($B53=EY$12,$O53,"")</f>
        <v/>
      </c>
      <c r="EZ53" s="88" t="str">
        <f aca="false">IF($B53=EZ$12,$O53,"")</f>
        <v/>
      </c>
      <c r="FA53" s="88" t="str">
        <f aca="false">IF($B53=FA$12,$O53,"")</f>
        <v/>
      </c>
      <c r="FB53" s="88" t="str">
        <f aca="false">IF($B53=FB$12,$O53,"")</f>
        <v/>
      </c>
      <c r="FC53" s="88" t="str">
        <f aca="false">IF($B53=FC$12,$O53,"")</f>
        <v/>
      </c>
      <c r="FD53" s="88" t="str">
        <f aca="false">IF($B53=FD$12,$O53,"")</f>
        <v/>
      </c>
      <c r="FE53" s="88" t="str">
        <f aca="false">IF($B53=FE$12,$O53,"")</f>
        <v/>
      </c>
      <c r="FF53" s="88" t="str">
        <f aca="false">IF($B53=FF$12,$O53,"")</f>
        <v/>
      </c>
      <c r="FG53" s="88" t="str">
        <f aca="false">IF($B53=FG$12,$O53,"")</f>
        <v/>
      </c>
      <c r="FH53" s="88" t="str">
        <f aca="false">IF($B53=FH$12,$O53,"")</f>
        <v/>
      </c>
      <c r="FI53" s="88" t="str">
        <f aca="false">IF($B53=FI$12,$O53,"")</f>
        <v/>
      </c>
      <c r="FJ53" s="88" t="str">
        <f aca="false">IF($B53=FJ$12,$O53,"")</f>
        <v/>
      </c>
      <c r="FK53" s="88" t="str">
        <f aca="false">IF($B53=FK$12,$O53,"")</f>
        <v/>
      </c>
      <c r="FL53" s="88" t="str">
        <f aca="false">IF($B53=FL$12,$O53,"")</f>
        <v/>
      </c>
      <c r="FM53" s="88" t="str">
        <f aca="false">IF($B53=FM$12,$O53,"")</f>
        <v/>
      </c>
      <c r="FN53" s="88" t="str">
        <f aca="false">IF($B53=FN$12,$O53,"")</f>
        <v/>
      </c>
      <c r="FO53" s="88" t="str">
        <f aca="false">IF($B53=FO$12,$O53,"")</f>
        <v/>
      </c>
      <c r="FP53" s="88" t="str">
        <f aca="false">IF($B53=FP$12,$O53,"")</f>
        <v/>
      </c>
      <c r="FQ53" s="88" t="str">
        <f aca="false">IF($B53=FQ$12,$O53,"")</f>
        <v/>
      </c>
      <c r="FR53" s="88" t="str">
        <f aca="false">IF($B53=FR$12,$O53,"")</f>
        <v/>
      </c>
      <c r="FS53" s="88" t="str">
        <f aca="false">IF($B53=FS$12,$O53,"")</f>
        <v/>
      </c>
      <c r="FT53" s="88" t="str">
        <f aca="false">IF($B53=FT$12,$O53,"")</f>
        <v/>
      </c>
      <c r="FU53" s="88" t="str">
        <f aca="false">IF($B53=FU$12,$O53,"")</f>
        <v/>
      </c>
      <c r="FV53" s="88" t="str">
        <f aca="false">IF($B53=FV$12,$O53,"")</f>
        <v/>
      </c>
      <c r="FW53" s="88" t="str">
        <f aca="false">IF($B53=FW$12,$O53,"")</f>
        <v/>
      </c>
      <c r="FX53" s="88" t="str">
        <f aca="false">IF($B53=FX$12,$O53,"")</f>
        <v/>
      </c>
      <c r="FY53" s="88" t="str">
        <f aca="false">IF($B53=FY$12,$O53,"")</f>
        <v/>
      </c>
      <c r="FZ53" s="88" t="str">
        <f aca="false">IF($B53=FZ$12,$O53,"")</f>
        <v/>
      </c>
      <c r="GA53" s="88" t="str">
        <f aca="false">IF($B53=GA$12,$O53,"")</f>
        <v/>
      </c>
      <c r="GB53" s="88" t="str">
        <f aca="false">IF($B53=GB$12,$O53,"")</f>
        <v/>
      </c>
      <c r="GC53" s="88" t="str">
        <f aca="false">IF($B53=GC$12,$O53,"")</f>
        <v/>
      </c>
      <c r="GD53" s="88" t="str">
        <f aca="false">IF($B53=GD$12,$O53,"")</f>
        <v/>
      </c>
      <c r="GE53" s="88" t="str">
        <f aca="false">IF($B53=GE$12,$O53,"")</f>
        <v/>
      </c>
      <c r="GF53" s="88" t="str">
        <f aca="false">IF($B53=GF$12,$O53,"")</f>
        <v/>
      </c>
      <c r="GG53" s="88" t="str">
        <f aca="false">IF($B53=GG$12,$O53,"")</f>
        <v/>
      </c>
      <c r="GH53" s="88" t="str">
        <f aca="false">IF($B53=GH$12,$O53,"")</f>
        <v/>
      </c>
      <c r="GI53" s="88" t="str">
        <f aca="false">IF($B53=GI$12,$O53,"")</f>
        <v/>
      </c>
      <c r="GJ53" s="88" t="str">
        <f aca="false">IF($B53=GJ$12,$O53,"")</f>
        <v/>
      </c>
      <c r="GK53" s="88" t="str">
        <f aca="false">IF($B53=GK$12,$O53,"")</f>
        <v/>
      </c>
      <c r="GL53" s="88" t="str">
        <f aca="false">IF($B53=GL$12,$O53,"")</f>
        <v/>
      </c>
      <c r="GM53" s="88" t="str">
        <f aca="false">IF($B53=GM$12,$O53,"")</f>
        <v/>
      </c>
      <c r="GN53" s="88" t="str">
        <f aca="false">IF($B53=GN$12,$O53,"")</f>
        <v/>
      </c>
      <c r="GO53" s="88" t="str">
        <f aca="false">IF($B53=GO$12,$O53,"")</f>
        <v/>
      </c>
      <c r="GP53" s="88" t="str">
        <f aca="false">IF($B53=GP$12,$O53,"")</f>
        <v/>
      </c>
      <c r="GQ53" s="88" t="str">
        <f aca="false">IF($B53=GQ$12,$O53,"")</f>
        <v/>
      </c>
      <c r="GR53" s="88" t="str">
        <f aca="false">IF($B53=GR$12,$O53,"")</f>
        <v/>
      </c>
      <c r="GS53" s="88" t="str">
        <f aca="false">IF($B53=GS$12,$O53,"")</f>
        <v/>
      </c>
      <c r="GT53" s="88" t="str">
        <f aca="false">IF($B53=GT$12,$O53,"")</f>
        <v/>
      </c>
      <c r="GU53" s="88" t="str">
        <f aca="false">IF($B53=GU$12,$O53,"")</f>
        <v/>
      </c>
      <c r="GV53" s="88" t="str">
        <f aca="false">IF($B53=GV$12,$O53,"")</f>
        <v/>
      </c>
      <c r="GW53" s="88" t="str">
        <f aca="false">IF($B53=GW$12,$O53,"")</f>
        <v/>
      </c>
      <c r="GX53" s="88" t="str">
        <f aca="false">IF($B53=GX$12,$O53,"")</f>
        <v/>
      </c>
      <c r="GY53" s="88" t="str">
        <f aca="false">IF($B53=GY$12,$O53,"")</f>
        <v/>
      </c>
      <c r="GZ53" s="88" t="str">
        <f aca="false">IF($B53=GZ$12,$O53,"")</f>
        <v/>
      </c>
      <c r="HA53" s="88" t="str">
        <f aca="false">IF($B53=HA$12,$O53,"")</f>
        <v/>
      </c>
      <c r="HB53" s="88" t="str">
        <f aca="false">IF($B53=HB$12,$O53,"")</f>
        <v/>
      </c>
      <c r="HC53" s="88" t="str">
        <f aca="false">IF($B53=HC$12,$O53,"")</f>
        <v/>
      </c>
      <c r="HD53" s="88" t="str">
        <f aca="false">IF($B53=HD$12,$O53,"")</f>
        <v/>
      </c>
      <c r="HE53" s="88" t="str">
        <f aca="false">IF($B53=HE$12,$O53,"")</f>
        <v/>
      </c>
      <c r="HF53" s="88" t="str">
        <f aca="false">IF($B53=HF$12,$O53,"")</f>
        <v/>
      </c>
      <c r="HG53" s="88" t="str">
        <f aca="false">IF($B53=HG$12,$O53,"")</f>
        <v/>
      </c>
      <c r="HH53" s="88" t="str">
        <f aca="false">IF($B53=HH$12,$O53,"")</f>
        <v/>
      </c>
      <c r="HI53" s="88" t="str">
        <f aca="false">IF($B53=HI$12,$O53,"")</f>
        <v/>
      </c>
      <c r="HJ53" s="88" t="str">
        <f aca="false">IF($B53=HJ$12,$O53,"")</f>
        <v/>
      </c>
      <c r="HK53" s="88" t="str">
        <f aca="false">IF($B53=HK$12,$O53,"")</f>
        <v/>
      </c>
      <c r="HL53" s="88" t="str">
        <f aca="false">IF($B53=HL$12,$O53,"")</f>
        <v/>
      </c>
      <c r="HM53" s="88" t="str">
        <f aca="false">IF($B53=HM$12,$O53,"")</f>
        <v/>
      </c>
      <c r="HN53" s="88" t="str">
        <f aca="false">IF($B53=HN$12,$O53,"")</f>
        <v/>
      </c>
      <c r="HO53" s="88" t="str">
        <f aca="false">IF($B53=HO$12,$O53,"")</f>
        <v/>
      </c>
      <c r="HP53" s="88" t="str">
        <f aca="false">IF($B53=HP$12,$O53,"")</f>
        <v/>
      </c>
      <c r="HQ53" s="88" t="str">
        <f aca="false">IF($B53=HQ$12,$O53,"")</f>
        <v/>
      </c>
      <c r="HR53" s="89" t="str">
        <f aca="false">IF($B53=HR$12,$O53,"")</f>
        <v/>
      </c>
    </row>
    <row r="54" customFormat="false" ht="10.5" hidden="false" customHeight="true" outlineLevel="0" collapsed="false">
      <c r="A54" s="73"/>
      <c r="B54" s="74"/>
      <c r="C54" s="75" t="str">
        <f aca="false">IF(A54=0,"",VLOOKUP(A54,[3]CO!$A$3:$F$5311,2,0))</f>
        <v/>
      </c>
      <c r="D54" s="76"/>
      <c r="E54" s="76"/>
      <c r="F54" s="76"/>
      <c r="G54" s="77" t="str">
        <f aca="false">IF(A54=0,"",VLOOKUP(A54,[3]CO!$A$3:$F$5311,3,0))</f>
        <v/>
      </c>
      <c r="H54" s="76"/>
      <c r="I54" s="78"/>
      <c r="J54" s="78"/>
      <c r="K54" s="78"/>
      <c r="L54" s="78"/>
      <c r="M54" s="79" t="str">
        <f aca="false">IF(L54=0,"",PRODUCT(I54:L54))</f>
        <v/>
      </c>
      <c r="N54" s="79" t="str">
        <f aca="false">IF(B54=0,"",IF(H54="M",HLOOKUP(B54,$Y$12:$DT$13,2),IF(A54=0,"",VLOOKUP(A54,[3]CO!$A$3:$F$5311,4,0))))</f>
        <v/>
      </c>
      <c r="O54" s="79" t="str">
        <f aca="false">IF(L54=0,"",PRODUCT(M54:N54))</f>
        <v/>
      </c>
      <c r="P54" s="80"/>
      <c r="Q54" s="81" t="str">
        <f aca="false">IF(P54=0,"",(HLOOKUP(P54,$DW$12:$HR$13,2)))</f>
        <v/>
      </c>
      <c r="R54" s="82" t="str">
        <f aca="false">IF(S54=0,"",IF(OR(G54="PEON",G54="OF",G54="JARD",G54="CARP",G54="MAESTRO",G54="SOLD",G54="BGRO",G54="CHOFER",G54="AYTE",G54="S.INTTE.",G54="ASEO",G54="P.PISOS",G54="VELADOR",G54="RESID",G54="PINTOR",G54="ELECT",G54="AZULE",G54="AUX CONT.",G54="SECRETARIA",G54="AUXILIAR ADMTVO.",G54="ARQUITECTO",G54="DIBUJANTE",G54="AUX. DE RESIDENTE"),VLOOKUP(B54,P$14:Q$131,2),"")*S54)</f>
        <v/>
      </c>
      <c r="S54" s="5"/>
      <c r="T54" s="65" t="str">
        <f aca="false">IF(A54=0,"",VLOOKUP(A54,[3]CO!$A$3:$F$5302,5,0))</f>
        <v/>
      </c>
      <c r="U54" s="55" t="n">
        <f aca="false">IF(T54=1,O54*0.1,)</f>
        <v>0</v>
      </c>
      <c r="V54" s="66"/>
      <c r="W54" s="83"/>
      <c r="X54" s="83"/>
      <c r="Y54" s="84" t="str">
        <f aca="false">IF($B54=Y$12,$U54,"")</f>
        <v/>
      </c>
      <c r="Z54" s="85" t="str">
        <f aca="false">IF($B54=Z$12,$U54,"")</f>
        <v/>
      </c>
      <c r="AA54" s="85" t="str">
        <f aca="false">IF($B54=AA$12,$U54,"")</f>
        <v/>
      </c>
      <c r="AB54" s="85" t="str">
        <f aca="false">IF($B54=AB$12,$U54,"")</f>
        <v/>
      </c>
      <c r="AC54" s="85" t="str">
        <f aca="false">IF($B54=AC$12,$U54,"")</f>
        <v/>
      </c>
      <c r="AD54" s="85" t="str">
        <f aca="false">IF($B54=AD$12,$U54,"")</f>
        <v/>
      </c>
      <c r="AE54" s="85" t="str">
        <f aca="false">IF($B54=AE$12,$U54,"")</f>
        <v/>
      </c>
      <c r="AF54" s="85" t="str">
        <f aca="false">IF($B54=AF$12,$U54,"")</f>
        <v/>
      </c>
      <c r="AG54" s="85" t="str">
        <f aca="false">IF($B54=AG$12,$U54,"")</f>
        <v/>
      </c>
      <c r="AH54" s="85" t="str">
        <f aca="false">IF($B54=AH$12,$U54,"")</f>
        <v/>
      </c>
      <c r="AI54" s="85" t="str">
        <f aca="false">IF($B54=AI$12,$U54,"")</f>
        <v/>
      </c>
      <c r="AJ54" s="85" t="str">
        <f aca="false">IF($B54=AJ$12,$U54,"")</f>
        <v/>
      </c>
      <c r="AK54" s="85" t="str">
        <f aca="false">IF($B54=AK$12,$U54,"")</f>
        <v/>
      </c>
      <c r="AL54" s="85" t="str">
        <f aca="false">IF($B54=AL$12,$U54,"")</f>
        <v/>
      </c>
      <c r="AM54" s="85" t="str">
        <f aca="false">IF($B54=AM$12,$U54,"")</f>
        <v/>
      </c>
      <c r="AN54" s="85" t="str">
        <f aca="false">IF($B54=AN$12,$U54,"")</f>
        <v/>
      </c>
      <c r="AO54" s="85" t="str">
        <f aca="false">IF($B54=AO$12,$U54,"")</f>
        <v/>
      </c>
      <c r="AP54" s="85" t="str">
        <f aca="false">IF($B54=AP$12,$U54,"")</f>
        <v/>
      </c>
      <c r="AQ54" s="85" t="str">
        <f aca="false">IF($B54=AQ$12,$U54,"")</f>
        <v/>
      </c>
      <c r="AR54" s="85" t="str">
        <f aca="false">IF($B54=AR$12,$U54,"")</f>
        <v/>
      </c>
      <c r="AS54" s="85" t="str">
        <f aca="false">IF($B54=AS$12,$U54,"")</f>
        <v/>
      </c>
      <c r="AT54" s="85" t="str">
        <f aca="false">IF($B54=AT$12,$U54,"")</f>
        <v/>
      </c>
      <c r="AU54" s="85" t="str">
        <f aca="false">IF($B54=AU$12,$U54,"")</f>
        <v/>
      </c>
      <c r="AV54" s="85" t="str">
        <f aca="false">IF($B54=AV$12,$U54,"")</f>
        <v/>
      </c>
      <c r="AW54" s="85" t="str">
        <f aca="false">IF($B54=AW$12,$U54,"")</f>
        <v/>
      </c>
      <c r="AX54" s="85" t="str">
        <f aca="false">IF($B54=AX$12,$U54,"")</f>
        <v/>
      </c>
      <c r="AY54" s="85" t="str">
        <f aca="false">IF($B54=AY$12,$U54,"")</f>
        <v/>
      </c>
      <c r="AZ54" s="85" t="str">
        <f aca="false">IF($B54=AZ$12,$U54,"")</f>
        <v/>
      </c>
      <c r="BA54" s="85" t="str">
        <f aca="false">IF($B54=BA$12,$U54,"")</f>
        <v/>
      </c>
      <c r="BB54" s="85" t="str">
        <f aca="false">IF($B54=BB$12,$U54,"")</f>
        <v/>
      </c>
      <c r="BC54" s="85" t="str">
        <f aca="false">IF($B54=BC$12,$U54,"")</f>
        <v/>
      </c>
      <c r="BD54" s="85" t="str">
        <f aca="false">IF($B54=BD$12,$U54,"")</f>
        <v/>
      </c>
      <c r="BE54" s="85" t="str">
        <f aca="false">IF($B54=BE$12,$U54,"")</f>
        <v/>
      </c>
      <c r="BF54" s="85" t="str">
        <f aca="false">IF($B54=BF$12,$U54,"")</f>
        <v/>
      </c>
      <c r="BG54" s="85" t="str">
        <f aca="false">IF($B54=BG$12,$U54,"")</f>
        <v/>
      </c>
      <c r="BH54" s="85" t="str">
        <f aca="false">IF($B54=BH$12,$U54,"")</f>
        <v/>
      </c>
      <c r="BI54" s="85" t="str">
        <f aca="false">IF($B54=BI$12,$U54,"")</f>
        <v/>
      </c>
      <c r="BJ54" s="85" t="str">
        <f aca="false">IF($B54=BJ$12,$U54,"")</f>
        <v/>
      </c>
      <c r="BK54" s="85" t="str">
        <f aca="false">IF($B54=BK$12,$U54,"")</f>
        <v/>
      </c>
      <c r="BL54" s="85" t="str">
        <f aca="false">IF($B54=BL$12,$U54,"")</f>
        <v/>
      </c>
      <c r="BM54" s="85" t="str">
        <f aca="false">IF($B54=BM$12,$U54,"")</f>
        <v/>
      </c>
      <c r="BN54" s="85" t="str">
        <f aca="false">IF($B54=BN$12,$U54,"")</f>
        <v/>
      </c>
      <c r="BO54" s="85" t="str">
        <f aca="false">IF($B54=BO$12,$U54,"")</f>
        <v/>
      </c>
      <c r="BP54" s="85" t="str">
        <f aca="false">IF($B54=BP$12,$U54,"")</f>
        <v/>
      </c>
      <c r="BQ54" s="85" t="str">
        <f aca="false">IF($B54=BQ$12,$U54,"")</f>
        <v/>
      </c>
      <c r="BR54" s="85" t="str">
        <f aca="false">IF($B54=BR$12,$U54,"")</f>
        <v/>
      </c>
      <c r="BS54" s="85" t="str">
        <f aca="false">IF($B54=BS$12,$U54,"")</f>
        <v/>
      </c>
      <c r="BT54" s="85" t="str">
        <f aca="false">IF($B54=BT$12,$U54,"")</f>
        <v/>
      </c>
      <c r="BU54" s="85" t="str">
        <f aca="false">IF($B54=BU$12,$U54,"")</f>
        <v/>
      </c>
      <c r="BV54" s="85" t="str">
        <f aca="false">IF($B54=BV$12,$U54,"")</f>
        <v/>
      </c>
      <c r="BW54" s="85" t="str">
        <f aca="false">IF($B54=BW$12,$U54,"")</f>
        <v/>
      </c>
      <c r="BX54" s="85" t="str">
        <f aca="false">IF($B54=BX$12,$U54,"")</f>
        <v/>
      </c>
      <c r="BY54" s="85" t="str">
        <f aca="false">IF($B54=BY$12,$U54,"")</f>
        <v/>
      </c>
      <c r="BZ54" s="85" t="str">
        <f aca="false">IF($B54=BZ$12,$U54,"")</f>
        <v/>
      </c>
      <c r="CA54" s="85" t="str">
        <f aca="false">IF($B54=CA$12,$U54,"")</f>
        <v/>
      </c>
      <c r="CB54" s="85" t="str">
        <f aca="false">IF($B54=CB$12,$U54,"")</f>
        <v/>
      </c>
      <c r="CC54" s="85" t="str">
        <f aca="false">IF($B54=CC$12,$U54,"")</f>
        <v/>
      </c>
      <c r="CD54" s="85" t="str">
        <f aca="false">IF($B54=CD$12,$U54,"")</f>
        <v/>
      </c>
      <c r="CE54" s="85" t="str">
        <f aca="false">IF($B54=CE$12,$U54,"")</f>
        <v/>
      </c>
      <c r="CF54" s="85" t="str">
        <f aca="false">IF($B54=CF$12,$U54,"")</f>
        <v/>
      </c>
      <c r="CG54" s="85" t="str">
        <f aca="false">IF($B54=CG$12,$U54,"")</f>
        <v/>
      </c>
      <c r="CH54" s="85" t="str">
        <f aca="false">IF($B54=CH$12,$U54,"")</f>
        <v/>
      </c>
      <c r="CI54" s="85" t="str">
        <f aca="false">IF($B54=CI$12,$U54,"")</f>
        <v/>
      </c>
      <c r="CJ54" s="85" t="str">
        <f aca="false">IF($B54=CJ$12,$U54,"")</f>
        <v/>
      </c>
      <c r="CK54" s="85" t="str">
        <f aca="false">IF($B54=CK$12,$U54,"")</f>
        <v/>
      </c>
      <c r="CL54" s="85" t="str">
        <f aca="false">IF($B54=CL$12,$U54,"")</f>
        <v/>
      </c>
      <c r="CM54" s="85" t="str">
        <f aca="false">IF($B54=CM$12,$U54,"")</f>
        <v/>
      </c>
      <c r="CN54" s="85" t="str">
        <f aca="false">IF($B54=CN$12,$U54,"")</f>
        <v/>
      </c>
      <c r="CO54" s="85" t="str">
        <f aca="false">IF($B54=CO$12,$U54,"")</f>
        <v/>
      </c>
      <c r="CP54" s="85" t="str">
        <f aca="false">IF($B54=CP$12,$U54,"")</f>
        <v/>
      </c>
      <c r="CQ54" s="85" t="str">
        <f aca="false">IF($B54=CQ$12,$U54,"")</f>
        <v/>
      </c>
      <c r="CR54" s="85" t="str">
        <f aca="false">IF($B54=CR$12,$U54,"")</f>
        <v/>
      </c>
      <c r="CS54" s="85" t="str">
        <f aca="false">IF($B54=CS$12,$U54,"")</f>
        <v/>
      </c>
      <c r="CT54" s="85" t="str">
        <f aca="false">IF($B54=CT$12,$U54,"")</f>
        <v/>
      </c>
      <c r="CU54" s="85" t="str">
        <f aca="false">IF($B54=CU$12,$U54,"")</f>
        <v/>
      </c>
      <c r="CV54" s="85" t="str">
        <f aca="false">IF($B54=CV$12,$U54,"")</f>
        <v/>
      </c>
      <c r="CW54" s="85" t="str">
        <f aca="false">IF($B54=CW$12,$U54,"")</f>
        <v/>
      </c>
      <c r="CX54" s="85" t="str">
        <f aca="false">IF($B54=CX$12,$U54,"")</f>
        <v/>
      </c>
      <c r="CY54" s="85" t="str">
        <f aca="false">IF($B54=CY$12,$U54,"")</f>
        <v/>
      </c>
      <c r="CZ54" s="85" t="str">
        <f aca="false">IF($B54=CZ$12,$U54,"")</f>
        <v/>
      </c>
      <c r="DA54" s="85" t="str">
        <f aca="false">IF($B54=DA$12,$U54,"")</f>
        <v/>
      </c>
      <c r="DB54" s="85" t="str">
        <f aca="false">IF($B54=DB$12,$U54,"")</f>
        <v/>
      </c>
      <c r="DC54" s="85" t="str">
        <f aca="false">IF($B54=DC$12,$U54,"")</f>
        <v/>
      </c>
      <c r="DD54" s="85" t="str">
        <f aca="false">IF($B54=DD$12,$U54,"")</f>
        <v/>
      </c>
      <c r="DE54" s="85" t="str">
        <f aca="false">IF($B54=DE$12,$U54,"")</f>
        <v/>
      </c>
      <c r="DF54" s="85" t="str">
        <f aca="false">IF($B54=DF$12,$U54,"")</f>
        <v/>
      </c>
      <c r="DG54" s="85" t="str">
        <f aca="false">IF($B54=DG$12,$U54,"")</f>
        <v/>
      </c>
      <c r="DH54" s="85" t="str">
        <f aca="false">IF($B54=DH$12,$U54,"")</f>
        <v/>
      </c>
      <c r="DI54" s="85" t="str">
        <f aca="false">IF($B54=DI$12,$U54,"")</f>
        <v/>
      </c>
      <c r="DJ54" s="85" t="str">
        <f aca="false">IF($B54=DJ$12,$U54,"")</f>
        <v/>
      </c>
      <c r="DK54" s="85" t="str">
        <f aca="false">IF($B54=DK$12,$U54,"")</f>
        <v/>
      </c>
      <c r="DL54" s="85" t="str">
        <f aca="false">IF($B54=DL$12,$U54,"")</f>
        <v/>
      </c>
      <c r="DM54" s="85" t="str">
        <f aca="false">IF($B54=DM$12,$U54,"")</f>
        <v/>
      </c>
      <c r="DN54" s="85" t="str">
        <f aca="false">IF($B54=DN$12,$U54,"")</f>
        <v/>
      </c>
      <c r="DO54" s="85" t="str">
        <f aca="false">IF($B54=DO$12,$U54,"")</f>
        <v/>
      </c>
      <c r="DP54" s="85" t="str">
        <f aca="false">IF($B54=DP$12,$U54,"")</f>
        <v/>
      </c>
      <c r="DQ54" s="85" t="str">
        <f aca="false">IF($B54=DQ$12,$U54,"")</f>
        <v/>
      </c>
      <c r="DR54" s="85" t="str">
        <f aca="false">IF($B54=DR$12,$U54,"")</f>
        <v/>
      </c>
      <c r="DS54" s="85" t="str">
        <f aca="false">IF($B54=DS$12,$U54,"")</f>
        <v/>
      </c>
      <c r="DT54" s="86" t="str">
        <f aca="false">IF($B54=DT$12,$U54,"")</f>
        <v/>
      </c>
      <c r="DU54" s="55"/>
      <c r="DV54" s="83"/>
      <c r="DW54" s="87" t="str">
        <f aca="false">IF($B54=DW$12,$O54,"")</f>
        <v/>
      </c>
      <c r="DX54" s="88" t="str">
        <f aca="false">IF($B54=DX$12,$O54,"")</f>
        <v/>
      </c>
      <c r="DY54" s="88" t="str">
        <f aca="false">IF($B54=DY$12,$O54,"")</f>
        <v/>
      </c>
      <c r="DZ54" s="88" t="str">
        <f aca="false">IF($B54=DZ$12,$O54,"")</f>
        <v/>
      </c>
      <c r="EA54" s="88" t="str">
        <f aca="false">IF($B54=EA$12,$O54,"")</f>
        <v/>
      </c>
      <c r="EB54" s="88" t="str">
        <f aca="false">IF($B54=EB$12,$O54,"")</f>
        <v/>
      </c>
      <c r="EC54" s="88" t="str">
        <f aca="false">IF($B54=EC$12,$O54,"")</f>
        <v/>
      </c>
      <c r="ED54" s="88" t="str">
        <f aca="false">IF($B54=ED$12,$O54,"")</f>
        <v/>
      </c>
      <c r="EE54" s="88" t="str">
        <f aca="false">IF($B54=EE$12,$O54,"")</f>
        <v/>
      </c>
      <c r="EF54" s="88" t="str">
        <f aca="false">IF($B54=EF$12,$O54,"")</f>
        <v/>
      </c>
      <c r="EG54" s="88" t="str">
        <f aca="false">IF($B54=EG$12,$O54,"")</f>
        <v/>
      </c>
      <c r="EH54" s="88" t="str">
        <f aca="false">IF($B54=EH$12,$O54,"")</f>
        <v/>
      </c>
      <c r="EI54" s="88" t="str">
        <f aca="false">IF($B54=EI$12,$O54,"")</f>
        <v/>
      </c>
      <c r="EJ54" s="88" t="str">
        <f aca="false">IF($B54=EJ$12,$O54,"")</f>
        <v/>
      </c>
      <c r="EK54" s="88" t="str">
        <f aca="false">IF($B54=EK$12,$O54,"")</f>
        <v/>
      </c>
      <c r="EL54" s="88" t="str">
        <f aca="false">IF($B54=EL$12,$O54,"")</f>
        <v/>
      </c>
      <c r="EM54" s="88" t="str">
        <f aca="false">IF($B54=EM$12,$O54,"")</f>
        <v/>
      </c>
      <c r="EN54" s="88" t="str">
        <f aca="false">IF($B54=EN$12,$O54,"")</f>
        <v/>
      </c>
      <c r="EO54" s="88" t="str">
        <f aca="false">IF($B54=EO$12,$O54,"")</f>
        <v/>
      </c>
      <c r="EP54" s="88" t="str">
        <f aca="false">IF($B54=EP$12,$O54,"")</f>
        <v/>
      </c>
      <c r="EQ54" s="88" t="str">
        <f aca="false">IF($B54=EQ$12,$O54,"")</f>
        <v/>
      </c>
      <c r="ER54" s="88" t="str">
        <f aca="false">IF($B54=ER$12,$O54,"")</f>
        <v/>
      </c>
      <c r="ES54" s="88" t="str">
        <f aca="false">IF($B54=ES$12,$O54,"")</f>
        <v/>
      </c>
      <c r="ET54" s="88" t="str">
        <f aca="false">IF($B54=ET$12,$O54,"")</f>
        <v/>
      </c>
      <c r="EU54" s="88" t="str">
        <f aca="false">IF($B54=EU$12,$O54,"")</f>
        <v/>
      </c>
      <c r="EV54" s="88" t="str">
        <f aca="false">IF($B54=EV$12,$O54,"")</f>
        <v/>
      </c>
      <c r="EW54" s="88" t="str">
        <f aca="false">IF($B54=EW$12,$O54,"")</f>
        <v/>
      </c>
      <c r="EX54" s="88" t="str">
        <f aca="false">IF($B54=EX$12,$O54,"")</f>
        <v/>
      </c>
      <c r="EY54" s="88" t="str">
        <f aca="false">IF($B54=EY$12,$O54,"")</f>
        <v/>
      </c>
      <c r="EZ54" s="88" t="str">
        <f aca="false">IF($B54=EZ$12,$O54,"")</f>
        <v/>
      </c>
      <c r="FA54" s="88" t="str">
        <f aca="false">IF($B54=FA$12,$O54,"")</f>
        <v/>
      </c>
      <c r="FB54" s="88" t="str">
        <f aca="false">IF($B54=FB$12,$O54,"")</f>
        <v/>
      </c>
      <c r="FC54" s="88" t="str">
        <f aca="false">IF($B54=FC$12,$O54,"")</f>
        <v/>
      </c>
      <c r="FD54" s="88" t="str">
        <f aca="false">IF($B54=FD$12,$O54,"")</f>
        <v/>
      </c>
      <c r="FE54" s="88" t="str">
        <f aca="false">IF($B54=FE$12,$O54,"")</f>
        <v/>
      </c>
      <c r="FF54" s="88" t="str">
        <f aca="false">IF($B54=FF$12,$O54,"")</f>
        <v/>
      </c>
      <c r="FG54" s="88" t="str">
        <f aca="false">IF($B54=FG$12,$O54,"")</f>
        <v/>
      </c>
      <c r="FH54" s="88" t="str">
        <f aca="false">IF($B54=FH$12,$O54,"")</f>
        <v/>
      </c>
      <c r="FI54" s="88" t="str">
        <f aca="false">IF($B54=FI$12,$O54,"")</f>
        <v/>
      </c>
      <c r="FJ54" s="88" t="str">
        <f aca="false">IF($B54=FJ$12,$O54,"")</f>
        <v/>
      </c>
      <c r="FK54" s="88" t="str">
        <f aca="false">IF($B54=FK$12,$O54,"")</f>
        <v/>
      </c>
      <c r="FL54" s="88" t="str">
        <f aca="false">IF($B54=FL$12,$O54,"")</f>
        <v/>
      </c>
      <c r="FM54" s="88" t="str">
        <f aca="false">IF($B54=FM$12,$O54,"")</f>
        <v/>
      </c>
      <c r="FN54" s="88" t="str">
        <f aca="false">IF($B54=FN$12,$O54,"")</f>
        <v/>
      </c>
      <c r="FO54" s="88" t="str">
        <f aca="false">IF($B54=FO$12,$O54,"")</f>
        <v/>
      </c>
      <c r="FP54" s="88" t="str">
        <f aca="false">IF($B54=FP$12,$O54,"")</f>
        <v/>
      </c>
      <c r="FQ54" s="88" t="str">
        <f aca="false">IF($B54=FQ$12,$O54,"")</f>
        <v/>
      </c>
      <c r="FR54" s="88" t="str">
        <f aca="false">IF($B54=FR$12,$O54,"")</f>
        <v/>
      </c>
      <c r="FS54" s="88" t="str">
        <f aca="false">IF($B54=FS$12,$O54,"")</f>
        <v/>
      </c>
      <c r="FT54" s="88" t="str">
        <f aca="false">IF($B54=FT$12,$O54,"")</f>
        <v/>
      </c>
      <c r="FU54" s="88" t="str">
        <f aca="false">IF($B54=FU$12,$O54,"")</f>
        <v/>
      </c>
      <c r="FV54" s="88" t="str">
        <f aca="false">IF($B54=FV$12,$O54,"")</f>
        <v/>
      </c>
      <c r="FW54" s="88" t="str">
        <f aca="false">IF($B54=FW$12,$O54,"")</f>
        <v/>
      </c>
      <c r="FX54" s="88" t="str">
        <f aca="false">IF($B54=FX$12,$O54,"")</f>
        <v/>
      </c>
      <c r="FY54" s="88" t="str">
        <f aca="false">IF($B54=FY$12,$O54,"")</f>
        <v/>
      </c>
      <c r="FZ54" s="88" t="str">
        <f aca="false">IF($B54=FZ$12,$O54,"")</f>
        <v/>
      </c>
      <c r="GA54" s="88" t="str">
        <f aca="false">IF($B54=GA$12,$O54,"")</f>
        <v/>
      </c>
      <c r="GB54" s="88" t="str">
        <f aca="false">IF($B54=GB$12,$O54,"")</f>
        <v/>
      </c>
      <c r="GC54" s="88" t="str">
        <f aca="false">IF($B54=GC$12,$O54,"")</f>
        <v/>
      </c>
      <c r="GD54" s="88" t="str">
        <f aca="false">IF($B54=GD$12,$O54,"")</f>
        <v/>
      </c>
      <c r="GE54" s="88" t="str">
        <f aca="false">IF($B54=GE$12,$O54,"")</f>
        <v/>
      </c>
      <c r="GF54" s="88" t="str">
        <f aca="false">IF($B54=GF$12,$O54,"")</f>
        <v/>
      </c>
      <c r="GG54" s="88" t="str">
        <f aca="false">IF($B54=GG$12,$O54,"")</f>
        <v/>
      </c>
      <c r="GH54" s="88" t="str">
        <f aca="false">IF($B54=GH$12,$O54,"")</f>
        <v/>
      </c>
      <c r="GI54" s="88" t="str">
        <f aca="false">IF($B54=GI$12,$O54,"")</f>
        <v/>
      </c>
      <c r="GJ54" s="88" t="str">
        <f aca="false">IF($B54=GJ$12,$O54,"")</f>
        <v/>
      </c>
      <c r="GK54" s="88" t="str">
        <f aca="false">IF($B54=GK$12,$O54,"")</f>
        <v/>
      </c>
      <c r="GL54" s="88" t="str">
        <f aca="false">IF($B54=GL$12,$O54,"")</f>
        <v/>
      </c>
      <c r="GM54" s="88" t="str">
        <f aca="false">IF($B54=GM$12,$O54,"")</f>
        <v/>
      </c>
      <c r="GN54" s="88" t="str">
        <f aca="false">IF($B54=GN$12,$O54,"")</f>
        <v/>
      </c>
      <c r="GO54" s="88" t="str">
        <f aca="false">IF($B54=GO$12,$O54,"")</f>
        <v/>
      </c>
      <c r="GP54" s="88" t="str">
        <f aca="false">IF($B54=GP$12,$O54,"")</f>
        <v/>
      </c>
      <c r="GQ54" s="88" t="str">
        <f aca="false">IF($B54=GQ$12,$O54,"")</f>
        <v/>
      </c>
      <c r="GR54" s="88" t="str">
        <f aca="false">IF($B54=GR$12,$O54,"")</f>
        <v/>
      </c>
      <c r="GS54" s="88" t="str">
        <f aca="false">IF($B54=GS$12,$O54,"")</f>
        <v/>
      </c>
      <c r="GT54" s="88" t="str">
        <f aca="false">IF($B54=GT$12,$O54,"")</f>
        <v/>
      </c>
      <c r="GU54" s="88" t="str">
        <f aca="false">IF($B54=GU$12,$O54,"")</f>
        <v/>
      </c>
      <c r="GV54" s="88" t="str">
        <f aca="false">IF($B54=GV$12,$O54,"")</f>
        <v/>
      </c>
      <c r="GW54" s="88" t="str">
        <f aca="false">IF($B54=GW$12,$O54,"")</f>
        <v/>
      </c>
      <c r="GX54" s="88" t="str">
        <f aca="false">IF($B54=GX$12,$O54,"")</f>
        <v/>
      </c>
      <c r="GY54" s="88" t="str">
        <f aca="false">IF($B54=GY$12,$O54,"")</f>
        <v/>
      </c>
      <c r="GZ54" s="88" t="str">
        <f aca="false">IF($B54=GZ$12,$O54,"")</f>
        <v/>
      </c>
      <c r="HA54" s="88" t="str">
        <f aca="false">IF($B54=HA$12,$O54,"")</f>
        <v/>
      </c>
      <c r="HB54" s="88" t="str">
        <f aca="false">IF($B54=HB$12,$O54,"")</f>
        <v/>
      </c>
      <c r="HC54" s="88" t="str">
        <f aca="false">IF($B54=HC$12,$O54,"")</f>
        <v/>
      </c>
      <c r="HD54" s="88" t="str">
        <f aca="false">IF($B54=HD$12,$O54,"")</f>
        <v/>
      </c>
      <c r="HE54" s="88" t="str">
        <f aca="false">IF($B54=HE$12,$O54,"")</f>
        <v/>
      </c>
      <c r="HF54" s="88" t="str">
        <f aca="false">IF($B54=HF$12,$O54,"")</f>
        <v/>
      </c>
      <c r="HG54" s="88" t="str">
        <f aca="false">IF($B54=HG$12,$O54,"")</f>
        <v/>
      </c>
      <c r="HH54" s="88" t="str">
        <f aca="false">IF($B54=HH$12,$O54,"")</f>
        <v/>
      </c>
      <c r="HI54" s="88" t="str">
        <f aca="false">IF($B54=HI$12,$O54,"")</f>
        <v/>
      </c>
      <c r="HJ54" s="88" t="str">
        <f aca="false">IF($B54=HJ$12,$O54,"")</f>
        <v/>
      </c>
      <c r="HK54" s="88" t="str">
        <f aca="false">IF($B54=HK$12,$O54,"")</f>
        <v/>
      </c>
      <c r="HL54" s="88" t="str">
        <f aca="false">IF($B54=HL$12,$O54,"")</f>
        <v/>
      </c>
      <c r="HM54" s="88" t="str">
        <f aca="false">IF($B54=HM$12,$O54,"")</f>
        <v/>
      </c>
      <c r="HN54" s="88" t="str">
        <f aca="false">IF($B54=HN$12,$O54,"")</f>
        <v/>
      </c>
      <c r="HO54" s="88" t="str">
        <f aca="false">IF($B54=HO$12,$O54,"")</f>
        <v/>
      </c>
      <c r="HP54" s="88" t="str">
        <f aca="false">IF($B54=HP$12,$O54,"")</f>
        <v/>
      </c>
      <c r="HQ54" s="88" t="str">
        <f aca="false">IF($B54=HQ$12,$O54,"")</f>
        <v/>
      </c>
      <c r="HR54" s="89" t="str">
        <f aca="false">IF($B54=HR$12,$O54,"")</f>
        <v/>
      </c>
    </row>
    <row r="55" customFormat="false" ht="10.5" hidden="false" customHeight="true" outlineLevel="0" collapsed="false">
      <c r="A55" s="73"/>
      <c r="B55" s="74"/>
      <c r="C55" s="75" t="str">
        <f aca="false">IF(A55=0,"",VLOOKUP(A55,[3]CO!$A$3:$F$5311,2,0))</f>
        <v/>
      </c>
      <c r="D55" s="76"/>
      <c r="E55" s="76"/>
      <c r="F55" s="76"/>
      <c r="G55" s="77" t="str">
        <f aca="false">IF(A55=0,"",VLOOKUP(A55,[3]CO!$A$3:$F$5311,3,0))</f>
        <v/>
      </c>
      <c r="H55" s="76"/>
      <c r="I55" s="78"/>
      <c r="J55" s="78"/>
      <c r="K55" s="78"/>
      <c r="L55" s="78"/>
      <c r="M55" s="79" t="str">
        <f aca="false">IF(L55=0,"",PRODUCT(I55:L55))</f>
        <v/>
      </c>
      <c r="N55" s="79" t="str">
        <f aca="false">IF(B55=0,"",IF(H55="M",HLOOKUP(B55,$Y$12:$DT$13,2),IF(A55=0,"",VLOOKUP(A55,[3]CO!$A$3:$F$5311,4,0))))</f>
        <v/>
      </c>
      <c r="O55" s="79" t="str">
        <f aca="false">IF(L55=0,"",PRODUCT(M55:N55))</f>
        <v/>
      </c>
      <c r="P55" s="80"/>
      <c r="Q55" s="81" t="str">
        <f aca="false">IF(P55=0,"",(HLOOKUP(P55,$DW$12:$HR$13,2)))</f>
        <v/>
      </c>
      <c r="R55" s="82" t="str">
        <f aca="false">IF(S55=0,"",IF(OR(G55="PEON",G55="OF",G55="JARD",G55="CARP",G55="MAESTRO",G55="SOLD",G55="BGRO",G55="CHOFER",G55="AYTE",G55="S.INTTE.",G55="ASEO",G55="P.PISOS",G55="VELADOR",G55="RESID",G55="PINTOR",G55="ELECT",G55="AZULE",G55="AUX CONT.",G55="SECRETARIA",G55="AUXILIAR ADMTVO.",G55="ARQUITECTO",G55="DIBUJANTE",G55="AUX. DE RESIDENTE"),VLOOKUP(B55,P$14:Q$131,2),"")*S55)</f>
        <v/>
      </c>
      <c r="S55" s="5"/>
      <c r="T55" s="65" t="str">
        <f aca="false">IF(A55=0,"",VLOOKUP(A55,[3]CO!$A$3:$F$5302,5,0))</f>
        <v/>
      </c>
      <c r="U55" s="55" t="n">
        <f aca="false">IF(T55=1,O55*0.1,)</f>
        <v>0</v>
      </c>
      <c r="V55" s="66"/>
      <c r="W55" s="83"/>
      <c r="X55" s="83"/>
      <c r="Y55" s="84" t="str">
        <f aca="false">IF($B55=Y$12,$U55,"")</f>
        <v/>
      </c>
      <c r="Z55" s="85" t="str">
        <f aca="false">IF($B55=Z$12,$U55,"")</f>
        <v/>
      </c>
      <c r="AA55" s="85" t="str">
        <f aca="false">IF($B55=AA$12,$U55,"")</f>
        <v/>
      </c>
      <c r="AB55" s="85" t="str">
        <f aca="false">IF($B55=AB$12,$U55,"")</f>
        <v/>
      </c>
      <c r="AC55" s="85" t="str">
        <f aca="false">IF($B55=AC$12,$U55,"")</f>
        <v/>
      </c>
      <c r="AD55" s="85" t="str">
        <f aca="false">IF($B55=AD$12,$U55,"")</f>
        <v/>
      </c>
      <c r="AE55" s="85" t="str">
        <f aca="false">IF($B55=AE$12,$U55,"")</f>
        <v/>
      </c>
      <c r="AF55" s="85" t="str">
        <f aca="false">IF($B55=AF$12,$U55,"")</f>
        <v/>
      </c>
      <c r="AG55" s="85" t="str">
        <f aca="false">IF($B55=AG$12,$U55,"")</f>
        <v/>
      </c>
      <c r="AH55" s="85" t="str">
        <f aca="false">IF($B55=AH$12,$U55,"")</f>
        <v/>
      </c>
      <c r="AI55" s="85" t="str">
        <f aca="false">IF($B55=AI$12,$U55,"")</f>
        <v/>
      </c>
      <c r="AJ55" s="85" t="str">
        <f aca="false">IF($B55=AJ$12,$U55,"")</f>
        <v/>
      </c>
      <c r="AK55" s="85" t="str">
        <f aca="false">IF($B55=AK$12,$U55,"")</f>
        <v/>
      </c>
      <c r="AL55" s="85" t="str">
        <f aca="false">IF($B55=AL$12,$U55,"")</f>
        <v/>
      </c>
      <c r="AM55" s="85" t="str">
        <f aca="false">IF($B55=AM$12,$U55,"")</f>
        <v/>
      </c>
      <c r="AN55" s="85" t="str">
        <f aca="false">IF($B55=AN$12,$U55,"")</f>
        <v/>
      </c>
      <c r="AO55" s="85" t="str">
        <f aca="false">IF($B55=AO$12,$U55,"")</f>
        <v/>
      </c>
      <c r="AP55" s="85" t="str">
        <f aca="false">IF($B55=AP$12,$U55,"")</f>
        <v/>
      </c>
      <c r="AQ55" s="85" t="str">
        <f aca="false">IF($B55=AQ$12,$U55,"")</f>
        <v/>
      </c>
      <c r="AR55" s="85" t="str">
        <f aca="false">IF($B55=AR$12,$U55,"")</f>
        <v/>
      </c>
      <c r="AS55" s="85" t="str">
        <f aca="false">IF($B55=AS$12,$U55,"")</f>
        <v/>
      </c>
      <c r="AT55" s="85" t="str">
        <f aca="false">IF($B55=AT$12,$U55,"")</f>
        <v/>
      </c>
      <c r="AU55" s="85" t="str">
        <f aca="false">IF($B55=AU$12,$U55,"")</f>
        <v/>
      </c>
      <c r="AV55" s="85" t="str">
        <f aca="false">IF($B55=AV$12,$U55,"")</f>
        <v/>
      </c>
      <c r="AW55" s="85" t="str">
        <f aca="false">IF($B55=AW$12,$U55,"")</f>
        <v/>
      </c>
      <c r="AX55" s="85" t="str">
        <f aca="false">IF($B55=AX$12,$U55,"")</f>
        <v/>
      </c>
      <c r="AY55" s="85" t="str">
        <f aca="false">IF($B55=AY$12,$U55,"")</f>
        <v/>
      </c>
      <c r="AZ55" s="85" t="str">
        <f aca="false">IF($B55=AZ$12,$U55,"")</f>
        <v/>
      </c>
      <c r="BA55" s="85" t="str">
        <f aca="false">IF($B55=BA$12,$U55,"")</f>
        <v/>
      </c>
      <c r="BB55" s="85" t="str">
        <f aca="false">IF($B55=BB$12,$U55,"")</f>
        <v/>
      </c>
      <c r="BC55" s="85" t="str">
        <f aca="false">IF($B55=BC$12,$U55,"")</f>
        <v/>
      </c>
      <c r="BD55" s="85" t="str">
        <f aca="false">IF($B55=BD$12,$U55,"")</f>
        <v/>
      </c>
      <c r="BE55" s="85" t="str">
        <f aca="false">IF($B55=BE$12,$U55,"")</f>
        <v/>
      </c>
      <c r="BF55" s="85" t="str">
        <f aca="false">IF($B55=BF$12,$U55,"")</f>
        <v/>
      </c>
      <c r="BG55" s="85" t="str">
        <f aca="false">IF($B55=BG$12,$U55,"")</f>
        <v/>
      </c>
      <c r="BH55" s="85" t="str">
        <f aca="false">IF($B55=BH$12,$U55,"")</f>
        <v/>
      </c>
      <c r="BI55" s="85" t="str">
        <f aca="false">IF($B55=BI$12,$U55,"")</f>
        <v/>
      </c>
      <c r="BJ55" s="85" t="str">
        <f aca="false">IF($B55=BJ$12,$U55,"")</f>
        <v/>
      </c>
      <c r="BK55" s="85" t="str">
        <f aca="false">IF($B55=BK$12,$U55,"")</f>
        <v/>
      </c>
      <c r="BL55" s="85" t="str">
        <f aca="false">IF($B55=BL$12,$U55,"")</f>
        <v/>
      </c>
      <c r="BM55" s="85" t="str">
        <f aca="false">IF($B55=BM$12,$U55,"")</f>
        <v/>
      </c>
      <c r="BN55" s="85" t="str">
        <f aca="false">IF($B55=BN$12,$U55,"")</f>
        <v/>
      </c>
      <c r="BO55" s="85" t="str">
        <f aca="false">IF($B55=BO$12,$U55,"")</f>
        <v/>
      </c>
      <c r="BP55" s="85" t="str">
        <f aca="false">IF($B55=BP$12,$U55,"")</f>
        <v/>
      </c>
      <c r="BQ55" s="85" t="str">
        <f aca="false">IF($B55=BQ$12,$U55,"")</f>
        <v/>
      </c>
      <c r="BR55" s="85" t="str">
        <f aca="false">IF($B55=BR$12,$U55,"")</f>
        <v/>
      </c>
      <c r="BS55" s="85" t="str">
        <f aca="false">IF($B55=BS$12,$U55,"")</f>
        <v/>
      </c>
      <c r="BT55" s="85" t="str">
        <f aca="false">IF($B55=BT$12,$U55,"")</f>
        <v/>
      </c>
      <c r="BU55" s="85" t="str">
        <f aca="false">IF($B55=BU$12,$U55,"")</f>
        <v/>
      </c>
      <c r="BV55" s="85" t="str">
        <f aca="false">IF($B55=BV$12,$U55,"")</f>
        <v/>
      </c>
      <c r="BW55" s="85" t="str">
        <f aca="false">IF($B55=BW$12,$U55,"")</f>
        <v/>
      </c>
      <c r="BX55" s="85" t="str">
        <f aca="false">IF($B55=BX$12,$U55,"")</f>
        <v/>
      </c>
      <c r="BY55" s="85" t="str">
        <f aca="false">IF($B55=BY$12,$U55,"")</f>
        <v/>
      </c>
      <c r="BZ55" s="85" t="str">
        <f aca="false">IF($B55=BZ$12,$U55,"")</f>
        <v/>
      </c>
      <c r="CA55" s="85" t="str">
        <f aca="false">IF($B55=CA$12,$U55,"")</f>
        <v/>
      </c>
      <c r="CB55" s="85" t="str">
        <f aca="false">IF($B55=CB$12,$U55,"")</f>
        <v/>
      </c>
      <c r="CC55" s="85" t="str">
        <f aca="false">IF($B55=CC$12,$U55,"")</f>
        <v/>
      </c>
      <c r="CD55" s="85" t="str">
        <f aca="false">IF($B55=CD$12,$U55,"")</f>
        <v/>
      </c>
      <c r="CE55" s="85" t="str">
        <f aca="false">IF($B55=CE$12,$U55,"")</f>
        <v/>
      </c>
      <c r="CF55" s="85" t="str">
        <f aca="false">IF($B55=CF$12,$U55,"")</f>
        <v/>
      </c>
      <c r="CG55" s="85" t="str">
        <f aca="false">IF($B55=CG$12,$U55,"")</f>
        <v/>
      </c>
      <c r="CH55" s="85" t="str">
        <f aca="false">IF($B55=CH$12,$U55,"")</f>
        <v/>
      </c>
      <c r="CI55" s="85" t="str">
        <f aca="false">IF($B55=CI$12,$U55,"")</f>
        <v/>
      </c>
      <c r="CJ55" s="85" t="str">
        <f aca="false">IF($B55=CJ$12,$U55,"")</f>
        <v/>
      </c>
      <c r="CK55" s="85" t="str">
        <f aca="false">IF($B55=CK$12,$U55,"")</f>
        <v/>
      </c>
      <c r="CL55" s="85" t="str">
        <f aca="false">IF($B55=CL$12,$U55,"")</f>
        <v/>
      </c>
      <c r="CM55" s="85" t="str">
        <f aca="false">IF($B55=CM$12,$U55,"")</f>
        <v/>
      </c>
      <c r="CN55" s="85" t="str">
        <f aca="false">IF($B55=CN$12,$U55,"")</f>
        <v/>
      </c>
      <c r="CO55" s="85" t="str">
        <f aca="false">IF($B55=CO$12,$U55,"")</f>
        <v/>
      </c>
      <c r="CP55" s="85" t="str">
        <f aca="false">IF($B55=CP$12,$U55,"")</f>
        <v/>
      </c>
      <c r="CQ55" s="85" t="str">
        <f aca="false">IF($B55=CQ$12,$U55,"")</f>
        <v/>
      </c>
      <c r="CR55" s="85" t="str">
        <f aca="false">IF($B55=CR$12,$U55,"")</f>
        <v/>
      </c>
      <c r="CS55" s="85" t="str">
        <f aca="false">IF($B55=CS$12,$U55,"")</f>
        <v/>
      </c>
      <c r="CT55" s="85" t="str">
        <f aca="false">IF($B55=CT$12,$U55,"")</f>
        <v/>
      </c>
      <c r="CU55" s="85" t="str">
        <f aca="false">IF($B55=CU$12,$U55,"")</f>
        <v/>
      </c>
      <c r="CV55" s="85" t="str">
        <f aca="false">IF($B55=CV$12,$U55,"")</f>
        <v/>
      </c>
      <c r="CW55" s="85" t="str">
        <f aca="false">IF($B55=CW$12,$U55,"")</f>
        <v/>
      </c>
      <c r="CX55" s="85" t="str">
        <f aca="false">IF($B55=CX$12,$U55,"")</f>
        <v/>
      </c>
      <c r="CY55" s="85" t="str">
        <f aca="false">IF($B55=CY$12,$U55,"")</f>
        <v/>
      </c>
      <c r="CZ55" s="85" t="str">
        <f aca="false">IF($B55=CZ$12,$U55,"")</f>
        <v/>
      </c>
      <c r="DA55" s="85" t="str">
        <f aca="false">IF($B55=DA$12,$U55,"")</f>
        <v/>
      </c>
      <c r="DB55" s="85" t="str">
        <f aca="false">IF($B55=DB$12,$U55,"")</f>
        <v/>
      </c>
      <c r="DC55" s="85" t="str">
        <f aca="false">IF($B55=DC$12,$U55,"")</f>
        <v/>
      </c>
      <c r="DD55" s="85" t="str">
        <f aca="false">IF($B55=DD$12,$U55,"")</f>
        <v/>
      </c>
      <c r="DE55" s="85" t="str">
        <f aca="false">IF($B55=DE$12,$U55,"")</f>
        <v/>
      </c>
      <c r="DF55" s="85" t="str">
        <f aca="false">IF($B55=DF$12,$U55,"")</f>
        <v/>
      </c>
      <c r="DG55" s="85" t="str">
        <f aca="false">IF($B55=DG$12,$U55,"")</f>
        <v/>
      </c>
      <c r="DH55" s="85" t="str">
        <f aca="false">IF($B55=DH$12,$U55,"")</f>
        <v/>
      </c>
      <c r="DI55" s="85" t="str">
        <f aca="false">IF($B55=DI$12,$U55,"")</f>
        <v/>
      </c>
      <c r="DJ55" s="85" t="str">
        <f aca="false">IF($B55=DJ$12,$U55,"")</f>
        <v/>
      </c>
      <c r="DK55" s="85" t="str">
        <f aca="false">IF($B55=DK$12,$U55,"")</f>
        <v/>
      </c>
      <c r="DL55" s="85" t="str">
        <f aca="false">IF($B55=DL$12,$U55,"")</f>
        <v/>
      </c>
      <c r="DM55" s="85" t="str">
        <f aca="false">IF($B55=DM$12,$U55,"")</f>
        <v/>
      </c>
      <c r="DN55" s="85" t="str">
        <f aca="false">IF($B55=DN$12,$U55,"")</f>
        <v/>
      </c>
      <c r="DO55" s="85" t="str">
        <f aca="false">IF($B55=DO$12,$U55,"")</f>
        <v/>
      </c>
      <c r="DP55" s="85" t="str">
        <f aca="false">IF($B55=DP$12,$U55,"")</f>
        <v/>
      </c>
      <c r="DQ55" s="85" t="str">
        <f aca="false">IF($B55=DQ$12,$U55,"")</f>
        <v/>
      </c>
      <c r="DR55" s="85" t="str">
        <f aca="false">IF($B55=DR$12,$U55,"")</f>
        <v/>
      </c>
      <c r="DS55" s="85" t="str">
        <f aca="false">IF($B55=DS$12,$U55,"")</f>
        <v/>
      </c>
      <c r="DT55" s="86" t="str">
        <f aca="false">IF($B55=DT$12,$U55,"")</f>
        <v/>
      </c>
      <c r="DU55" s="55"/>
      <c r="DV55" s="83"/>
      <c r="DW55" s="87" t="str">
        <f aca="false">IF($B55=DW$12,$O55,"")</f>
        <v/>
      </c>
      <c r="DX55" s="88" t="str">
        <f aca="false">IF($B55=DX$12,$O55,"")</f>
        <v/>
      </c>
      <c r="DY55" s="88" t="str">
        <f aca="false">IF($B55=DY$12,$O55,"")</f>
        <v/>
      </c>
      <c r="DZ55" s="88" t="str">
        <f aca="false">IF($B55=DZ$12,$O55,"")</f>
        <v/>
      </c>
      <c r="EA55" s="88" t="str">
        <f aca="false">IF($B55=EA$12,$O55,"")</f>
        <v/>
      </c>
      <c r="EB55" s="88" t="str">
        <f aca="false">IF($B55=EB$12,$O55,"")</f>
        <v/>
      </c>
      <c r="EC55" s="88" t="str">
        <f aca="false">IF($B55=EC$12,$O55,"")</f>
        <v/>
      </c>
      <c r="ED55" s="88" t="str">
        <f aca="false">IF($B55=ED$12,$O55,"")</f>
        <v/>
      </c>
      <c r="EE55" s="88" t="str">
        <f aca="false">IF($B55=EE$12,$O55,"")</f>
        <v/>
      </c>
      <c r="EF55" s="88" t="str">
        <f aca="false">IF($B55=EF$12,$O55,"")</f>
        <v/>
      </c>
      <c r="EG55" s="88" t="str">
        <f aca="false">IF($B55=EG$12,$O55,"")</f>
        <v/>
      </c>
      <c r="EH55" s="88" t="str">
        <f aca="false">IF($B55=EH$12,$O55,"")</f>
        <v/>
      </c>
      <c r="EI55" s="88" t="str">
        <f aca="false">IF($B55=EI$12,$O55,"")</f>
        <v/>
      </c>
      <c r="EJ55" s="88" t="str">
        <f aca="false">IF($B55=EJ$12,$O55,"")</f>
        <v/>
      </c>
      <c r="EK55" s="88" t="str">
        <f aca="false">IF($B55=EK$12,$O55,"")</f>
        <v/>
      </c>
      <c r="EL55" s="88" t="str">
        <f aca="false">IF($B55=EL$12,$O55,"")</f>
        <v/>
      </c>
      <c r="EM55" s="88" t="str">
        <f aca="false">IF($B55=EM$12,$O55,"")</f>
        <v/>
      </c>
      <c r="EN55" s="88" t="str">
        <f aca="false">IF($B55=EN$12,$O55,"")</f>
        <v/>
      </c>
      <c r="EO55" s="88" t="str">
        <f aca="false">IF($B55=EO$12,$O55,"")</f>
        <v/>
      </c>
      <c r="EP55" s="88" t="str">
        <f aca="false">IF($B55=EP$12,$O55,"")</f>
        <v/>
      </c>
      <c r="EQ55" s="88" t="str">
        <f aca="false">IF($B55=EQ$12,$O55,"")</f>
        <v/>
      </c>
      <c r="ER55" s="88" t="str">
        <f aca="false">IF($B55=ER$12,$O55,"")</f>
        <v/>
      </c>
      <c r="ES55" s="88" t="str">
        <f aca="false">IF($B55=ES$12,$O55,"")</f>
        <v/>
      </c>
      <c r="ET55" s="88" t="str">
        <f aca="false">IF($B55=ET$12,$O55,"")</f>
        <v/>
      </c>
      <c r="EU55" s="88" t="str">
        <f aca="false">IF($B55=EU$12,$O55,"")</f>
        <v/>
      </c>
      <c r="EV55" s="88" t="str">
        <f aca="false">IF($B55=EV$12,$O55,"")</f>
        <v/>
      </c>
      <c r="EW55" s="88" t="str">
        <f aca="false">IF($B55=EW$12,$O55,"")</f>
        <v/>
      </c>
      <c r="EX55" s="88" t="str">
        <f aca="false">IF($B55=EX$12,$O55,"")</f>
        <v/>
      </c>
      <c r="EY55" s="88" t="str">
        <f aca="false">IF($B55=EY$12,$O55,"")</f>
        <v/>
      </c>
      <c r="EZ55" s="88" t="str">
        <f aca="false">IF($B55=EZ$12,$O55,"")</f>
        <v/>
      </c>
      <c r="FA55" s="88" t="str">
        <f aca="false">IF($B55=FA$12,$O55,"")</f>
        <v/>
      </c>
      <c r="FB55" s="88" t="str">
        <f aca="false">IF($B55=FB$12,$O55,"")</f>
        <v/>
      </c>
      <c r="FC55" s="88" t="str">
        <f aca="false">IF($B55=FC$12,$O55,"")</f>
        <v/>
      </c>
      <c r="FD55" s="88" t="str">
        <f aca="false">IF($B55=FD$12,$O55,"")</f>
        <v/>
      </c>
      <c r="FE55" s="88" t="str">
        <f aca="false">IF($B55=FE$12,$O55,"")</f>
        <v/>
      </c>
      <c r="FF55" s="88" t="str">
        <f aca="false">IF($B55=FF$12,$O55,"")</f>
        <v/>
      </c>
      <c r="FG55" s="88" t="str">
        <f aca="false">IF($B55=FG$12,$O55,"")</f>
        <v/>
      </c>
      <c r="FH55" s="88" t="str">
        <f aca="false">IF($B55=FH$12,$O55,"")</f>
        <v/>
      </c>
      <c r="FI55" s="88" t="str">
        <f aca="false">IF($B55=FI$12,$O55,"")</f>
        <v/>
      </c>
      <c r="FJ55" s="88" t="str">
        <f aca="false">IF($B55=FJ$12,$O55,"")</f>
        <v/>
      </c>
      <c r="FK55" s="88" t="str">
        <f aca="false">IF($B55=FK$12,$O55,"")</f>
        <v/>
      </c>
      <c r="FL55" s="88" t="str">
        <f aca="false">IF($B55=FL$12,$O55,"")</f>
        <v/>
      </c>
      <c r="FM55" s="88" t="str">
        <f aca="false">IF($B55=FM$12,$O55,"")</f>
        <v/>
      </c>
      <c r="FN55" s="88" t="str">
        <f aca="false">IF($B55=FN$12,$O55,"")</f>
        <v/>
      </c>
      <c r="FO55" s="88" t="str">
        <f aca="false">IF($B55=FO$12,$O55,"")</f>
        <v/>
      </c>
      <c r="FP55" s="88" t="str">
        <f aca="false">IF($B55=FP$12,$O55,"")</f>
        <v/>
      </c>
      <c r="FQ55" s="88" t="str">
        <f aca="false">IF($B55=FQ$12,$O55,"")</f>
        <v/>
      </c>
      <c r="FR55" s="88" t="str">
        <f aca="false">IF($B55=FR$12,$O55,"")</f>
        <v/>
      </c>
      <c r="FS55" s="88" t="str">
        <f aca="false">IF($B55=FS$12,$O55,"")</f>
        <v/>
      </c>
      <c r="FT55" s="88" t="str">
        <f aca="false">IF($B55=FT$12,$O55,"")</f>
        <v/>
      </c>
      <c r="FU55" s="88" t="str">
        <f aca="false">IF($B55=FU$12,$O55,"")</f>
        <v/>
      </c>
      <c r="FV55" s="88" t="str">
        <f aca="false">IF($B55=FV$12,$O55,"")</f>
        <v/>
      </c>
      <c r="FW55" s="88" t="str">
        <f aca="false">IF($B55=FW$12,$O55,"")</f>
        <v/>
      </c>
      <c r="FX55" s="88" t="str">
        <f aca="false">IF($B55=FX$12,$O55,"")</f>
        <v/>
      </c>
      <c r="FY55" s="88" t="str">
        <f aca="false">IF($B55=FY$12,$O55,"")</f>
        <v/>
      </c>
      <c r="FZ55" s="88" t="str">
        <f aca="false">IF($B55=FZ$12,$O55,"")</f>
        <v/>
      </c>
      <c r="GA55" s="88" t="str">
        <f aca="false">IF($B55=GA$12,$O55,"")</f>
        <v/>
      </c>
      <c r="GB55" s="88" t="str">
        <f aca="false">IF($B55=GB$12,$O55,"")</f>
        <v/>
      </c>
      <c r="GC55" s="88" t="str">
        <f aca="false">IF($B55=GC$12,$O55,"")</f>
        <v/>
      </c>
      <c r="GD55" s="88" t="str">
        <f aca="false">IF($B55=GD$12,$O55,"")</f>
        <v/>
      </c>
      <c r="GE55" s="88" t="str">
        <f aca="false">IF($B55=GE$12,$O55,"")</f>
        <v/>
      </c>
      <c r="GF55" s="88" t="str">
        <f aca="false">IF($B55=GF$12,$O55,"")</f>
        <v/>
      </c>
      <c r="GG55" s="88" t="str">
        <f aca="false">IF($B55=GG$12,$O55,"")</f>
        <v/>
      </c>
      <c r="GH55" s="88" t="str">
        <f aca="false">IF($B55=GH$12,$O55,"")</f>
        <v/>
      </c>
      <c r="GI55" s="88" t="str">
        <f aca="false">IF($B55=GI$12,$O55,"")</f>
        <v/>
      </c>
      <c r="GJ55" s="88" t="str">
        <f aca="false">IF($B55=GJ$12,$O55,"")</f>
        <v/>
      </c>
      <c r="GK55" s="88" t="str">
        <f aca="false">IF($B55=GK$12,$O55,"")</f>
        <v/>
      </c>
      <c r="GL55" s="88" t="str">
        <f aca="false">IF($B55=GL$12,$O55,"")</f>
        <v/>
      </c>
      <c r="GM55" s="88" t="str">
        <f aca="false">IF($B55=GM$12,$O55,"")</f>
        <v/>
      </c>
      <c r="GN55" s="88" t="str">
        <f aca="false">IF($B55=GN$12,$O55,"")</f>
        <v/>
      </c>
      <c r="GO55" s="88" t="str">
        <f aca="false">IF($B55=GO$12,$O55,"")</f>
        <v/>
      </c>
      <c r="GP55" s="88" t="str">
        <f aca="false">IF($B55=GP$12,$O55,"")</f>
        <v/>
      </c>
      <c r="GQ55" s="88" t="str">
        <f aca="false">IF($B55=GQ$12,$O55,"")</f>
        <v/>
      </c>
      <c r="GR55" s="88" t="str">
        <f aca="false">IF($B55=GR$12,$O55,"")</f>
        <v/>
      </c>
      <c r="GS55" s="88" t="str">
        <f aca="false">IF($B55=GS$12,$O55,"")</f>
        <v/>
      </c>
      <c r="GT55" s="88" t="str">
        <f aca="false">IF($B55=GT$12,$O55,"")</f>
        <v/>
      </c>
      <c r="GU55" s="88" t="str">
        <f aca="false">IF($B55=GU$12,$O55,"")</f>
        <v/>
      </c>
      <c r="GV55" s="88" t="str">
        <f aca="false">IF($B55=GV$12,$O55,"")</f>
        <v/>
      </c>
      <c r="GW55" s="88" t="str">
        <f aca="false">IF($B55=GW$12,$O55,"")</f>
        <v/>
      </c>
      <c r="GX55" s="88" t="str">
        <f aca="false">IF($B55=GX$12,$O55,"")</f>
        <v/>
      </c>
      <c r="GY55" s="88" t="str">
        <f aca="false">IF($B55=GY$12,$O55,"")</f>
        <v/>
      </c>
      <c r="GZ55" s="88" t="str">
        <f aca="false">IF($B55=GZ$12,$O55,"")</f>
        <v/>
      </c>
      <c r="HA55" s="88" t="str">
        <f aca="false">IF($B55=HA$12,$O55,"")</f>
        <v/>
      </c>
      <c r="HB55" s="88" t="str">
        <f aca="false">IF($B55=HB$12,$O55,"")</f>
        <v/>
      </c>
      <c r="HC55" s="88" t="str">
        <f aca="false">IF($B55=HC$12,$O55,"")</f>
        <v/>
      </c>
      <c r="HD55" s="88" t="str">
        <f aca="false">IF($B55=HD$12,$O55,"")</f>
        <v/>
      </c>
      <c r="HE55" s="88" t="str">
        <f aca="false">IF($B55=HE$12,$O55,"")</f>
        <v/>
      </c>
      <c r="HF55" s="88" t="str">
        <f aca="false">IF($B55=HF$12,$O55,"")</f>
        <v/>
      </c>
      <c r="HG55" s="88" t="str">
        <f aca="false">IF($B55=HG$12,$O55,"")</f>
        <v/>
      </c>
      <c r="HH55" s="88" t="str">
        <f aca="false">IF($B55=HH$12,$O55,"")</f>
        <v/>
      </c>
      <c r="HI55" s="88" t="str">
        <f aca="false">IF($B55=HI$12,$O55,"")</f>
        <v/>
      </c>
      <c r="HJ55" s="88" t="str">
        <f aca="false">IF($B55=HJ$12,$O55,"")</f>
        <v/>
      </c>
      <c r="HK55" s="88" t="str">
        <f aca="false">IF($B55=HK$12,$O55,"")</f>
        <v/>
      </c>
      <c r="HL55" s="88" t="str">
        <f aca="false">IF($B55=HL$12,$O55,"")</f>
        <v/>
      </c>
      <c r="HM55" s="88" t="str">
        <f aca="false">IF($B55=HM$12,$O55,"")</f>
        <v/>
      </c>
      <c r="HN55" s="88" t="str">
        <f aca="false">IF($B55=HN$12,$O55,"")</f>
        <v/>
      </c>
      <c r="HO55" s="88" t="str">
        <f aca="false">IF($B55=HO$12,$O55,"")</f>
        <v/>
      </c>
      <c r="HP55" s="88" t="str">
        <f aca="false">IF($B55=HP$12,$O55,"")</f>
        <v/>
      </c>
      <c r="HQ55" s="88" t="str">
        <f aca="false">IF($B55=HQ$12,$O55,"")</f>
        <v/>
      </c>
      <c r="HR55" s="89" t="str">
        <f aca="false">IF($B55=HR$12,$O55,"")</f>
        <v/>
      </c>
    </row>
    <row r="56" customFormat="false" ht="10.5" hidden="false" customHeight="true" outlineLevel="0" collapsed="false">
      <c r="A56" s="73"/>
      <c r="B56" s="74"/>
      <c r="C56" s="75" t="str">
        <f aca="false">IF(A56=0,"",VLOOKUP(A56,[3]CO!$A$3:$F$5311,2,0))</f>
        <v/>
      </c>
      <c r="D56" s="76"/>
      <c r="E56" s="76"/>
      <c r="F56" s="76"/>
      <c r="G56" s="77" t="str">
        <f aca="false">IF(A56=0,"",VLOOKUP(A56,[3]CO!$A$3:$F$5311,3,0))</f>
        <v/>
      </c>
      <c r="H56" s="76"/>
      <c r="I56" s="78"/>
      <c r="J56" s="78"/>
      <c r="K56" s="78"/>
      <c r="L56" s="78"/>
      <c r="M56" s="79" t="str">
        <f aca="false">IF(L56=0,"",PRODUCT(I56:L56))</f>
        <v/>
      </c>
      <c r="N56" s="79" t="str">
        <f aca="false">IF(B56=0,"",IF(H56="M",HLOOKUP(B56,$Y$12:$DT$13,2),IF(A56=0,"",VLOOKUP(A56,[3]CO!$A$3:$F$5311,4,0))))</f>
        <v/>
      </c>
      <c r="O56" s="79" t="str">
        <f aca="false">IF(L56=0,"",PRODUCT(M56:N56))</f>
        <v/>
      </c>
      <c r="P56" s="80"/>
      <c r="Q56" s="81" t="str">
        <f aca="false">IF(P56=0,"",(HLOOKUP(P56,$DW$12:$HR$13,2)))</f>
        <v/>
      </c>
      <c r="R56" s="82" t="str">
        <f aca="false">IF(S56=0,"",IF(OR(G56="PEON",G56="OF",G56="JARD",G56="CARP",G56="MAESTRO",G56="SOLD",G56="BGRO",G56="CHOFER",G56="AYTE",G56="S.INTTE.",G56="ASEO",G56="P.PISOS",G56="VELADOR",G56="RESID",G56="PINTOR",G56="ELECT",G56="AZULE",G56="AUX CONT.",G56="SECRETARIA",G56="AUXILIAR ADMTVO.",G56="ARQUITECTO",G56="DIBUJANTE",G56="AUX. DE RESIDENTE"),VLOOKUP(B56,P$14:Q$131,2),"")*S56)</f>
        <v/>
      </c>
      <c r="S56" s="5"/>
      <c r="T56" s="65" t="str">
        <f aca="false">IF(A56=0,"",VLOOKUP(A56,[3]CO!$A$3:$F$5302,5,0))</f>
        <v/>
      </c>
      <c r="U56" s="55" t="n">
        <f aca="false">IF(T56=1,O56*0.1,)</f>
        <v>0</v>
      </c>
      <c r="V56" s="66"/>
      <c r="W56" s="83"/>
      <c r="X56" s="83"/>
      <c r="Y56" s="84" t="str">
        <f aca="false">IF($B56=Y$12,$U56,"")</f>
        <v/>
      </c>
      <c r="Z56" s="85" t="str">
        <f aca="false">IF($B56=Z$12,$U56,"")</f>
        <v/>
      </c>
      <c r="AA56" s="85" t="str">
        <f aca="false">IF($B56=AA$12,$U56,"")</f>
        <v/>
      </c>
      <c r="AB56" s="85" t="str">
        <f aca="false">IF($B56=AB$12,$U56,"")</f>
        <v/>
      </c>
      <c r="AC56" s="85" t="str">
        <f aca="false">IF($B56=AC$12,$U56,"")</f>
        <v/>
      </c>
      <c r="AD56" s="85" t="str">
        <f aca="false">IF($B56=AD$12,$U56,"")</f>
        <v/>
      </c>
      <c r="AE56" s="85" t="str">
        <f aca="false">IF($B56=AE$12,$U56,"")</f>
        <v/>
      </c>
      <c r="AF56" s="85" t="str">
        <f aca="false">IF($B56=AF$12,$U56,"")</f>
        <v/>
      </c>
      <c r="AG56" s="85" t="str">
        <f aca="false">IF($B56=AG$12,$U56,"")</f>
        <v/>
      </c>
      <c r="AH56" s="85" t="str">
        <f aca="false">IF($B56=AH$12,$U56,"")</f>
        <v/>
      </c>
      <c r="AI56" s="85" t="str">
        <f aca="false">IF($B56=AI$12,$U56,"")</f>
        <v/>
      </c>
      <c r="AJ56" s="85" t="str">
        <f aca="false">IF($B56=AJ$12,$U56,"")</f>
        <v/>
      </c>
      <c r="AK56" s="85" t="str">
        <f aca="false">IF($B56=AK$12,$U56,"")</f>
        <v/>
      </c>
      <c r="AL56" s="85" t="str">
        <f aca="false">IF($B56=AL$12,$U56,"")</f>
        <v/>
      </c>
      <c r="AM56" s="85" t="str">
        <f aca="false">IF($B56=AM$12,$U56,"")</f>
        <v/>
      </c>
      <c r="AN56" s="85" t="str">
        <f aca="false">IF($B56=AN$12,$U56,"")</f>
        <v/>
      </c>
      <c r="AO56" s="85" t="str">
        <f aca="false">IF($B56=AO$12,$U56,"")</f>
        <v/>
      </c>
      <c r="AP56" s="85" t="str">
        <f aca="false">IF($B56=AP$12,$U56,"")</f>
        <v/>
      </c>
      <c r="AQ56" s="85" t="str">
        <f aca="false">IF($B56=AQ$12,$U56,"")</f>
        <v/>
      </c>
      <c r="AR56" s="85" t="str">
        <f aca="false">IF($B56=AR$12,$U56,"")</f>
        <v/>
      </c>
      <c r="AS56" s="85" t="str">
        <f aca="false">IF($B56=AS$12,$U56,"")</f>
        <v/>
      </c>
      <c r="AT56" s="85" t="str">
        <f aca="false">IF($B56=AT$12,$U56,"")</f>
        <v/>
      </c>
      <c r="AU56" s="85" t="str">
        <f aca="false">IF($B56=AU$12,$U56,"")</f>
        <v/>
      </c>
      <c r="AV56" s="85" t="str">
        <f aca="false">IF($B56=AV$12,$U56,"")</f>
        <v/>
      </c>
      <c r="AW56" s="85" t="str">
        <f aca="false">IF($B56=AW$12,$U56,"")</f>
        <v/>
      </c>
      <c r="AX56" s="85" t="str">
        <f aca="false">IF($B56=AX$12,$U56,"")</f>
        <v/>
      </c>
      <c r="AY56" s="85" t="str">
        <f aca="false">IF($B56=AY$12,$U56,"")</f>
        <v/>
      </c>
      <c r="AZ56" s="85" t="str">
        <f aca="false">IF($B56=AZ$12,$U56,"")</f>
        <v/>
      </c>
      <c r="BA56" s="85" t="str">
        <f aca="false">IF($B56=BA$12,$U56,"")</f>
        <v/>
      </c>
      <c r="BB56" s="85" t="str">
        <f aca="false">IF($B56=BB$12,$U56,"")</f>
        <v/>
      </c>
      <c r="BC56" s="85" t="str">
        <f aca="false">IF($B56=BC$12,$U56,"")</f>
        <v/>
      </c>
      <c r="BD56" s="85" t="str">
        <f aca="false">IF($B56=BD$12,$U56,"")</f>
        <v/>
      </c>
      <c r="BE56" s="85" t="str">
        <f aca="false">IF($B56=BE$12,$U56,"")</f>
        <v/>
      </c>
      <c r="BF56" s="85" t="str">
        <f aca="false">IF($B56=BF$12,$U56,"")</f>
        <v/>
      </c>
      <c r="BG56" s="85" t="str">
        <f aca="false">IF($B56=BG$12,$U56,"")</f>
        <v/>
      </c>
      <c r="BH56" s="85" t="str">
        <f aca="false">IF($B56=BH$12,$U56,"")</f>
        <v/>
      </c>
      <c r="BI56" s="85" t="str">
        <f aca="false">IF($B56=BI$12,$U56,"")</f>
        <v/>
      </c>
      <c r="BJ56" s="85" t="str">
        <f aca="false">IF($B56=BJ$12,$U56,"")</f>
        <v/>
      </c>
      <c r="BK56" s="85" t="str">
        <f aca="false">IF($B56=BK$12,$U56,"")</f>
        <v/>
      </c>
      <c r="BL56" s="85" t="str">
        <f aca="false">IF($B56=BL$12,$U56,"")</f>
        <v/>
      </c>
      <c r="BM56" s="85" t="str">
        <f aca="false">IF($B56=BM$12,$U56,"")</f>
        <v/>
      </c>
      <c r="BN56" s="85" t="str">
        <f aca="false">IF($B56=BN$12,$U56,"")</f>
        <v/>
      </c>
      <c r="BO56" s="85" t="str">
        <f aca="false">IF($B56=BO$12,$U56,"")</f>
        <v/>
      </c>
      <c r="BP56" s="85" t="str">
        <f aca="false">IF($B56=BP$12,$U56,"")</f>
        <v/>
      </c>
      <c r="BQ56" s="85" t="str">
        <f aca="false">IF($B56=BQ$12,$U56,"")</f>
        <v/>
      </c>
      <c r="BR56" s="85" t="str">
        <f aca="false">IF($B56=BR$12,$U56,"")</f>
        <v/>
      </c>
      <c r="BS56" s="85" t="str">
        <f aca="false">IF($B56=BS$12,$U56,"")</f>
        <v/>
      </c>
      <c r="BT56" s="85" t="str">
        <f aca="false">IF($B56=BT$12,$U56,"")</f>
        <v/>
      </c>
      <c r="BU56" s="85" t="str">
        <f aca="false">IF($B56=BU$12,$U56,"")</f>
        <v/>
      </c>
      <c r="BV56" s="85" t="str">
        <f aca="false">IF($B56=BV$12,$U56,"")</f>
        <v/>
      </c>
      <c r="BW56" s="85" t="str">
        <f aca="false">IF($B56=BW$12,$U56,"")</f>
        <v/>
      </c>
      <c r="BX56" s="85" t="str">
        <f aca="false">IF($B56=BX$12,$U56,"")</f>
        <v/>
      </c>
      <c r="BY56" s="85" t="str">
        <f aca="false">IF($B56=BY$12,$U56,"")</f>
        <v/>
      </c>
      <c r="BZ56" s="85" t="str">
        <f aca="false">IF($B56=BZ$12,$U56,"")</f>
        <v/>
      </c>
      <c r="CA56" s="85" t="str">
        <f aca="false">IF($B56=CA$12,$U56,"")</f>
        <v/>
      </c>
      <c r="CB56" s="85" t="str">
        <f aca="false">IF($B56=CB$12,$U56,"")</f>
        <v/>
      </c>
      <c r="CC56" s="85" t="str">
        <f aca="false">IF($B56=CC$12,$U56,"")</f>
        <v/>
      </c>
      <c r="CD56" s="85" t="str">
        <f aca="false">IF($B56=CD$12,$U56,"")</f>
        <v/>
      </c>
      <c r="CE56" s="85" t="str">
        <f aca="false">IF($B56=CE$12,$U56,"")</f>
        <v/>
      </c>
      <c r="CF56" s="85" t="str">
        <f aca="false">IF($B56=CF$12,$U56,"")</f>
        <v/>
      </c>
      <c r="CG56" s="85" t="str">
        <f aca="false">IF($B56=CG$12,$U56,"")</f>
        <v/>
      </c>
      <c r="CH56" s="85" t="str">
        <f aca="false">IF($B56=CH$12,$U56,"")</f>
        <v/>
      </c>
      <c r="CI56" s="85" t="str">
        <f aca="false">IF($B56=CI$12,$U56,"")</f>
        <v/>
      </c>
      <c r="CJ56" s="85" t="str">
        <f aca="false">IF($B56=CJ$12,$U56,"")</f>
        <v/>
      </c>
      <c r="CK56" s="85" t="str">
        <f aca="false">IF($B56=CK$12,$U56,"")</f>
        <v/>
      </c>
      <c r="CL56" s="85" t="str">
        <f aca="false">IF($B56=CL$12,$U56,"")</f>
        <v/>
      </c>
      <c r="CM56" s="85" t="str">
        <f aca="false">IF($B56=CM$12,$U56,"")</f>
        <v/>
      </c>
      <c r="CN56" s="85" t="str">
        <f aca="false">IF($B56=CN$12,$U56,"")</f>
        <v/>
      </c>
      <c r="CO56" s="85" t="str">
        <f aca="false">IF($B56=CO$12,$U56,"")</f>
        <v/>
      </c>
      <c r="CP56" s="85" t="str">
        <f aca="false">IF($B56=CP$12,$U56,"")</f>
        <v/>
      </c>
      <c r="CQ56" s="85" t="str">
        <f aca="false">IF($B56=CQ$12,$U56,"")</f>
        <v/>
      </c>
      <c r="CR56" s="85" t="str">
        <f aca="false">IF($B56=CR$12,$U56,"")</f>
        <v/>
      </c>
      <c r="CS56" s="85" t="str">
        <f aca="false">IF($B56=CS$12,$U56,"")</f>
        <v/>
      </c>
      <c r="CT56" s="85" t="str">
        <f aca="false">IF($B56=CT$12,$U56,"")</f>
        <v/>
      </c>
      <c r="CU56" s="85" t="str">
        <f aca="false">IF($B56=CU$12,$U56,"")</f>
        <v/>
      </c>
      <c r="CV56" s="85" t="str">
        <f aca="false">IF($B56=CV$12,$U56,"")</f>
        <v/>
      </c>
      <c r="CW56" s="85" t="str">
        <f aca="false">IF($B56=CW$12,$U56,"")</f>
        <v/>
      </c>
      <c r="CX56" s="85" t="str">
        <f aca="false">IF($B56=CX$12,$U56,"")</f>
        <v/>
      </c>
      <c r="CY56" s="85" t="str">
        <f aca="false">IF($B56=CY$12,$U56,"")</f>
        <v/>
      </c>
      <c r="CZ56" s="85" t="str">
        <f aca="false">IF($B56=CZ$12,$U56,"")</f>
        <v/>
      </c>
      <c r="DA56" s="85" t="str">
        <f aca="false">IF($B56=DA$12,$U56,"")</f>
        <v/>
      </c>
      <c r="DB56" s="85" t="str">
        <f aca="false">IF($B56=DB$12,$U56,"")</f>
        <v/>
      </c>
      <c r="DC56" s="85" t="str">
        <f aca="false">IF($B56=DC$12,$U56,"")</f>
        <v/>
      </c>
      <c r="DD56" s="85" t="str">
        <f aca="false">IF($B56=DD$12,$U56,"")</f>
        <v/>
      </c>
      <c r="DE56" s="85" t="str">
        <f aca="false">IF($B56=DE$12,$U56,"")</f>
        <v/>
      </c>
      <c r="DF56" s="85" t="str">
        <f aca="false">IF($B56=DF$12,$U56,"")</f>
        <v/>
      </c>
      <c r="DG56" s="85" t="str">
        <f aca="false">IF($B56=DG$12,$U56,"")</f>
        <v/>
      </c>
      <c r="DH56" s="85" t="str">
        <f aca="false">IF($B56=DH$12,$U56,"")</f>
        <v/>
      </c>
      <c r="DI56" s="85" t="str">
        <f aca="false">IF($B56=DI$12,$U56,"")</f>
        <v/>
      </c>
      <c r="DJ56" s="85" t="str">
        <f aca="false">IF($B56=DJ$12,$U56,"")</f>
        <v/>
      </c>
      <c r="DK56" s="85" t="str">
        <f aca="false">IF($B56=DK$12,$U56,"")</f>
        <v/>
      </c>
      <c r="DL56" s="85" t="str">
        <f aca="false">IF($B56=DL$12,$U56,"")</f>
        <v/>
      </c>
      <c r="DM56" s="85" t="str">
        <f aca="false">IF($B56=DM$12,$U56,"")</f>
        <v/>
      </c>
      <c r="DN56" s="85" t="str">
        <f aca="false">IF($B56=DN$12,$U56,"")</f>
        <v/>
      </c>
      <c r="DO56" s="85" t="str">
        <f aca="false">IF($B56=DO$12,$U56,"")</f>
        <v/>
      </c>
      <c r="DP56" s="85" t="str">
        <f aca="false">IF($B56=DP$12,$U56,"")</f>
        <v/>
      </c>
      <c r="DQ56" s="85" t="str">
        <f aca="false">IF($B56=DQ$12,$U56,"")</f>
        <v/>
      </c>
      <c r="DR56" s="85" t="str">
        <f aca="false">IF($B56=DR$12,$U56,"")</f>
        <v/>
      </c>
      <c r="DS56" s="85" t="str">
        <f aca="false">IF($B56=DS$12,$U56,"")</f>
        <v/>
      </c>
      <c r="DT56" s="86" t="str">
        <f aca="false">IF($B56=DT$12,$U56,"")</f>
        <v/>
      </c>
      <c r="DU56" s="55"/>
      <c r="DV56" s="83"/>
      <c r="DW56" s="87" t="str">
        <f aca="false">IF($B56=DW$12,$O56,"")</f>
        <v/>
      </c>
      <c r="DX56" s="88" t="str">
        <f aca="false">IF($B56=DX$12,$O56,"")</f>
        <v/>
      </c>
      <c r="DY56" s="88" t="str">
        <f aca="false">IF($B56=DY$12,$O56,"")</f>
        <v/>
      </c>
      <c r="DZ56" s="88" t="str">
        <f aca="false">IF($B56=DZ$12,$O56,"")</f>
        <v/>
      </c>
      <c r="EA56" s="88" t="str">
        <f aca="false">IF($B56=EA$12,$O56,"")</f>
        <v/>
      </c>
      <c r="EB56" s="88" t="str">
        <f aca="false">IF($B56=EB$12,$O56,"")</f>
        <v/>
      </c>
      <c r="EC56" s="88" t="str">
        <f aca="false">IF($B56=EC$12,$O56,"")</f>
        <v/>
      </c>
      <c r="ED56" s="88" t="str">
        <f aca="false">IF($B56=ED$12,$O56,"")</f>
        <v/>
      </c>
      <c r="EE56" s="88" t="str">
        <f aca="false">IF($B56=EE$12,$O56,"")</f>
        <v/>
      </c>
      <c r="EF56" s="88" t="str">
        <f aca="false">IF($B56=EF$12,$O56,"")</f>
        <v/>
      </c>
      <c r="EG56" s="88" t="str">
        <f aca="false">IF($B56=EG$12,$O56,"")</f>
        <v/>
      </c>
      <c r="EH56" s="88" t="str">
        <f aca="false">IF($B56=EH$12,$O56,"")</f>
        <v/>
      </c>
      <c r="EI56" s="88" t="str">
        <f aca="false">IF($B56=EI$12,$O56,"")</f>
        <v/>
      </c>
      <c r="EJ56" s="88" t="str">
        <f aca="false">IF($B56=EJ$12,$O56,"")</f>
        <v/>
      </c>
      <c r="EK56" s="88" t="str">
        <f aca="false">IF($B56=EK$12,$O56,"")</f>
        <v/>
      </c>
      <c r="EL56" s="88" t="str">
        <f aca="false">IF($B56=EL$12,$O56,"")</f>
        <v/>
      </c>
      <c r="EM56" s="88" t="str">
        <f aca="false">IF($B56=EM$12,$O56,"")</f>
        <v/>
      </c>
      <c r="EN56" s="88" t="str">
        <f aca="false">IF($B56=EN$12,$O56,"")</f>
        <v/>
      </c>
      <c r="EO56" s="88" t="str">
        <f aca="false">IF($B56=EO$12,$O56,"")</f>
        <v/>
      </c>
      <c r="EP56" s="88" t="str">
        <f aca="false">IF($B56=EP$12,$O56,"")</f>
        <v/>
      </c>
      <c r="EQ56" s="88" t="str">
        <f aca="false">IF($B56=EQ$12,$O56,"")</f>
        <v/>
      </c>
      <c r="ER56" s="88" t="str">
        <f aca="false">IF($B56=ER$12,$O56,"")</f>
        <v/>
      </c>
      <c r="ES56" s="88" t="str">
        <f aca="false">IF($B56=ES$12,$O56,"")</f>
        <v/>
      </c>
      <c r="ET56" s="88" t="str">
        <f aca="false">IF($B56=ET$12,$O56,"")</f>
        <v/>
      </c>
      <c r="EU56" s="88" t="str">
        <f aca="false">IF($B56=EU$12,$O56,"")</f>
        <v/>
      </c>
      <c r="EV56" s="88" t="str">
        <f aca="false">IF($B56=EV$12,$O56,"")</f>
        <v/>
      </c>
      <c r="EW56" s="88" t="str">
        <f aca="false">IF($B56=EW$12,$O56,"")</f>
        <v/>
      </c>
      <c r="EX56" s="88" t="str">
        <f aca="false">IF($B56=EX$12,$O56,"")</f>
        <v/>
      </c>
      <c r="EY56" s="88" t="str">
        <f aca="false">IF($B56=EY$12,$O56,"")</f>
        <v/>
      </c>
      <c r="EZ56" s="88" t="str">
        <f aca="false">IF($B56=EZ$12,$O56,"")</f>
        <v/>
      </c>
      <c r="FA56" s="88" t="str">
        <f aca="false">IF($B56=FA$12,$O56,"")</f>
        <v/>
      </c>
      <c r="FB56" s="88" t="str">
        <f aca="false">IF($B56=FB$12,$O56,"")</f>
        <v/>
      </c>
      <c r="FC56" s="88" t="str">
        <f aca="false">IF($B56=FC$12,$O56,"")</f>
        <v/>
      </c>
      <c r="FD56" s="88" t="str">
        <f aca="false">IF($B56=FD$12,$O56,"")</f>
        <v/>
      </c>
      <c r="FE56" s="88" t="str">
        <f aca="false">IF($B56=FE$12,$O56,"")</f>
        <v/>
      </c>
      <c r="FF56" s="88" t="str">
        <f aca="false">IF($B56=FF$12,$O56,"")</f>
        <v/>
      </c>
      <c r="FG56" s="88" t="str">
        <f aca="false">IF($B56=FG$12,$O56,"")</f>
        <v/>
      </c>
      <c r="FH56" s="88" t="str">
        <f aca="false">IF($B56=FH$12,$O56,"")</f>
        <v/>
      </c>
      <c r="FI56" s="88" t="str">
        <f aca="false">IF($B56=FI$12,$O56,"")</f>
        <v/>
      </c>
      <c r="FJ56" s="88" t="str">
        <f aca="false">IF($B56=FJ$12,$O56,"")</f>
        <v/>
      </c>
      <c r="FK56" s="88" t="str">
        <f aca="false">IF($B56=FK$12,$O56,"")</f>
        <v/>
      </c>
      <c r="FL56" s="88" t="str">
        <f aca="false">IF($B56=FL$12,$O56,"")</f>
        <v/>
      </c>
      <c r="FM56" s="88" t="str">
        <f aca="false">IF($B56=FM$12,$O56,"")</f>
        <v/>
      </c>
      <c r="FN56" s="88" t="str">
        <f aca="false">IF($B56=FN$12,$O56,"")</f>
        <v/>
      </c>
      <c r="FO56" s="88" t="str">
        <f aca="false">IF($B56=FO$12,$O56,"")</f>
        <v/>
      </c>
      <c r="FP56" s="88" t="str">
        <f aca="false">IF($B56=FP$12,$O56,"")</f>
        <v/>
      </c>
      <c r="FQ56" s="88" t="str">
        <f aca="false">IF($B56=FQ$12,$O56,"")</f>
        <v/>
      </c>
      <c r="FR56" s="88" t="str">
        <f aca="false">IF($B56=FR$12,$O56,"")</f>
        <v/>
      </c>
      <c r="FS56" s="88" t="str">
        <f aca="false">IF($B56=FS$12,$O56,"")</f>
        <v/>
      </c>
      <c r="FT56" s="88" t="str">
        <f aca="false">IF($B56=FT$12,$O56,"")</f>
        <v/>
      </c>
      <c r="FU56" s="88" t="str">
        <f aca="false">IF($B56=FU$12,$O56,"")</f>
        <v/>
      </c>
      <c r="FV56" s="88" t="str">
        <f aca="false">IF($B56=FV$12,$O56,"")</f>
        <v/>
      </c>
      <c r="FW56" s="88" t="str">
        <f aca="false">IF($B56=FW$12,$O56,"")</f>
        <v/>
      </c>
      <c r="FX56" s="88" t="str">
        <f aca="false">IF($B56=FX$12,$O56,"")</f>
        <v/>
      </c>
      <c r="FY56" s="88" t="str">
        <f aca="false">IF($B56=FY$12,$O56,"")</f>
        <v/>
      </c>
      <c r="FZ56" s="88" t="str">
        <f aca="false">IF($B56=FZ$12,$O56,"")</f>
        <v/>
      </c>
      <c r="GA56" s="88" t="str">
        <f aca="false">IF($B56=GA$12,$O56,"")</f>
        <v/>
      </c>
      <c r="GB56" s="88" t="str">
        <f aca="false">IF($B56=GB$12,$O56,"")</f>
        <v/>
      </c>
      <c r="GC56" s="88" t="str">
        <f aca="false">IF($B56=GC$12,$O56,"")</f>
        <v/>
      </c>
      <c r="GD56" s="88" t="str">
        <f aca="false">IF($B56=GD$12,$O56,"")</f>
        <v/>
      </c>
      <c r="GE56" s="88" t="str">
        <f aca="false">IF($B56=GE$12,$O56,"")</f>
        <v/>
      </c>
      <c r="GF56" s="88" t="str">
        <f aca="false">IF($B56=GF$12,$O56,"")</f>
        <v/>
      </c>
      <c r="GG56" s="88" t="str">
        <f aca="false">IF($B56=GG$12,$O56,"")</f>
        <v/>
      </c>
      <c r="GH56" s="88" t="str">
        <f aca="false">IF($B56=GH$12,$O56,"")</f>
        <v/>
      </c>
      <c r="GI56" s="88" t="str">
        <f aca="false">IF($B56=GI$12,$O56,"")</f>
        <v/>
      </c>
      <c r="GJ56" s="88" t="str">
        <f aca="false">IF($B56=GJ$12,$O56,"")</f>
        <v/>
      </c>
      <c r="GK56" s="88" t="str">
        <f aca="false">IF($B56=GK$12,$O56,"")</f>
        <v/>
      </c>
      <c r="GL56" s="88" t="str">
        <f aca="false">IF($B56=GL$12,$O56,"")</f>
        <v/>
      </c>
      <c r="GM56" s="88" t="str">
        <f aca="false">IF($B56=GM$12,$O56,"")</f>
        <v/>
      </c>
      <c r="GN56" s="88" t="str">
        <f aca="false">IF($B56=GN$12,$O56,"")</f>
        <v/>
      </c>
      <c r="GO56" s="88" t="str">
        <f aca="false">IF($B56=GO$12,$O56,"")</f>
        <v/>
      </c>
      <c r="GP56" s="88" t="str">
        <f aca="false">IF($B56=GP$12,$O56,"")</f>
        <v/>
      </c>
      <c r="GQ56" s="88" t="str">
        <f aca="false">IF($B56=GQ$12,$O56,"")</f>
        <v/>
      </c>
      <c r="GR56" s="88" t="str">
        <f aca="false">IF($B56=GR$12,$O56,"")</f>
        <v/>
      </c>
      <c r="GS56" s="88" t="str">
        <f aca="false">IF($B56=GS$12,$O56,"")</f>
        <v/>
      </c>
      <c r="GT56" s="88" t="str">
        <f aca="false">IF($B56=GT$12,$O56,"")</f>
        <v/>
      </c>
      <c r="GU56" s="88" t="str">
        <f aca="false">IF($B56=GU$12,$O56,"")</f>
        <v/>
      </c>
      <c r="GV56" s="88" t="str">
        <f aca="false">IF($B56=GV$12,$O56,"")</f>
        <v/>
      </c>
      <c r="GW56" s="88" t="str">
        <f aca="false">IF($B56=GW$12,$O56,"")</f>
        <v/>
      </c>
      <c r="GX56" s="88" t="str">
        <f aca="false">IF($B56=GX$12,$O56,"")</f>
        <v/>
      </c>
      <c r="GY56" s="88" t="str">
        <f aca="false">IF($B56=GY$12,$O56,"")</f>
        <v/>
      </c>
      <c r="GZ56" s="88" t="str">
        <f aca="false">IF($B56=GZ$12,$O56,"")</f>
        <v/>
      </c>
      <c r="HA56" s="88" t="str">
        <f aca="false">IF($B56=HA$12,$O56,"")</f>
        <v/>
      </c>
      <c r="HB56" s="88" t="str">
        <f aca="false">IF($B56=HB$12,$O56,"")</f>
        <v/>
      </c>
      <c r="HC56" s="88" t="str">
        <f aca="false">IF($B56=HC$12,$O56,"")</f>
        <v/>
      </c>
      <c r="HD56" s="88" t="str">
        <f aca="false">IF($B56=HD$12,$O56,"")</f>
        <v/>
      </c>
      <c r="HE56" s="88" t="str">
        <f aca="false">IF($B56=HE$12,$O56,"")</f>
        <v/>
      </c>
      <c r="HF56" s="88" t="str">
        <f aca="false">IF($B56=HF$12,$O56,"")</f>
        <v/>
      </c>
      <c r="HG56" s="88" t="str">
        <f aca="false">IF($B56=HG$12,$O56,"")</f>
        <v/>
      </c>
      <c r="HH56" s="88" t="str">
        <f aca="false">IF($B56=HH$12,$O56,"")</f>
        <v/>
      </c>
      <c r="HI56" s="88" t="str">
        <f aca="false">IF($B56=HI$12,$O56,"")</f>
        <v/>
      </c>
      <c r="HJ56" s="88" t="str">
        <f aca="false">IF($B56=HJ$12,$O56,"")</f>
        <v/>
      </c>
      <c r="HK56" s="88" t="str">
        <f aca="false">IF($B56=HK$12,$O56,"")</f>
        <v/>
      </c>
      <c r="HL56" s="88" t="str">
        <f aca="false">IF($B56=HL$12,$O56,"")</f>
        <v/>
      </c>
      <c r="HM56" s="88" t="str">
        <f aca="false">IF($B56=HM$12,$O56,"")</f>
        <v/>
      </c>
      <c r="HN56" s="88" t="str">
        <f aca="false">IF($B56=HN$12,$O56,"")</f>
        <v/>
      </c>
      <c r="HO56" s="88" t="str">
        <f aca="false">IF($B56=HO$12,$O56,"")</f>
        <v/>
      </c>
      <c r="HP56" s="88" t="str">
        <f aca="false">IF($B56=HP$12,$O56,"")</f>
        <v/>
      </c>
      <c r="HQ56" s="88" t="str">
        <f aca="false">IF($B56=HQ$12,$O56,"")</f>
        <v/>
      </c>
      <c r="HR56" s="89" t="str">
        <f aca="false">IF($B56=HR$12,$O56,"")</f>
        <v/>
      </c>
    </row>
    <row r="57" customFormat="false" ht="10.5" hidden="false" customHeight="true" outlineLevel="0" collapsed="false">
      <c r="A57" s="73"/>
      <c r="B57" s="74"/>
      <c r="C57" s="75" t="str">
        <f aca="false">IF(A57=0,"",VLOOKUP(A57,[3]CO!$A$3:$F$5311,2,0))</f>
        <v/>
      </c>
      <c r="D57" s="76"/>
      <c r="E57" s="76"/>
      <c r="F57" s="76"/>
      <c r="G57" s="77" t="str">
        <f aca="false">IF(A57=0,"",VLOOKUP(A57,[3]CO!$A$3:$F$5311,3,0))</f>
        <v/>
      </c>
      <c r="H57" s="76"/>
      <c r="I57" s="78"/>
      <c r="J57" s="78"/>
      <c r="K57" s="78"/>
      <c r="L57" s="78"/>
      <c r="M57" s="79" t="str">
        <f aca="false">IF(L57=0,"",PRODUCT(I57:L57))</f>
        <v/>
      </c>
      <c r="N57" s="79" t="str">
        <f aca="false">IF(B57=0,"",IF(H57="M",HLOOKUP(B57,$Y$12:$DT$13,2),IF(A57=0,"",VLOOKUP(A57,[3]CO!$A$3:$F$5311,4,0))))</f>
        <v/>
      </c>
      <c r="O57" s="79" t="str">
        <f aca="false">IF(L57=0,"",PRODUCT(M57:N57))</f>
        <v/>
      </c>
      <c r="P57" s="80"/>
      <c r="Q57" s="81" t="str">
        <f aca="false">IF(P57=0,"",(HLOOKUP(P57,$DW$12:$HR$13,2)))</f>
        <v/>
      </c>
      <c r="R57" s="82" t="str">
        <f aca="false">IF(S57=0,"",IF(OR(G57="PEON",G57="OF",G57="JARD",G57="CARP",G57="MAESTRO",G57="SOLD",G57="BGRO",G57="CHOFER",G57="AYTE",G57="S.INTTE.",G57="ASEO",G57="P.PISOS",G57="VELADOR",G57="RESID",G57="PINTOR",G57="ELECT",G57="AZULE",G57="AUX CONT.",G57="SECRETARIA",G57="AUXILIAR ADMTVO.",G57="ARQUITECTO",G57="DIBUJANTE",G57="AUX. DE RESIDENTE"),VLOOKUP(B57,P$14:Q$131,2),"")*S57)</f>
        <v/>
      </c>
      <c r="S57" s="5"/>
      <c r="T57" s="65" t="str">
        <f aca="false">IF(A57=0,"",VLOOKUP(A57,[3]CO!$A$3:$F$5302,5,0))</f>
        <v/>
      </c>
      <c r="U57" s="55" t="n">
        <f aca="false">IF(T57=1,O57*0.1,)</f>
        <v>0</v>
      </c>
      <c r="V57" s="66"/>
      <c r="W57" s="83"/>
      <c r="X57" s="83"/>
      <c r="Y57" s="84" t="str">
        <f aca="false">IF($B57=Y$12,$U57,"")</f>
        <v/>
      </c>
      <c r="Z57" s="85" t="str">
        <f aca="false">IF($B57=Z$12,$U57,"")</f>
        <v/>
      </c>
      <c r="AA57" s="85" t="str">
        <f aca="false">IF($B57=AA$12,$U57,"")</f>
        <v/>
      </c>
      <c r="AB57" s="85" t="str">
        <f aca="false">IF($B57=AB$12,$U57,"")</f>
        <v/>
      </c>
      <c r="AC57" s="85" t="str">
        <f aca="false">IF($B57=AC$12,$U57,"")</f>
        <v/>
      </c>
      <c r="AD57" s="85" t="str">
        <f aca="false">IF($B57=AD$12,$U57,"")</f>
        <v/>
      </c>
      <c r="AE57" s="85" t="str">
        <f aca="false">IF($B57=AE$12,$U57,"")</f>
        <v/>
      </c>
      <c r="AF57" s="85" t="str">
        <f aca="false">IF($B57=AF$12,$U57,"")</f>
        <v/>
      </c>
      <c r="AG57" s="85" t="str">
        <f aca="false">IF($B57=AG$12,$U57,"")</f>
        <v/>
      </c>
      <c r="AH57" s="85" t="str">
        <f aca="false">IF($B57=AH$12,$U57,"")</f>
        <v/>
      </c>
      <c r="AI57" s="85" t="str">
        <f aca="false">IF($B57=AI$12,$U57,"")</f>
        <v/>
      </c>
      <c r="AJ57" s="85" t="str">
        <f aca="false">IF($B57=AJ$12,$U57,"")</f>
        <v/>
      </c>
      <c r="AK57" s="85" t="str">
        <f aca="false">IF($B57=AK$12,$U57,"")</f>
        <v/>
      </c>
      <c r="AL57" s="85" t="str">
        <f aca="false">IF($B57=AL$12,$U57,"")</f>
        <v/>
      </c>
      <c r="AM57" s="85" t="str">
        <f aca="false">IF($B57=AM$12,$U57,"")</f>
        <v/>
      </c>
      <c r="AN57" s="85" t="str">
        <f aca="false">IF($B57=AN$12,$U57,"")</f>
        <v/>
      </c>
      <c r="AO57" s="85" t="str">
        <f aca="false">IF($B57=AO$12,$U57,"")</f>
        <v/>
      </c>
      <c r="AP57" s="85" t="str">
        <f aca="false">IF($B57=AP$12,$U57,"")</f>
        <v/>
      </c>
      <c r="AQ57" s="85" t="str">
        <f aca="false">IF($B57=AQ$12,$U57,"")</f>
        <v/>
      </c>
      <c r="AR57" s="85" t="str">
        <f aca="false">IF($B57=AR$12,$U57,"")</f>
        <v/>
      </c>
      <c r="AS57" s="85" t="str">
        <f aca="false">IF($B57=AS$12,$U57,"")</f>
        <v/>
      </c>
      <c r="AT57" s="85" t="str">
        <f aca="false">IF($B57=AT$12,$U57,"")</f>
        <v/>
      </c>
      <c r="AU57" s="85" t="str">
        <f aca="false">IF($B57=AU$12,$U57,"")</f>
        <v/>
      </c>
      <c r="AV57" s="85" t="str">
        <f aca="false">IF($B57=AV$12,$U57,"")</f>
        <v/>
      </c>
      <c r="AW57" s="85" t="str">
        <f aca="false">IF($B57=AW$12,$U57,"")</f>
        <v/>
      </c>
      <c r="AX57" s="85" t="str">
        <f aca="false">IF($B57=AX$12,$U57,"")</f>
        <v/>
      </c>
      <c r="AY57" s="85" t="str">
        <f aca="false">IF($B57=AY$12,$U57,"")</f>
        <v/>
      </c>
      <c r="AZ57" s="85" t="str">
        <f aca="false">IF($B57=AZ$12,$U57,"")</f>
        <v/>
      </c>
      <c r="BA57" s="85" t="str">
        <f aca="false">IF($B57=BA$12,$U57,"")</f>
        <v/>
      </c>
      <c r="BB57" s="85" t="str">
        <f aca="false">IF($B57=BB$12,$U57,"")</f>
        <v/>
      </c>
      <c r="BC57" s="85" t="str">
        <f aca="false">IF($B57=BC$12,$U57,"")</f>
        <v/>
      </c>
      <c r="BD57" s="85" t="str">
        <f aca="false">IF($B57=BD$12,$U57,"")</f>
        <v/>
      </c>
      <c r="BE57" s="85" t="str">
        <f aca="false">IF($B57=BE$12,$U57,"")</f>
        <v/>
      </c>
      <c r="BF57" s="85" t="str">
        <f aca="false">IF($B57=BF$12,$U57,"")</f>
        <v/>
      </c>
      <c r="BG57" s="85" t="str">
        <f aca="false">IF($B57=BG$12,$U57,"")</f>
        <v/>
      </c>
      <c r="BH57" s="85" t="str">
        <f aca="false">IF($B57=BH$12,$U57,"")</f>
        <v/>
      </c>
      <c r="BI57" s="85" t="str">
        <f aca="false">IF($B57=BI$12,$U57,"")</f>
        <v/>
      </c>
      <c r="BJ57" s="85" t="str">
        <f aca="false">IF($B57=BJ$12,$U57,"")</f>
        <v/>
      </c>
      <c r="BK57" s="85" t="str">
        <f aca="false">IF($B57=BK$12,$U57,"")</f>
        <v/>
      </c>
      <c r="BL57" s="85" t="str">
        <f aca="false">IF($B57=BL$12,$U57,"")</f>
        <v/>
      </c>
      <c r="BM57" s="85" t="str">
        <f aca="false">IF($B57=BM$12,$U57,"")</f>
        <v/>
      </c>
      <c r="BN57" s="85" t="str">
        <f aca="false">IF($B57=BN$12,$U57,"")</f>
        <v/>
      </c>
      <c r="BO57" s="85" t="str">
        <f aca="false">IF($B57=BO$12,$U57,"")</f>
        <v/>
      </c>
      <c r="BP57" s="85" t="str">
        <f aca="false">IF($B57=BP$12,$U57,"")</f>
        <v/>
      </c>
      <c r="BQ57" s="85" t="str">
        <f aca="false">IF($B57=BQ$12,$U57,"")</f>
        <v/>
      </c>
      <c r="BR57" s="85" t="str">
        <f aca="false">IF($B57=BR$12,$U57,"")</f>
        <v/>
      </c>
      <c r="BS57" s="85" t="str">
        <f aca="false">IF($B57=BS$12,$U57,"")</f>
        <v/>
      </c>
      <c r="BT57" s="85" t="str">
        <f aca="false">IF($B57=BT$12,$U57,"")</f>
        <v/>
      </c>
      <c r="BU57" s="85" t="str">
        <f aca="false">IF($B57=BU$12,$U57,"")</f>
        <v/>
      </c>
      <c r="BV57" s="85" t="str">
        <f aca="false">IF($B57=BV$12,$U57,"")</f>
        <v/>
      </c>
      <c r="BW57" s="85" t="str">
        <f aca="false">IF($B57=BW$12,$U57,"")</f>
        <v/>
      </c>
      <c r="BX57" s="85" t="str">
        <f aca="false">IF($B57=BX$12,$U57,"")</f>
        <v/>
      </c>
      <c r="BY57" s="85" t="str">
        <f aca="false">IF($B57=BY$12,$U57,"")</f>
        <v/>
      </c>
      <c r="BZ57" s="85" t="str">
        <f aca="false">IF($B57=BZ$12,$U57,"")</f>
        <v/>
      </c>
      <c r="CA57" s="85" t="str">
        <f aca="false">IF($B57=CA$12,$U57,"")</f>
        <v/>
      </c>
      <c r="CB57" s="85" t="str">
        <f aca="false">IF($B57=CB$12,$U57,"")</f>
        <v/>
      </c>
      <c r="CC57" s="85" t="str">
        <f aca="false">IF($B57=CC$12,$U57,"")</f>
        <v/>
      </c>
      <c r="CD57" s="85" t="str">
        <f aca="false">IF($B57=CD$12,$U57,"")</f>
        <v/>
      </c>
      <c r="CE57" s="85" t="str">
        <f aca="false">IF($B57=CE$12,$U57,"")</f>
        <v/>
      </c>
      <c r="CF57" s="85" t="str">
        <f aca="false">IF($B57=CF$12,$U57,"")</f>
        <v/>
      </c>
      <c r="CG57" s="85" t="str">
        <f aca="false">IF($B57=CG$12,$U57,"")</f>
        <v/>
      </c>
      <c r="CH57" s="85" t="str">
        <f aca="false">IF($B57=CH$12,$U57,"")</f>
        <v/>
      </c>
      <c r="CI57" s="85" t="str">
        <f aca="false">IF($B57=CI$12,$U57,"")</f>
        <v/>
      </c>
      <c r="CJ57" s="85" t="str">
        <f aca="false">IF($B57=CJ$12,$U57,"")</f>
        <v/>
      </c>
      <c r="CK57" s="85" t="str">
        <f aca="false">IF($B57=CK$12,$U57,"")</f>
        <v/>
      </c>
      <c r="CL57" s="85" t="str">
        <f aca="false">IF($B57=CL$12,$U57,"")</f>
        <v/>
      </c>
      <c r="CM57" s="85" t="str">
        <f aca="false">IF($B57=CM$12,$U57,"")</f>
        <v/>
      </c>
      <c r="CN57" s="85" t="str">
        <f aca="false">IF($B57=CN$12,$U57,"")</f>
        <v/>
      </c>
      <c r="CO57" s="85" t="str">
        <f aca="false">IF($B57=CO$12,$U57,"")</f>
        <v/>
      </c>
      <c r="CP57" s="85" t="str">
        <f aca="false">IF($B57=CP$12,$U57,"")</f>
        <v/>
      </c>
      <c r="CQ57" s="85" t="str">
        <f aca="false">IF($B57=CQ$12,$U57,"")</f>
        <v/>
      </c>
      <c r="CR57" s="85" t="str">
        <f aca="false">IF($B57=CR$12,$U57,"")</f>
        <v/>
      </c>
      <c r="CS57" s="85" t="str">
        <f aca="false">IF($B57=CS$12,$U57,"")</f>
        <v/>
      </c>
      <c r="CT57" s="85" t="str">
        <f aca="false">IF($B57=CT$12,$U57,"")</f>
        <v/>
      </c>
      <c r="CU57" s="85" t="str">
        <f aca="false">IF($B57=CU$12,$U57,"")</f>
        <v/>
      </c>
      <c r="CV57" s="85" t="str">
        <f aca="false">IF($B57=CV$12,$U57,"")</f>
        <v/>
      </c>
      <c r="CW57" s="85" t="str">
        <f aca="false">IF($B57=CW$12,$U57,"")</f>
        <v/>
      </c>
      <c r="CX57" s="85" t="str">
        <f aca="false">IF($B57=CX$12,$U57,"")</f>
        <v/>
      </c>
      <c r="CY57" s="85" t="str">
        <f aca="false">IF($B57=CY$12,$U57,"")</f>
        <v/>
      </c>
      <c r="CZ57" s="85" t="str">
        <f aca="false">IF($B57=CZ$12,$U57,"")</f>
        <v/>
      </c>
      <c r="DA57" s="85" t="str">
        <f aca="false">IF($B57=DA$12,$U57,"")</f>
        <v/>
      </c>
      <c r="DB57" s="85" t="str">
        <f aca="false">IF($B57=DB$12,$U57,"")</f>
        <v/>
      </c>
      <c r="DC57" s="85" t="str">
        <f aca="false">IF($B57=DC$12,$U57,"")</f>
        <v/>
      </c>
      <c r="DD57" s="85" t="str">
        <f aca="false">IF($B57=DD$12,$U57,"")</f>
        <v/>
      </c>
      <c r="DE57" s="85" t="str">
        <f aca="false">IF($B57=DE$12,$U57,"")</f>
        <v/>
      </c>
      <c r="DF57" s="85" t="str">
        <f aca="false">IF($B57=DF$12,$U57,"")</f>
        <v/>
      </c>
      <c r="DG57" s="85" t="str">
        <f aca="false">IF($B57=DG$12,$U57,"")</f>
        <v/>
      </c>
      <c r="DH57" s="85" t="str">
        <f aca="false">IF($B57=DH$12,$U57,"")</f>
        <v/>
      </c>
      <c r="DI57" s="85" t="str">
        <f aca="false">IF($B57=DI$12,$U57,"")</f>
        <v/>
      </c>
      <c r="DJ57" s="85" t="str">
        <f aca="false">IF($B57=DJ$12,$U57,"")</f>
        <v/>
      </c>
      <c r="DK57" s="85" t="str">
        <f aca="false">IF($B57=DK$12,$U57,"")</f>
        <v/>
      </c>
      <c r="DL57" s="85" t="str">
        <f aca="false">IF($B57=DL$12,$U57,"")</f>
        <v/>
      </c>
      <c r="DM57" s="85" t="str">
        <f aca="false">IF($B57=DM$12,$U57,"")</f>
        <v/>
      </c>
      <c r="DN57" s="85" t="str">
        <f aca="false">IF($B57=DN$12,$U57,"")</f>
        <v/>
      </c>
      <c r="DO57" s="85" t="str">
        <f aca="false">IF($B57=DO$12,$U57,"")</f>
        <v/>
      </c>
      <c r="DP57" s="85" t="str">
        <f aca="false">IF($B57=DP$12,$U57,"")</f>
        <v/>
      </c>
      <c r="DQ57" s="85" t="str">
        <f aca="false">IF($B57=DQ$12,$U57,"")</f>
        <v/>
      </c>
      <c r="DR57" s="85" t="str">
        <f aca="false">IF($B57=DR$12,$U57,"")</f>
        <v/>
      </c>
      <c r="DS57" s="85" t="str">
        <f aca="false">IF($B57=DS$12,$U57,"")</f>
        <v/>
      </c>
      <c r="DT57" s="86" t="str">
        <f aca="false">IF($B57=DT$12,$U57,"")</f>
        <v/>
      </c>
      <c r="DU57" s="55"/>
      <c r="DV57" s="83"/>
      <c r="DW57" s="87" t="str">
        <f aca="false">IF($B57=DW$12,$O57,"")</f>
        <v/>
      </c>
      <c r="DX57" s="88" t="str">
        <f aca="false">IF($B57=DX$12,$O57,"")</f>
        <v/>
      </c>
      <c r="DY57" s="88" t="str">
        <f aca="false">IF($B57=DY$12,$O57,"")</f>
        <v/>
      </c>
      <c r="DZ57" s="88" t="str">
        <f aca="false">IF($B57=DZ$12,$O57,"")</f>
        <v/>
      </c>
      <c r="EA57" s="88" t="str">
        <f aca="false">IF($B57=EA$12,$O57,"")</f>
        <v/>
      </c>
      <c r="EB57" s="88" t="str">
        <f aca="false">IF($B57=EB$12,$O57,"")</f>
        <v/>
      </c>
      <c r="EC57" s="88" t="str">
        <f aca="false">IF($B57=EC$12,$O57,"")</f>
        <v/>
      </c>
      <c r="ED57" s="88" t="str">
        <f aca="false">IF($B57=ED$12,$O57,"")</f>
        <v/>
      </c>
      <c r="EE57" s="88" t="str">
        <f aca="false">IF($B57=EE$12,$O57,"")</f>
        <v/>
      </c>
      <c r="EF57" s="88" t="str">
        <f aca="false">IF($B57=EF$12,$O57,"")</f>
        <v/>
      </c>
      <c r="EG57" s="88" t="str">
        <f aca="false">IF($B57=EG$12,$O57,"")</f>
        <v/>
      </c>
      <c r="EH57" s="88" t="str">
        <f aca="false">IF($B57=EH$12,$O57,"")</f>
        <v/>
      </c>
      <c r="EI57" s="88" t="str">
        <f aca="false">IF($B57=EI$12,$O57,"")</f>
        <v/>
      </c>
      <c r="EJ57" s="88" t="str">
        <f aca="false">IF($B57=EJ$12,$O57,"")</f>
        <v/>
      </c>
      <c r="EK57" s="88" t="str">
        <f aca="false">IF($B57=EK$12,$O57,"")</f>
        <v/>
      </c>
      <c r="EL57" s="88" t="str">
        <f aca="false">IF($B57=EL$12,$O57,"")</f>
        <v/>
      </c>
      <c r="EM57" s="88" t="str">
        <f aca="false">IF($B57=EM$12,$O57,"")</f>
        <v/>
      </c>
      <c r="EN57" s="88" t="str">
        <f aca="false">IF($B57=EN$12,$O57,"")</f>
        <v/>
      </c>
      <c r="EO57" s="88" t="str">
        <f aca="false">IF($B57=EO$12,$O57,"")</f>
        <v/>
      </c>
      <c r="EP57" s="88" t="str">
        <f aca="false">IF($B57=EP$12,$O57,"")</f>
        <v/>
      </c>
      <c r="EQ57" s="88" t="str">
        <f aca="false">IF($B57=EQ$12,$O57,"")</f>
        <v/>
      </c>
      <c r="ER57" s="88" t="str">
        <f aca="false">IF($B57=ER$12,$O57,"")</f>
        <v/>
      </c>
      <c r="ES57" s="88" t="str">
        <f aca="false">IF($B57=ES$12,$O57,"")</f>
        <v/>
      </c>
      <c r="ET57" s="88" t="str">
        <f aca="false">IF($B57=ET$12,$O57,"")</f>
        <v/>
      </c>
      <c r="EU57" s="88" t="str">
        <f aca="false">IF($B57=EU$12,$O57,"")</f>
        <v/>
      </c>
      <c r="EV57" s="88" t="str">
        <f aca="false">IF($B57=EV$12,$O57,"")</f>
        <v/>
      </c>
      <c r="EW57" s="88" t="str">
        <f aca="false">IF($B57=EW$12,$O57,"")</f>
        <v/>
      </c>
      <c r="EX57" s="88" t="str">
        <f aca="false">IF($B57=EX$12,$O57,"")</f>
        <v/>
      </c>
      <c r="EY57" s="88" t="str">
        <f aca="false">IF($B57=EY$12,$O57,"")</f>
        <v/>
      </c>
      <c r="EZ57" s="88" t="str">
        <f aca="false">IF($B57=EZ$12,$O57,"")</f>
        <v/>
      </c>
      <c r="FA57" s="88" t="str">
        <f aca="false">IF($B57=FA$12,$O57,"")</f>
        <v/>
      </c>
      <c r="FB57" s="88" t="str">
        <f aca="false">IF($B57=FB$12,$O57,"")</f>
        <v/>
      </c>
      <c r="FC57" s="88" t="str">
        <f aca="false">IF($B57=FC$12,$O57,"")</f>
        <v/>
      </c>
      <c r="FD57" s="88" t="str">
        <f aca="false">IF($B57=FD$12,$O57,"")</f>
        <v/>
      </c>
      <c r="FE57" s="88" t="str">
        <f aca="false">IF($B57=FE$12,$O57,"")</f>
        <v/>
      </c>
      <c r="FF57" s="88" t="str">
        <f aca="false">IF($B57=FF$12,$O57,"")</f>
        <v/>
      </c>
      <c r="FG57" s="88" t="str">
        <f aca="false">IF($B57=FG$12,$O57,"")</f>
        <v/>
      </c>
      <c r="FH57" s="88" t="str">
        <f aca="false">IF($B57=FH$12,$O57,"")</f>
        <v/>
      </c>
      <c r="FI57" s="88" t="str">
        <f aca="false">IF($B57=FI$12,$O57,"")</f>
        <v/>
      </c>
      <c r="FJ57" s="88" t="str">
        <f aca="false">IF($B57=FJ$12,$O57,"")</f>
        <v/>
      </c>
      <c r="FK57" s="88" t="str">
        <f aca="false">IF($B57=FK$12,$O57,"")</f>
        <v/>
      </c>
      <c r="FL57" s="88" t="str">
        <f aca="false">IF($B57=FL$12,$O57,"")</f>
        <v/>
      </c>
      <c r="FM57" s="88" t="str">
        <f aca="false">IF($B57=FM$12,$O57,"")</f>
        <v/>
      </c>
      <c r="FN57" s="88" t="str">
        <f aca="false">IF($B57=FN$12,$O57,"")</f>
        <v/>
      </c>
      <c r="FO57" s="88" t="str">
        <f aca="false">IF($B57=FO$12,$O57,"")</f>
        <v/>
      </c>
      <c r="FP57" s="88" t="str">
        <f aca="false">IF($B57=FP$12,$O57,"")</f>
        <v/>
      </c>
      <c r="FQ57" s="88" t="str">
        <f aca="false">IF($B57=FQ$12,$O57,"")</f>
        <v/>
      </c>
      <c r="FR57" s="88" t="str">
        <f aca="false">IF($B57=FR$12,$O57,"")</f>
        <v/>
      </c>
      <c r="FS57" s="88" t="str">
        <f aca="false">IF($B57=FS$12,$O57,"")</f>
        <v/>
      </c>
      <c r="FT57" s="88" t="str">
        <f aca="false">IF($B57=FT$12,$O57,"")</f>
        <v/>
      </c>
      <c r="FU57" s="88" t="str">
        <f aca="false">IF($B57=FU$12,$O57,"")</f>
        <v/>
      </c>
      <c r="FV57" s="88" t="str">
        <f aca="false">IF($B57=FV$12,$O57,"")</f>
        <v/>
      </c>
      <c r="FW57" s="88" t="str">
        <f aca="false">IF($B57=FW$12,$O57,"")</f>
        <v/>
      </c>
      <c r="FX57" s="88" t="str">
        <f aca="false">IF($B57=FX$12,$O57,"")</f>
        <v/>
      </c>
      <c r="FY57" s="88" t="str">
        <f aca="false">IF($B57=FY$12,$O57,"")</f>
        <v/>
      </c>
      <c r="FZ57" s="88" t="str">
        <f aca="false">IF($B57=FZ$12,$O57,"")</f>
        <v/>
      </c>
      <c r="GA57" s="88" t="str">
        <f aca="false">IF($B57=GA$12,$O57,"")</f>
        <v/>
      </c>
      <c r="GB57" s="88" t="str">
        <f aca="false">IF($B57=GB$12,$O57,"")</f>
        <v/>
      </c>
      <c r="GC57" s="88" t="str">
        <f aca="false">IF($B57=GC$12,$O57,"")</f>
        <v/>
      </c>
      <c r="GD57" s="88" t="str">
        <f aca="false">IF($B57=GD$12,$O57,"")</f>
        <v/>
      </c>
      <c r="GE57" s="88" t="str">
        <f aca="false">IF($B57=GE$12,$O57,"")</f>
        <v/>
      </c>
      <c r="GF57" s="88" t="str">
        <f aca="false">IF($B57=GF$12,$O57,"")</f>
        <v/>
      </c>
      <c r="GG57" s="88" t="str">
        <f aca="false">IF($B57=GG$12,$O57,"")</f>
        <v/>
      </c>
      <c r="GH57" s="88" t="str">
        <f aca="false">IF($B57=GH$12,$O57,"")</f>
        <v/>
      </c>
      <c r="GI57" s="88" t="str">
        <f aca="false">IF($B57=GI$12,$O57,"")</f>
        <v/>
      </c>
      <c r="GJ57" s="88" t="str">
        <f aca="false">IF($B57=GJ$12,$O57,"")</f>
        <v/>
      </c>
      <c r="GK57" s="88" t="str">
        <f aca="false">IF($B57=GK$12,$O57,"")</f>
        <v/>
      </c>
      <c r="GL57" s="88" t="str">
        <f aca="false">IF($B57=GL$12,$O57,"")</f>
        <v/>
      </c>
      <c r="GM57" s="88" t="str">
        <f aca="false">IF($B57=GM$12,$O57,"")</f>
        <v/>
      </c>
      <c r="GN57" s="88" t="str">
        <f aca="false">IF($B57=GN$12,$O57,"")</f>
        <v/>
      </c>
      <c r="GO57" s="88" t="str">
        <f aca="false">IF($B57=GO$12,$O57,"")</f>
        <v/>
      </c>
      <c r="GP57" s="88" t="str">
        <f aca="false">IF($B57=GP$12,$O57,"")</f>
        <v/>
      </c>
      <c r="GQ57" s="88" t="str">
        <f aca="false">IF($B57=GQ$12,$O57,"")</f>
        <v/>
      </c>
      <c r="GR57" s="88" t="str">
        <f aca="false">IF($B57=GR$12,$O57,"")</f>
        <v/>
      </c>
      <c r="GS57" s="88" t="str">
        <f aca="false">IF($B57=GS$12,$O57,"")</f>
        <v/>
      </c>
      <c r="GT57" s="88" t="str">
        <f aca="false">IF($B57=GT$12,$O57,"")</f>
        <v/>
      </c>
      <c r="GU57" s="88" t="str">
        <f aca="false">IF($B57=GU$12,$O57,"")</f>
        <v/>
      </c>
      <c r="GV57" s="88" t="str">
        <f aca="false">IF($B57=GV$12,$O57,"")</f>
        <v/>
      </c>
      <c r="GW57" s="88" t="str">
        <f aca="false">IF($B57=GW$12,$O57,"")</f>
        <v/>
      </c>
      <c r="GX57" s="88" t="str">
        <f aca="false">IF($B57=GX$12,$O57,"")</f>
        <v/>
      </c>
      <c r="GY57" s="88" t="str">
        <f aca="false">IF($B57=GY$12,$O57,"")</f>
        <v/>
      </c>
      <c r="GZ57" s="88" t="str">
        <f aca="false">IF($B57=GZ$12,$O57,"")</f>
        <v/>
      </c>
      <c r="HA57" s="88" t="str">
        <f aca="false">IF($B57=HA$12,$O57,"")</f>
        <v/>
      </c>
      <c r="HB57" s="88" t="str">
        <f aca="false">IF($B57=HB$12,$O57,"")</f>
        <v/>
      </c>
      <c r="HC57" s="88" t="str">
        <f aca="false">IF($B57=HC$12,$O57,"")</f>
        <v/>
      </c>
      <c r="HD57" s="88" t="str">
        <f aca="false">IF($B57=HD$12,$O57,"")</f>
        <v/>
      </c>
      <c r="HE57" s="88" t="str">
        <f aca="false">IF($B57=HE$12,$O57,"")</f>
        <v/>
      </c>
      <c r="HF57" s="88" t="str">
        <f aca="false">IF($B57=HF$12,$O57,"")</f>
        <v/>
      </c>
      <c r="HG57" s="88" t="str">
        <f aca="false">IF($B57=HG$12,$O57,"")</f>
        <v/>
      </c>
      <c r="HH57" s="88" t="str">
        <f aca="false">IF($B57=HH$12,$O57,"")</f>
        <v/>
      </c>
      <c r="HI57" s="88" t="str">
        <f aca="false">IF($B57=HI$12,$O57,"")</f>
        <v/>
      </c>
      <c r="HJ57" s="88" t="str">
        <f aca="false">IF($B57=HJ$12,$O57,"")</f>
        <v/>
      </c>
      <c r="HK57" s="88" t="str">
        <f aca="false">IF($B57=HK$12,$O57,"")</f>
        <v/>
      </c>
      <c r="HL57" s="88" t="str">
        <f aca="false">IF($B57=HL$12,$O57,"")</f>
        <v/>
      </c>
      <c r="HM57" s="88" t="str">
        <f aca="false">IF($B57=HM$12,$O57,"")</f>
        <v/>
      </c>
      <c r="HN57" s="88" t="str">
        <f aca="false">IF($B57=HN$12,$O57,"")</f>
        <v/>
      </c>
      <c r="HO57" s="88" t="str">
        <f aca="false">IF($B57=HO$12,$O57,"")</f>
        <v/>
      </c>
      <c r="HP57" s="88" t="str">
        <f aca="false">IF($B57=HP$12,$O57,"")</f>
        <v/>
      </c>
      <c r="HQ57" s="88" t="str">
        <f aca="false">IF($B57=HQ$12,$O57,"")</f>
        <v/>
      </c>
      <c r="HR57" s="89" t="str">
        <f aca="false">IF($B57=HR$12,$O57,"")</f>
        <v/>
      </c>
    </row>
    <row r="58" customFormat="false" ht="10.5" hidden="false" customHeight="true" outlineLevel="0" collapsed="false">
      <c r="A58" s="73"/>
      <c r="B58" s="74"/>
      <c r="C58" s="75" t="str">
        <f aca="false">IF(A58=0,"",VLOOKUP(A58,[3]CO!$A$3:$F$5311,2,0))</f>
        <v/>
      </c>
      <c r="D58" s="76"/>
      <c r="E58" s="76"/>
      <c r="F58" s="76"/>
      <c r="G58" s="77" t="str">
        <f aca="false">IF(A58=0,"",VLOOKUP(A58,[3]CO!$A$3:$F$5311,3,0))</f>
        <v/>
      </c>
      <c r="H58" s="76"/>
      <c r="I58" s="78"/>
      <c r="J58" s="78"/>
      <c r="K58" s="78"/>
      <c r="L58" s="78"/>
      <c r="M58" s="79" t="str">
        <f aca="false">IF(L58=0,"",PRODUCT(I58:L58))</f>
        <v/>
      </c>
      <c r="N58" s="79" t="str">
        <f aca="false">IF(B58=0,"",IF(H58="M",HLOOKUP(B58,$Y$12:$DT$13,2),IF(A58=0,"",VLOOKUP(A58,[3]CO!$A$3:$F$5311,4,0))))</f>
        <v/>
      </c>
      <c r="O58" s="79" t="str">
        <f aca="false">IF(L58=0,"",PRODUCT(M58:N58))</f>
        <v/>
      </c>
      <c r="P58" s="80"/>
      <c r="Q58" s="81" t="str">
        <f aca="false">IF(P58=0,"",(HLOOKUP(P58,$DW$12:$HR$13,2)))</f>
        <v/>
      </c>
      <c r="R58" s="82" t="str">
        <f aca="false">IF(S58=0,"",IF(OR(G58="PEON",G58="OF",G58="JARD",G58="CARP",G58="MAESTRO",G58="SOLD",G58="BGRO",G58="CHOFER",G58="AYTE",G58="S.INTTE.",G58="ASEO",G58="P.PISOS",G58="VELADOR",G58="RESID",G58="PINTOR",G58="ELECT",G58="AZULE",G58="AUX CONT.",G58="SECRETARIA",G58="AUXILIAR ADMTVO.",G58="ARQUITECTO",G58="DIBUJANTE",G58="AUX. DE RESIDENTE"),VLOOKUP(B58,P$14:Q$131,2),"")*S58)</f>
        <v/>
      </c>
      <c r="S58" s="5"/>
      <c r="T58" s="65" t="str">
        <f aca="false">IF(A58=0,"",VLOOKUP(A58,[3]CO!$A$3:$F$5302,5,0))</f>
        <v/>
      </c>
      <c r="U58" s="55" t="n">
        <f aca="false">IF(T58=1,O58*0.1,)</f>
        <v>0</v>
      </c>
      <c r="V58" s="66"/>
      <c r="W58" s="83"/>
      <c r="X58" s="83"/>
      <c r="Y58" s="84" t="str">
        <f aca="false">IF($B58=Y$12,$U58,"")</f>
        <v/>
      </c>
      <c r="Z58" s="85" t="str">
        <f aca="false">IF($B58=Z$12,$U58,"")</f>
        <v/>
      </c>
      <c r="AA58" s="85" t="str">
        <f aca="false">IF($B58=AA$12,$U58,"")</f>
        <v/>
      </c>
      <c r="AB58" s="85" t="str">
        <f aca="false">IF($B58=AB$12,$U58,"")</f>
        <v/>
      </c>
      <c r="AC58" s="85" t="str">
        <f aca="false">IF($B58=AC$12,$U58,"")</f>
        <v/>
      </c>
      <c r="AD58" s="85" t="str">
        <f aca="false">IF($B58=AD$12,$U58,"")</f>
        <v/>
      </c>
      <c r="AE58" s="85" t="str">
        <f aca="false">IF($B58=AE$12,$U58,"")</f>
        <v/>
      </c>
      <c r="AF58" s="85" t="str">
        <f aca="false">IF($B58=AF$12,$U58,"")</f>
        <v/>
      </c>
      <c r="AG58" s="85" t="str">
        <f aca="false">IF($B58=AG$12,$U58,"")</f>
        <v/>
      </c>
      <c r="AH58" s="85" t="str">
        <f aca="false">IF($B58=AH$12,$U58,"")</f>
        <v/>
      </c>
      <c r="AI58" s="85" t="str">
        <f aca="false">IF($B58=AI$12,$U58,"")</f>
        <v/>
      </c>
      <c r="AJ58" s="85" t="str">
        <f aca="false">IF($B58=AJ$12,$U58,"")</f>
        <v/>
      </c>
      <c r="AK58" s="85" t="str">
        <f aca="false">IF($B58=AK$12,$U58,"")</f>
        <v/>
      </c>
      <c r="AL58" s="85" t="str">
        <f aca="false">IF($B58=AL$12,$U58,"")</f>
        <v/>
      </c>
      <c r="AM58" s="85" t="str">
        <f aca="false">IF($B58=AM$12,$U58,"")</f>
        <v/>
      </c>
      <c r="AN58" s="85" t="str">
        <f aca="false">IF($B58=AN$12,$U58,"")</f>
        <v/>
      </c>
      <c r="AO58" s="85" t="str">
        <f aca="false">IF($B58=AO$12,$U58,"")</f>
        <v/>
      </c>
      <c r="AP58" s="85" t="str">
        <f aca="false">IF($B58=AP$12,$U58,"")</f>
        <v/>
      </c>
      <c r="AQ58" s="85" t="str">
        <f aca="false">IF($B58=AQ$12,$U58,"")</f>
        <v/>
      </c>
      <c r="AR58" s="85" t="str">
        <f aca="false">IF($B58=AR$12,$U58,"")</f>
        <v/>
      </c>
      <c r="AS58" s="85" t="str">
        <f aca="false">IF($B58=AS$12,$U58,"")</f>
        <v/>
      </c>
      <c r="AT58" s="85" t="str">
        <f aca="false">IF($B58=AT$12,$U58,"")</f>
        <v/>
      </c>
      <c r="AU58" s="85" t="str">
        <f aca="false">IF($B58=AU$12,$U58,"")</f>
        <v/>
      </c>
      <c r="AV58" s="85" t="str">
        <f aca="false">IF($B58=AV$12,$U58,"")</f>
        <v/>
      </c>
      <c r="AW58" s="85" t="str">
        <f aca="false">IF($B58=AW$12,$U58,"")</f>
        <v/>
      </c>
      <c r="AX58" s="85" t="str">
        <f aca="false">IF($B58=AX$12,$U58,"")</f>
        <v/>
      </c>
      <c r="AY58" s="85" t="str">
        <f aca="false">IF($B58=AY$12,$U58,"")</f>
        <v/>
      </c>
      <c r="AZ58" s="85" t="str">
        <f aca="false">IF($B58=AZ$12,$U58,"")</f>
        <v/>
      </c>
      <c r="BA58" s="85" t="str">
        <f aca="false">IF($B58=BA$12,$U58,"")</f>
        <v/>
      </c>
      <c r="BB58" s="85" t="str">
        <f aca="false">IF($B58=BB$12,$U58,"")</f>
        <v/>
      </c>
      <c r="BC58" s="85" t="str">
        <f aca="false">IF($B58=BC$12,$U58,"")</f>
        <v/>
      </c>
      <c r="BD58" s="85" t="str">
        <f aca="false">IF($B58=BD$12,$U58,"")</f>
        <v/>
      </c>
      <c r="BE58" s="85" t="str">
        <f aca="false">IF($B58=BE$12,$U58,"")</f>
        <v/>
      </c>
      <c r="BF58" s="85" t="str">
        <f aca="false">IF($B58=BF$12,$U58,"")</f>
        <v/>
      </c>
      <c r="BG58" s="85" t="str">
        <f aca="false">IF($B58=BG$12,$U58,"")</f>
        <v/>
      </c>
      <c r="BH58" s="85" t="str">
        <f aca="false">IF($B58=BH$12,$U58,"")</f>
        <v/>
      </c>
      <c r="BI58" s="85" t="str">
        <f aca="false">IF($B58=BI$12,$U58,"")</f>
        <v/>
      </c>
      <c r="BJ58" s="85" t="str">
        <f aca="false">IF($B58=BJ$12,$U58,"")</f>
        <v/>
      </c>
      <c r="BK58" s="85" t="str">
        <f aca="false">IF($B58=BK$12,$U58,"")</f>
        <v/>
      </c>
      <c r="BL58" s="85" t="str">
        <f aca="false">IF($B58=BL$12,$U58,"")</f>
        <v/>
      </c>
      <c r="BM58" s="85" t="str">
        <f aca="false">IF($B58=BM$12,$U58,"")</f>
        <v/>
      </c>
      <c r="BN58" s="85" t="str">
        <f aca="false">IF($B58=BN$12,$U58,"")</f>
        <v/>
      </c>
      <c r="BO58" s="85" t="str">
        <f aca="false">IF($B58=BO$12,$U58,"")</f>
        <v/>
      </c>
      <c r="BP58" s="85" t="str">
        <f aca="false">IF($B58=BP$12,$U58,"")</f>
        <v/>
      </c>
      <c r="BQ58" s="85" t="str">
        <f aca="false">IF($B58=BQ$12,$U58,"")</f>
        <v/>
      </c>
      <c r="BR58" s="85" t="str">
        <f aca="false">IF($B58=BR$12,$U58,"")</f>
        <v/>
      </c>
      <c r="BS58" s="85" t="str">
        <f aca="false">IF($B58=BS$12,$U58,"")</f>
        <v/>
      </c>
      <c r="BT58" s="85" t="str">
        <f aca="false">IF($B58=BT$12,$U58,"")</f>
        <v/>
      </c>
      <c r="BU58" s="85" t="str">
        <f aca="false">IF($B58=BU$12,$U58,"")</f>
        <v/>
      </c>
      <c r="BV58" s="85" t="str">
        <f aca="false">IF($B58=BV$12,$U58,"")</f>
        <v/>
      </c>
      <c r="BW58" s="85" t="str">
        <f aca="false">IF($B58=BW$12,$U58,"")</f>
        <v/>
      </c>
      <c r="BX58" s="85" t="str">
        <f aca="false">IF($B58=BX$12,$U58,"")</f>
        <v/>
      </c>
      <c r="BY58" s="85" t="str">
        <f aca="false">IF($B58=BY$12,$U58,"")</f>
        <v/>
      </c>
      <c r="BZ58" s="85" t="str">
        <f aca="false">IF($B58=BZ$12,$U58,"")</f>
        <v/>
      </c>
      <c r="CA58" s="85" t="str">
        <f aca="false">IF($B58=CA$12,$U58,"")</f>
        <v/>
      </c>
      <c r="CB58" s="85" t="str">
        <f aca="false">IF($B58=CB$12,$U58,"")</f>
        <v/>
      </c>
      <c r="CC58" s="85" t="str">
        <f aca="false">IF($B58=CC$12,$U58,"")</f>
        <v/>
      </c>
      <c r="CD58" s="85" t="str">
        <f aca="false">IF($B58=CD$12,$U58,"")</f>
        <v/>
      </c>
      <c r="CE58" s="85" t="str">
        <f aca="false">IF($B58=CE$12,$U58,"")</f>
        <v/>
      </c>
      <c r="CF58" s="85" t="str">
        <f aca="false">IF($B58=CF$12,$U58,"")</f>
        <v/>
      </c>
      <c r="CG58" s="85" t="str">
        <f aca="false">IF($B58=CG$12,$U58,"")</f>
        <v/>
      </c>
      <c r="CH58" s="85" t="str">
        <f aca="false">IF($B58=CH$12,$U58,"")</f>
        <v/>
      </c>
      <c r="CI58" s="85" t="str">
        <f aca="false">IF($B58=CI$12,$U58,"")</f>
        <v/>
      </c>
      <c r="CJ58" s="85" t="str">
        <f aca="false">IF($B58=CJ$12,$U58,"")</f>
        <v/>
      </c>
      <c r="CK58" s="85" t="str">
        <f aca="false">IF($B58=CK$12,$U58,"")</f>
        <v/>
      </c>
      <c r="CL58" s="85" t="str">
        <f aca="false">IF($B58=CL$12,$U58,"")</f>
        <v/>
      </c>
      <c r="CM58" s="85" t="str">
        <f aca="false">IF($B58=CM$12,$U58,"")</f>
        <v/>
      </c>
      <c r="CN58" s="85" t="str">
        <f aca="false">IF($B58=CN$12,$U58,"")</f>
        <v/>
      </c>
      <c r="CO58" s="85" t="str">
        <f aca="false">IF($B58=CO$12,$U58,"")</f>
        <v/>
      </c>
      <c r="CP58" s="85" t="str">
        <f aca="false">IF($B58=CP$12,$U58,"")</f>
        <v/>
      </c>
      <c r="CQ58" s="85" t="str">
        <f aca="false">IF($B58=CQ$12,$U58,"")</f>
        <v/>
      </c>
      <c r="CR58" s="85" t="str">
        <f aca="false">IF($B58=CR$12,$U58,"")</f>
        <v/>
      </c>
      <c r="CS58" s="85" t="str">
        <f aca="false">IF($B58=CS$12,$U58,"")</f>
        <v/>
      </c>
      <c r="CT58" s="85" t="str">
        <f aca="false">IF($B58=CT$12,$U58,"")</f>
        <v/>
      </c>
      <c r="CU58" s="85" t="str">
        <f aca="false">IF($B58=CU$12,$U58,"")</f>
        <v/>
      </c>
      <c r="CV58" s="85" t="str">
        <f aca="false">IF($B58=CV$12,$U58,"")</f>
        <v/>
      </c>
      <c r="CW58" s="85" t="str">
        <f aca="false">IF($B58=CW$12,$U58,"")</f>
        <v/>
      </c>
      <c r="CX58" s="85" t="str">
        <f aca="false">IF($B58=CX$12,$U58,"")</f>
        <v/>
      </c>
      <c r="CY58" s="85" t="str">
        <f aca="false">IF($B58=CY$12,$U58,"")</f>
        <v/>
      </c>
      <c r="CZ58" s="85" t="str">
        <f aca="false">IF($B58=CZ$12,$U58,"")</f>
        <v/>
      </c>
      <c r="DA58" s="85" t="str">
        <f aca="false">IF($B58=DA$12,$U58,"")</f>
        <v/>
      </c>
      <c r="DB58" s="85" t="str">
        <f aca="false">IF($B58=DB$12,$U58,"")</f>
        <v/>
      </c>
      <c r="DC58" s="85" t="str">
        <f aca="false">IF($B58=DC$12,$U58,"")</f>
        <v/>
      </c>
      <c r="DD58" s="85" t="str">
        <f aca="false">IF($B58=DD$12,$U58,"")</f>
        <v/>
      </c>
      <c r="DE58" s="85" t="str">
        <f aca="false">IF($B58=DE$12,$U58,"")</f>
        <v/>
      </c>
      <c r="DF58" s="85" t="str">
        <f aca="false">IF($B58=DF$12,$U58,"")</f>
        <v/>
      </c>
      <c r="DG58" s="85" t="str">
        <f aca="false">IF($B58=DG$12,$U58,"")</f>
        <v/>
      </c>
      <c r="DH58" s="85" t="str">
        <f aca="false">IF($B58=DH$12,$U58,"")</f>
        <v/>
      </c>
      <c r="DI58" s="85" t="str">
        <f aca="false">IF($B58=DI$12,$U58,"")</f>
        <v/>
      </c>
      <c r="DJ58" s="85" t="str">
        <f aca="false">IF($B58=DJ$12,$U58,"")</f>
        <v/>
      </c>
      <c r="DK58" s="85" t="str">
        <f aca="false">IF($B58=DK$12,$U58,"")</f>
        <v/>
      </c>
      <c r="DL58" s="85" t="str">
        <f aca="false">IF($B58=DL$12,$U58,"")</f>
        <v/>
      </c>
      <c r="DM58" s="85" t="str">
        <f aca="false">IF($B58=DM$12,$U58,"")</f>
        <v/>
      </c>
      <c r="DN58" s="85" t="str">
        <f aca="false">IF($B58=DN$12,$U58,"")</f>
        <v/>
      </c>
      <c r="DO58" s="85" t="str">
        <f aca="false">IF($B58=DO$12,$U58,"")</f>
        <v/>
      </c>
      <c r="DP58" s="85" t="str">
        <f aca="false">IF($B58=DP$12,$U58,"")</f>
        <v/>
      </c>
      <c r="DQ58" s="85" t="str">
        <f aca="false">IF($B58=DQ$12,$U58,"")</f>
        <v/>
      </c>
      <c r="DR58" s="85" t="str">
        <f aca="false">IF($B58=DR$12,$U58,"")</f>
        <v/>
      </c>
      <c r="DS58" s="85" t="str">
        <f aca="false">IF($B58=DS$12,$U58,"")</f>
        <v/>
      </c>
      <c r="DT58" s="86" t="str">
        <f aca="false">IF($B58=DT$12,$U58,"")</f>
        <v/>
      </c>
      <c r="DU58" s="55"/>
      <c r="DV58" s="83"/>
      <c r="DW58" s="87" t="str">
        <f aca="false">IF($B58=DW$12,$O58,"")</f>
        <v/>
      </c>
      <c r="DX58" s="88" t="str">
        <f aca="false">IF($B58=DX$12,$O58,"")</f>
        <v/>
      </c>
      <c r="DY58" s="88" t="str">
        <f aca="false">IF($B58=DY$12,$O58,"")</f>
        <v/>
      </c>
      <c r="DZ58" s="88" t="str">
        <f aca="false">IF($B58=DZ$12,$O58,"")</f>
        <v/>
      </c>
      <c r="EA58" s="88" t="str">
        <f aca="false">IF($B58=EA$12,$O58,"")</f>
        <v/>
      </c>
      <c r="EB58" s="88" t="str">
        <f aca="false">IF($B58=EB$12,$O58,"")</f>
        <v/>
      </c>
      <c r="EC58" s="88" t="str">
        <f aca="false">IF($B58=EC$12,$O58,"")</f>
        <v/>
      </c>
      <c r="ED58" s="88" t="str">
        <f aca="false">IF($B58=ED$12,$O58,"")</f>
        <v/>
      </c>
      <c r="EE58" s="88" t="str">
        <f aca="false">IF($B58=EE$12,$O58,"")</f>
        <v/>
      </c>
      <c r="EF58" s="88" t="str">
        <f aca="false">IF($B58=EF$12,$O58,"")</f>
        <v/>
      </c>
      <c r="EG58" s="88" t="str">
        <f aca="false">IF($B58=EG$12,$O58,"")</f>
        <v/>
      </c>
      <c r="EH58" s="88" t="str">
        <f aca="false">IF($B58=EH$12,$O58,"")</f>
        <v/>
      </c>
      <c r="EI58" s="88" t="str">
        <f aca="false">IF($B58=EI$12,$O58,"")</f>
        <v/>
      </c>
      <c r="EJ58" s="88" t="str">
        <f aca="false">IF($B58=EJ$12,$O58,"")</f>
        <v/>
      </c>
      <c r="EK58" s="88" t="str">
        <f aca="false">IF($B58=EK$12,$O58,"")</f>
        <v/>
      </c>
      <c r="EL58" s="88" t="str">
        <f aca="false">IF($B58=EL$12,$O58,"")</f>
        <v/>
      </c>
      <c r="EM58" s="88" t="str">
        <f aca="false">IF($B58=EM$12,$O58,"")</f>
        <v/>
      </c>
      <c r="EN58" s="88" t="str">
        <f aca="false">IF($B58=EN$12,$O58,"")</f>
        <v/>
      </c>
      <c r="EO58" s="88" t="str">
        <f aca="false">IF($B58=EO$12,$O58,"")</f>
        <v/>
      </c>
      <c r="EP58" s="88" t="str">
        <f aca="false">IF($B58=EP$12,$O58,"")</f>
        <v/>
      </c>
      <c r="EQ58" s="88" t="str">
        <f aca="false">IF($B58=EQ$12,$O58,"")</f>
        <v/>
      </c>
      <c r="ER58" s="88" t="str">
        <f aca="false">IF($B58=ER$12,$O58,"")</f>
        <v/>
      </c>
      <c r="ES58" s="88" t="str">
        <f aca="false">IF($B58=ES$12,$O58,"")</f>
        <v/>
      </c>
      <c r="ET58" s="88" t="str">
        <f aca="false">IF($B58=ET$12,$O58,"")</f>
        <v/>
      </c>
      <c r="EU58" s="88" t="str">
        <f aca="false">IF($B58=EU$12,$O58,"")</f>
        <v/>
      </c>
      <c r="EV58" s="88" t="str">
        <f aca="false">IF($B58=EV$12,$O58,"")</f>
        <v/>
      </c>
      <c r="EW58" s="88" t="str">
        <f aca="false">IF($B58=EW$12,$O58,"")</f>
        <v/>
      </c>
      <c r="EX58" s="88" t="str">
        <f aca="false">IF($B58=EX$12,$O58,"")</f>
        <v/>
      </c>
      <c r="EY58" s="88" t="str">
        <f aca="false">IF($B58=EY$12,$O58,"")</f>
        <v/>
      </c>
      <c r="EZ58" s="88" t="str">
        <f aca="false">IF($B58=EZ$12,$O58,"")</f>
        <v/>
      </c>
      <c r="FA58" s="88" t="str">
        <f aca="false">IF($B58=FA$12,$O58,"")</f>
        <v/>
      </c>
      <c r="FB58" s="88" t="str">
        <f aca="false">IF($B58=FB$12,$O58,"")</f>
        <v/>
      </c>
      <c r="FC58" s="88" t="str">
        <f aca="false">IF($B58=FC$12,$O58,"")</f>
        <v/>
      </c>
      <c r="FD58" s="88" t="str">
        <f aca="false">IF($B58=FD$12,$O58,"")</f>
        <v/>
      </c>
      <c r="FE58" s="88" t="str">
        <f aca="false">IF($B58=FE$12,$O58,"")</f>
        <v/>
      </c>
      <c r="FF58" s="88" t="str">
        <f aca="false">IF($B58=FF$12,$O58,"")</f>
        <v/>
      </c>
      <c r="FG58" s="88" t="str">
        <f aca="false">IF($B58=FG$12,$O58,"")</f>
        <v/>
      </c>
      <c r="FH58" s="88" t="str">
        <f aca="false">IF($B58=FH$12,$O58,"")</f>
        <v/>
      </c>
      <c r="FI58" s="88" t="str">
        <f aca="false">IF($B58=FI$12,$O58,"")</f>
        <v/>
      </c>
      <c r="FJ58" s="88" t="str">
        <f aca="false">IF($B58=FJ$12,$O58,"")</f>
        <v/>
      </c>
      <c r="FK58" s="88" t="str">
        <f aca="false">IF($B58=FK$12,$O58,"")</f>
        <v/>
      </c>
      <c r="FL58" s="88" t="str">
        <f aca="false">IF($B58=FL$12,$O58,"")</f>
        <v/>
      </c>
      <c r="FM58" s="88" t="str">
        <f aca="false">IF($B58=FM$12,$O58,"")</f>
        <v/>
      </c>
      <c r="FN58" s="88" t="str">
        <f aca="false">IF($B58=FN$12,$O58,"")</f>
        <v/>
      </c>
      <c r="FO58" s="88" t="str">
        <f aca="false">IF($B58=FO$12,$O58,"")</f>
        <v/>
      </c>
      <c r="FP58" s="88" t="str">
        <f aca="false">IF($B58=FP$12,$O58,"")</f>
        <v/>
      </c>
      <c r="FQ58" s="88" t="str">
        <f aca="false">IF($B58=FQ$12,$O58,"")</f>
        <v/>
      </c>
      <c r="FR58" s="88" t="str">
        <f aca="false">IF($B58=FR$12,$O58,"")</f>
        <v/>
      </c>
      <c r="FS58" s="88" t="str">
        <f aca="false">IF($B58=FS$12,$O58,"")</f>
        <v/>
      </c>
      <c r="FT58" s="88" t="str">
        <f aca="false">IF($B58=FT$12,$O58,"")</f>
        <v/>
      </c>
      <c r="FU58" s="88" t="str">
        <f aca="false">IF($B58=FU$12,$O58,"")</f>
        <v/>
      </c>
      <c r="FV58" s="88" t="str">
        <f aca="false">IF($B58=FV$12,$O58,"")</f>
        <v/>
      </c>
      <c r="FW58" s="88" t="str">
        <f aca="false">IF($B58=FW$12,$O58,"")</f>
        <v/>
      </c>
      <c r="FX58" s="88" t="str">
        <f aca="false">IF($B58=FX$12,$O58,"")</f>
        <v/>
      </c>
      <c r="FY58" s="88" t="str">
        <f aca="false">IF($B58=FY$12,$O58,"")</f>
        <v/>
      </c>
      <c r="FZ58" s="88" t="str">
        <f aca="false">IF($B58=FZ$12,$O58,"")</f>
        <v/>
      </c>
      <c r="GA58" s="88" t="str">
        <f aca="false">IF($B58=GA$12,$O58,"")</f>
        <v/>
      </c>
      <c r="GB58" s="88" t="str">
        <f aca="false">IF($B58=GB$12,$O58,"")</f>
        <v/>
      </c>
      <c r="GC58" s="88" t="str">
        <f aca="false">IF($B58=GC$12,$O58,"")</f>
        <v/>
      </c>
      <c r="GD58" s="88" t="str">
        <f aca="false">IF($B58=GD$12,$O58,"")</f>
        <v/>
      </c>
      <c r="GE58" s="88" t="str">
        <f aca="false">IF($B58=GE$12,$O58,"")</f>
        <v/>
      </c>
      <c r="GF58" s="88" t="str">
        <f aca="false">IF($B58=GF$12,$O58,"")</f>
        <v/>
      </c>
      <c r="GG58" s="88" t="str">
        <f aca="false">IF($B58=GG$12,$O58,"")</f>
        <v/>
      </c>
      <c r="GH58" s="88" t="str">
        <f aca="false">IF($B58=GH$12,$O58,"")</f>
        <v/>
      </c>
      <c r="GI58" s="88" t="str">
        <f aca="false">IF($B58=GI$12,$O58,"")</f>
        <v/>
      </c>
      <c r="GJ58" s="88" t="str">
        <f aca="false">IF($B58=GJ$12,$O58,"")</f>
        <v/>
      </c>
      <c r="GK58" s="88" t="str">
        <f aca="false">IF($B58=GK$12,$O58,"")</f>
        <v/>
      </c>
      <c r="GL58" s="88" t="str">
        <f aca="false">IF($B58=GL$12,$O58,"")</f>
        <v/>
      </c>
      <c r="GM58" s="88" t="str">
        <f aca="false">IF($B58=GM$12,$O58,"")</f>
        <v/>
      </c>
      <c r="GN58" s="88" t="str">
        <f aca="false">IF($B58=GN$12,$O58,"")</f>
        <v/>
      </c>
      <c r="GO58" s="88" t="str">
        <f aca="false">IF($B58=GO$12,$O58,"")</f>
        <v/>
      </c>
      <c r="GP58" s="88" t="str">
        <f aca="false">IF($B58=GP$12,$O58,"")</f>
        <v/>
      </c>
      <c r="GQ58" s="88" t="str">
        <f aca="false">IF($B58=GQ$12,$O58,"")</f>
        <v/>
      </c>
      <c r="GR58" s="88" t="str">
        <f aca="false">IF($B58=GR$12,$O58,"")</f>
        <v/>
      </c>
      <c r="GS58" s="88" t="str">
        <f aca="false">IF($B58=GS$12,$O58,"")</f>
        <v/>
      </c>
      <c r="GT58" s="88" t="str">
        <f aca="false">IF($B58=GT$12,$O58,"")</f>
        <v/>
      </c>
      <c r="GU58" s="88" t="str">
        <f aca="false">IF($B58=GU$12,$O58,"")</f>
        <v/>
      </c>
      <c r="GV58" s="88" t="str">
        <f aca="false">IF($B58=GV$12,$O58,"")</f>
        <v/>
      </c>
      <c r="GW58" s="88" t="str">
        <f aca="false">IF($B58=GW$12,$O58,"")</f>
        <v/>
      </c>
      <c r="GX58" s="88" t="str">
        <f aca="false">IF($B58=GX$12,$O58,"")</f>
        <v/>
      </c>
      <c r="GY58" s="88" t="str">
        <f aca="false">IF($B58=GY$12,$O58,"")</f>
        <v/>
      </c>
      <c r="GZ58" s="88" t="str">
        <f aca="false">IF($B58=GZ$12,$O58,"")</f>
        <v/>
      </c>
      <c r="HA58" s="88" t="str">
        <f aca="false">IF($B58=HA$12,$O58,"")</f>
        <v/>
      </c>
      <c r="HB58" s="88" t="str">
        <f aca="false">IF($B58=HB$12,$O58,"")</f>
        <v/>
      </c>
      <c r="HC58" s="88" t="str">
        <f aca="false">IF($B58=HC$12,$O58,"")</f>
        <v/>
      </c>
      <c r="HD58" s="88" t="str">
        <f aca="false">IF($B58=HD$12,$O58,"")</f>
        <v/>
      </c>
      <c r="HE58" s="88" t="str">
        <f aca="false">IF($B58=HE$12,$O58,"")</f>
        <v/>
      </c>
      <c r="HF58" s="88" t="str">
        <f aca="false">IF($B58=HF$12,$O58,"")</f>
        <v/>
      </c>
      <c r="HG58" s="88" t="str">
        <f aca="false">IF($B58=HG$12,$O58,"")</f>
        <v/>
      </c>
      <c r="HH58" s="88" t="str">
        <f aca="false">IF($B58=HH$12,$O58,"")</f>
        <v/>
      </c>
      <c r="HI58" s="88" t="str">
        <f aca="false">IF($B58=HI$12,$O58,"")</f>
        <v/>
      </c>
      <c r="HJ58" s="88" t="str">
        <f aca="false">IF($B58=HJ$12,$O58,"")</f>
        <v/>
      </c>
      <c r="HK58" s="88" t="str">
        <f aca="false">IF($B58=HK$12,$O58,"")</f>
        <v/>
      </c>
      <c r="HL58" s="88" t="str">
        <f aca="false">IF($B58=HL$12,$O58,"")</f>
        <v/>
      </c>
      <c r="HM58" s="88" t="str">
        <f aca="false">IF($B58=HM$12,$O58,"")</f>
        <v/>
      </c>
      <c r="HN58" s="88" t="str">
        <f aca="false">IF($B58=HN$12,$O58,"")</f>
        <v/>
      </c>
      <c r="HO58" s="88" t="str">
        <f aca="false">IF($B58=HO$12,$O58,"")</f>
        <v/>
      </c>
      <c r="HP58" s="88" t="str">
        <f aca="false">IF($B58=HP$12,$O58,"")</f>
        <v/>
      </c>
      <c r="HQ58" s="88" t="str">
        <f aca="false">IF($B58=HQ$12,$O58,"")</f>
        <v/>
      </c>
      <c r="HR58" s="89" t="str">
        <f aca="false">IF($B58=HR$12,$O58,"")</f>
        <v/>
      </c>
    </row>
    <row r="59" customFormat="false" ht="10.5" hidden="false" customHeight="true" outlineLevel="0" collapsed="false">
      <c r="A59" s="73"/>
      <c r="B59" s="74"/>
      <c r="C59" s="75" t="str">
        <f aca="false">IF(A59=0,"",VLOOKUP(A59,[3]CO!$A$3:$F$5311,2,0))</f>
        <v/>
      </c>
      <c r="D59" s="76"/>
      <c r="E59" s="76"/>
      <c r="F59" s="76"/>
      <c r="G59" s="77" t="str">
        <f aca="false">IF(A59=0,"",VLOOKUP(A59,[3]CO!$A$3:$F$5311,3,0))</f>
        <v/>
      </c>
      <c r="H59" s="76"/>
      <c r="I59" s="78"/>
      <c r="J59" s="78"/>
      <c r="K59" s="78"/>
      <c r="L59" s="78"/>
      <c r="M59" s="79" t="str">
        <f aca="false">IF(L59=0,"",PRODUCT(I59:L59))</f>
        <v/>
      </c>
      <c r="N59" s="79" t="str">
        <f aca="false">IF(B59=0,"",IF(H59="M",HLOOKUP(B59,$Y$12:$DT$13,2),IF(A59=0,"",VLOOKUP(A59,[3]CO!$A$3:$F$5311,4,0))))</f>
        <v/>
      </c>
      <c r="O59" s="79" t="str">
        <f aca="false">IF(L59=0,"",PRODUCT(M59:N59))</f>
        <v/>
      </c>
      <c r="P59" s="80"/>
      <c r="Q59" s="81" t="str">
        <f aca="false">IF(P59=0,"",(HLOOKUP(P59,$DW$12:$HR$13,2)))</f>
        <v/>
      </c>
      <c r="R59" s="82" t="str">
        <f aca="false">IF(S59=0,"",IF(OR(G59="PEON",G59="OF",G59="JARD",G59="CARP",G59="MAESTRO",G59="SOLD",G59="BGRO",G59="CHOFER",G59="AYTE",G59="S.INTTE.",G59="ASEO",G59="P.PISOS",G59="VELADOR",G59="RESID",G59="PINTOR",G59="ELECT",G59="AZULE",G59="AUX CONT.",G59="SECRETARIA",G59="AUXILIAR ADMTVO.",G59="ARQUITECTO",G59="DIBUJANTE",G59="AUX. DE RESIDENTE"),VLOOKUP(B59,P$14:Q$131,2),"")*S59)</f>
        <v/>
      </c>
      <c r="S59" s="5"/>
      <c r="T59" s="65" t="str">
        <f aca="false">IF(A59=0,"",VLOOKUP(A59,[3]CO!$A$3:$F$5302,5,0))</f>
        <v/>
      </c>
      <c r="U59" s="55" t="n">
        <f aca="false">IF(T59=1,O59*0.1,)</f>
        <v>0</v>
      </c>
      <c r="V59" s="66"/>
      <c r="W59" s="83"/>
      <c r="X59" s="83"/>
      <c r="Y59" s="84" t="str">
        <f aca="false">IF($B59=Y$12,$U59,"")</f>
        <v/>
      </c>
      <c r="Z59" s="85" t="str">
        <f aca="false">IF($B59=Z$12,$U59,"")</f>
        <v/>
      </c>
      <c r="AA59" s="85" t="str">
        <f aca="false">IF($B59=AA$12,$U59,"")</f>
        <v/>
      </c>
      <c r="AB59" s="85" t="str">
        <f aca="false">IF($B59=AB$12,$U59,"")</f>
        <v/>
      </c>
      <c r="AC59" s="85" t="str">
        <f aca="false">IF($B59=AC$12,$U59,"")</f>
        <v/>
      </c>
      <c r="AD59" s="85" t="str">
        <f aca="false">IF($B59=AD$12,$U59,"")</f>
        <v/>
      </c>
      <c r="AE59" s="85" t="str">
        <f aca="false">IF($B59=AE$12,$U59,"")</f>
        <v/>
      </c>
      <c r="AF59" s="85" t="str">
        <f aca="false">IF($B59=AF$12,$U59,"")</f>
        <v/>
      </c>
      <c r="AG59" s="85" t="str">
        <f aca="false">IF($B59=AG$12,$U59,"")</f>
        <v/>
      </c>
      <c r="AH59" s="85" t="str">
        <f aca="false">IF($B59=AH$12,$U59,"")</f>
        <v/>
      </c>
      <c r="AI59" s="85" t="str">
        <f aca="false">IF($B59=AI$12,$U59,"")</f>
        <v/>
      </c>
      <c r="AJ59" s="85" t="str">
        <f aca="false">IF($B59=AJ$12,$U59,"")</f>
        <v/>
      </c>
      <c r="AK59" s="85" t="str">
        <f aca="false">IF($B59=AK$12,$U59,"")</f>
        <v/>
      </c>
      <c r="AL59" s="85" t="str">
        <f aca="false">IF($B59=AL$12,$U59,"")</f>
        <v/>
      </c>
      <c r="AM59" s="85" t="str">
        <f aca="false">IF($B59=AM$12,$U59,"")</f>
        <v/>
      </c>
      <c r="AN59" s="85" t="str">
        <f aca="false">IF($B59=AN$12,$U59,"")</f>
        <v/>
      </c>
      <c r="AO59" s="85" t="str">
        <f aca="false">IF($B59=AO$12,$U59,"")</f>
        <v/>
      </c>
      <c r="AP59" s="85" t="str">
        <f aca="false">IF($B59=AP$12,$U59,"")</f>
        <v/>
      </c>
      <c r="AQ59" s="85" t="str">
        <f aca="false">IF($B59=AQ$12,$U59,"")</f>
        <v/>
      </c>
      <c r="AR59" s="85" t="str">
        <f aca="false">IF($B59=AR$12,$U59,"")</f>
        <v/>
      </c>
      <c r="AS59" s="85" t="str">
        <f aca="false">IF($B59=AS$12,$U59,"")</f>
        <v/>
      </c>
      <c r="AT59" s="85" t="str">
        <f aca="false">IF($B59=AT$12,$U59,"")</f>
        <v/>
      </c>
      <c r="AU59" s="85" t="str">
        <f aca="false">IF($B59=AU$12,$U59,"")</f>
        <v/>
      </c>
      <c r="AV59" s="85" t="str">
        <f aca="false">IF($B59=AV$12,$U59,"")</f>
        <v/>
      </c>
      <c r="AW59" s="85" t="str">
        <f aca="false">IF($B59=AW$12,$U59,"")</f>
        <v/>
      </c>
      <c r="AX59" s="85" t="str">
        <f aca="false">IF($B59=AX$12,$U59,"")</f>
        <v/>
      </c>
      <c r="AY59" s="85" t="str">
        <f aca="false">IF($B59=AY$12,$U59,"")</f>
        <v/>
      </c>
      <c r="AZ59" s="85" t="str">
        <f aca="false">IF($B59=AZ$12,$U59,"")</f>
        <v/>
      </c>
      <c r="BA59" s="85" t="str">
        <f aca="false">IF($B59=BA$12,$U59,"")</f>
        <v/>
      </c>
      <c r="BB59" s="85" t="str">
        <f aca="false">IF($B59=BB$12,$U59,"")</f>
        <v/>
      </c>
      <c r="BC59" s="85" t="str">
        <f aca="false">IF($B59=BC$12,$U59,"")</f>
        <v/>
      </c>
      <c r="BD59" s="85" t="str">
        <f aca="false">IF($B59=BD$12,$U59,"")</f>
        <v/>
      </c>
      <c r="BE59" s="85" t="str">
        <f aca="false">IF($B59=BE$12,$U59,"")</f>
        <v/>
      </c>
      <c r="BF59" s="85" t="str">
        <f aca="false">IF($B59=BF$12,$U59,"")</f>
        <v/>
      </c>
      <c r="BG59" s="85" t="str">
        <f aca="false">IF($B59=BG$12,$U59,"")</f>
        <v/>
      </c>
      <c r="BH59" s="85" t="str">
        <f aca="false">IF($B59=BH$12,$U59,"")</f>
        <v/>
      </c>
      <c r="BI59" s="85" t="str">
        <f aca="false">IF($B59=BI$12,$U59,"")</f>
        <v/>
      </c>
      <c r="BJ59" s="85" t="str">
        <f aca="false">IF($B59=BJ$12,$U59,"")</f>
        <v/>
      </c>
      <c r="BK59" s="85" t="str">
        <f aca="false">IF($B59=BK$12,$U59,"")</f>
        <v/>
      </c>
      <c r="BL59" s="85" t="str">
        <f aca="false">IF($B59=BL$12,$U59,"")</f>
        <v/>
      </c>
      <c r="BM59" s="85" t="str">
        <f aca="false">IF($B59=BM$12,$U59,"")</f>
        <v/>
      </c>
      <c r="BN59" s="85" t="str">
        <f aca="false">IF($B59=BN$12,$U59,"")</f>
        <v/>
      </c>
      <c r="BO59" s="85" t="str">
        <f aca="false">IF($B59=BO$12,$U59,"")</f>
        <v/>
      </c>
      <c r="BP59" s="85" t="str">
        <f aca="false">IF($B59=BP$12,$U59,"")</f>
        <v/>
      </c>
      <c r="BQ59" s="85" t="str">
        <f aca="false">IF($B59=BQ$12,$U59,"")</f>
        <v/>
      </c>
      <c r="BR59" s="85" t="str">
        <f aca="false">IF($B59=BR$12,$U59,"")</f>
        <v/>
      </c>
      <c r="BS59" s="85" t="str">
        <f aca="false">IF($B59=BS$12,$U59,"")</f>
        <v/>
      </c>
      <c r="BT59" s="85" t="str">
        <f aca="false">IF($B59=BT$12,$U59,"")</f>
        <v/>
      </c>
      <c r="BU59" s="85" t="str">
        <f aca="false">IF($B59=BU$12,$U59,"")</f>
        <v/>
      </c>
      <c r="BV59" s="85" t="str">
        <f aca="false">IF($B59=BV$12,$U59,"")</f>
        <v/>
      </c>
      <c r="BW59" s="85" t="str">
        <f aca="false">IF($B59=BW$12,$U59,"")</f>
        <v/>
      </c>
      <c r="BX59" s="85" t="str">
        <f aca="false">IF($B59=BX$12,$U59,"")</f>
        <v/>
      </c>
      <c r="BY59" s="85" t="str">
        <f aca="false">IF($B59=BY$12,$U59,"")</f>
        <v/>
      </c>
      <c r="BZ59" s="85" t="str">
        <f aca="false">IF($B59=BZ$12,$U59,"")</f>
        <v/>
      </c>
      <c r="CA59" s="85" t="str">
        <f aca="false">IF($B59=CA$12,$U59,"")</f>
        <v/>
      </c>
      <c r="CB59" s="85" t="str">
        <f aca="false">IF($B59=CB$12,$U59,"")</f>
        <v/>
      </c>
      <c r="CC59" s="85" t="str">
        <f aca="false">IF($B59=CC$12,$U59,"")</f>
        <v/>
      </c>
      <c r="CD59" s="85" t="str">
        <f aca="false">IF($B59=CD$12,$U59,"")</f>
        <v/>
      </c>
      <c r="CE59" s="85" t="str">
        <f aca="false">IF($B59=CE$12,$U59,"")</f>
        <v/>
      </c>
      <c r="CF59" s="85" t="str">
        <f aca="false">IF($B59=CF$12,$U59,"")</f>
        <v/>
      </c>
      <c r="CG59" s="85" t="str">
        <f aca="false">IF($B59=CG$12,$U59,"")</f>
        <v/>
      </c>
      <c r="CH59" s="85" t="str">
        <f aca="false">IF($B59=CH$12,$U59,"")</f>
        <v/>
      </c>
      <c r="CI59" s="85" t="str">
        <f aca="false">IF($B59=CI$12,$U59,"")</f>
        <v/>
      </c>
      <c r="CJ59" s="85" t="str">
        <f aca="false">IF($B59=CJ$12,$U59,"")</f>
        <v/>
      </c>
      <c r="CK59" s="85" t="str">
        <f aca="false">IF($B59=CK$12,$U59,"")</f>
        <v/>
      </c>
      <c r="CL59" s="85" t="str">
        <f aca="false">IF($B59=CL$12,$U59,"")</f>
        <v/>
      </c>
      <c r="CM59" s="85" t="str">
        <f aca="false">IF($B59=CM$12,$U59,"")</f>
        <v/>
      </c>
      <c r="CN59" s="85" t="str">
        <f aca="false">IF($B59=CN$12,$U59,"")</f>
        <v/>
      </c>
      <c r="CO59" s="85" t="str">
        <f aca="false">IF($B59=CO$12,$U59,"")</f>
        <v/>
      </c>
      <c r="CP59" s="85" t="str">
        <f aca="false">IF($B59=CP$12,$U59,"")</f>
        <v/>
      </c>
      <c r="CQ59" s="85" t="str">
        <f aca="false">IF($B59=CQ$12,$U59,"")</f>
        <v/>
      </c>
      <c r="CR59" s="85" t="str">
        <f aca="false">IF($B59=CR$12,$U59,"")</f>
        <v/>
      </c>
      <c r="CS59" s="85" t="str">
        <f aca="false">IF($B59=CS$12,$U59,"")</f>
        <v/>
      </c>
      <c r="CT59" s="85" t="str">
        <f aca="false">IF($B59=CT$12,$U59,"")</f>
        <v/>
      </c>
      <c r="CU59" s="85" t="str">
        <f aca="false">IF($B59=CU$12,$U59,"")</f>
        <v/>
      </c>
      <c r="CV59" s="85" t="str">
        <f aca="false">IF($B59=CV$12,$U59,"")</f>
        <v/>
      </c>
      <c r="CW59" s="85" t="str">
        <f aca="false">IF($B59=CW$12,$U59,"")</f>
        <v/>
      </c>
      <c r="CX59" s="85" t="str">
        <f aca="false">IF($B59=CX$12,$U59,"")</f>
        <v/>
      </c>
      <c r="CY59" s="85" t="str">
        <f aca="false">IF($B59=CY$12,$U59,"")</f>
        <v/>
      </c>
      <c r="CZ59" s="85" t="str">
        <f aca="false">IF($B59=CZ$12,$U59,"")</f>
        <v/>
      </c>
      <c r="DA59" s="85" t="str">
        <f aca="false">IF($B59=DA$12,$U59,"")</f>
        <v/>
      </c>
      <c r="DB59" s="85" t="str">
        <f aca="false">IF($B59=DB$12,$U59,"")</f>
        <v/>
      </c>
      <c r="DC59" s="85" t="str">
        <f aca="false">IF($B59=DC$12,$U59,"")</f>
        <v/>
      </c>
      <c r="DD59" s="85" t="str">
        <f aca="false">IF($B59=DD$12,$U59,"")</f>
        <v/>
      </c>
      <c r="DE59" s="85" t="str">
        <f aca="false">IF($B59=DE$12,$U59,"")</f>
        <v/>
      </c>
      <c r="DF59" s="85" t="str">
        <f aca="false">IF($B59=DF$12,$U59,"")</f>
        <v/>
      </c>
      <c r="DG59" s="85" t="str">
        <f aca="false">IF($B59=DG$12,$U59,"")</f>
        <v/>
      </c>
      <c r="DH59" s="85" t="str">
        <f aca="false">IF($B59=DH$12,$U59,"")</f>
        <v/>
      </c>
      <c r="DI59" s="85" t="str">
        <f aca="false">IF($B59=DI$12,$U59,"")</f>
        <v/>
      </c>
      <c r="DJ59" s="85" t="str">
        <f aca="false">IF($B59=DJ$12,$U59,"")</f>
        <v/>
      </c>
      <c r="DK59" s="85" t="str">
        <f aca="false">IF($B59=DK$12,$U59,"")</f>
        <v/>
      </c>
      <c r="DL59" s="85" t="str">
        <f aca="false">IF($B59=DL$12,$U59,"")</f>
        <v/>
      </c>
      <c r="DM59" s="85" t="str">
        <f aca="false">IF($B59=DM$12,$U59,"")</f>
        <v/>
      </c>
      <c r="DN59" s="85" t="str">
        <f aca="false">IF($B59=DN$12,$U59,"")</f>
        <v/>
      </c>
      <c r="DO59" s="85" t="str">
        <f aca="false">IF($B59=DO$12,$U59,"")</f>
        <v/>
      </c>
      <c r="DP59" s="85" t="str">
        <f aca="false">IF($B59=DP$12,$U59,"")</f>
        <v/>
      </c>
      <c r="DQ59" s="85" t="str">
        <f aca="false">IF($B59=DQ$12,$U59,"")</f>
        <v/>
      </c>
      <c r="DR59" s="85" t="str">
        <f aca="false">IF($B59=DR$12,$U59,"")</f>
        <v/>
      </c>
      <c r="DS59" s="85" t="str">
        <f aca="false">IF($B59=DS$12,$U59,"")</f>
        <v/>
      </c>
      <c r="DT59" s="86" t="str">
        <f aca="false">IF($B59=DT$12,$U59,"")</f>
        <v/>
      </c>
      <c r="DU59" s="55"/>
      <c r="DV59" s="83"/>
      <c r="DW59" s="87" t="str">
        <f aca="false">IF($B59=DW$12,$O59,"")</f>
        <v/>
      </c>
      <c r="DX59" s="88" t="str">
        <f aca="false">IF($B59=DX$12,$O59,"")</f>
        <v/>
      </c>
      <c r="DY59" s="88" t="str">
        <f aca="false">IF($B59=DY$12,$O59,"")</f>
        <v/>
      </c>
      <c r="DZ59" s="88" t="str">
        <f aca="false">IF($B59=DZ$12,$O59,"")</f>
        <v/>
      </c>
      <c r="EA59" s="88" t="str">
        <f aca="false">IF($B59=EA$12,$O59,"")</f>
        <v/>
      </c>
      <c r="EB59" s="88" t="str">
        <f aca="false">IF($B59=EB$12,$O59,"")</f>
        <v/>
      </c>
      <c r="EC59" s="88" t="str">
        <f aca="false">IF($B59=EC$12,$O59,"")</f>
        <v/>
      </c>
      <c r="ED59" s="88" t="str">
        <f aca="false">IF($B59=ED$12,$O59,"")</f>
        <v/>
      </c>
      <c r="EE59" s="88" t="str">
        <f aca="false">IF($B59=EE$12,$O59,"")</f>
        <v/>
      </c>
      <c r="EF59" s="88" t="str">
        <f aca="false">IF($B59=EF$12,$O59,"")</f>
        <v/>
      </c>
      <c r="EG59" s="88" t="str">
        <f aca="false">IF($B59=EG$12,$O59,"")</f>
        <v/>
      </c>
      <c r="EH59" s="88" t="str">
        <f aca="false">IF($B59=EH$12,$O59,"")</f>
        <v/>
      </c>
      <c r="EI59" s="88" t="str">
        <f aca="false">IF($B59=EI$12,$O59,"")</f>
        <v/>
      </c>
      <c r="EJ59" s="88" t="str">
        <f aca="false">IF($B59=EJ$12,$O59,"")</f>
        <v/>
      </c>
      <c r="EK59" s="88" t="str">
        <f aca="false">IF($B59=EK$12,$O59,"")</f>
        <v/>
      </c>
      <c r="EL59" s="88" t="str">
        <f aca="false">IF($B59=EL$12,$O59,"")</f>
        <v/>
      </c>
      <c r="EM59" s="88" t="str">
        <f aca="false">IF($B59=EM$12,$O59,"")</f>
        <v/>
      </c>
      <c r="EN59" s="88" t="str">
        <f aca="false">IF($B59=EN$12,$O59,"")</f>
        <v/>
      </c>
      <c r="EO59" s="88" t="str">
        <f aca="false">IF($B59=EO$12,$O59,"")</f>
        <v/>
      </c>
      <c r="EP59" s="88" t="str">
        <f aca="false">IF($B59=EP$12,$O59,"")</f>
        <v/>
      </c>
      <c r="EQ59" s="88" t="str">
        <f aca="false">IF($B59=EQ$12,$O59,"")</f>
        <v/>
      </c>
      <c r="ER59" s="88" t="str">
        <f aca="false">IF($B59=ER$12,$O59,"")</f>
        <v/>
      </c>
      <c r="ES59" s="88" t="str">
        <f aca="false">IF($B59=ES$12,$O59,"")</f>
        <v/>
      </c>
      <c r="ET59" s="88" t="str">
        <f aca="false">IF($B59=ET$12,$O59,"")</f>
        <v/>
      </c>
      <c r="EU59" s="88" t="str">
        <f aca="false">IF($B59=EU$12,$O59,"")</f>
        <v/>
      </c>
      <c r="EV59" s="88" t="str">
        <f aca="false">IF($B59=EV$12,$O59,"")</f>
        <v/>
      </c>
      <c r="EW59" s="88" t="str">
        <f aca="false">IF($B59=EW$12,$O59,"")</f>
        <v/>
      </c>
      <c r="EX59" s="88" t="str">
        <f aca="false">IF($B59=EX$12,$O59,"")</f>
        <v/>
      </c>
      <c r="EY59" s="88" t="str">
        <f aca="false">IF($B59=EY$12,$O59,"")</f>
        <v/>
      </c>
      <c r="EZ59" s="88" t="str">
        <f aca="false">IF($B59=EZ$12,$O59,"")</f>
        <v/>
      </c>
      <c r="FA59" s="88" t="str">
        <f aca="false">IF($B59=FA$12,$O59,"")</f>
        <v/>
      </c>
      <c r="FB59" s="88" t="str">
        <f aca="false">IF($B59=FB$12,$O59,"")</f>
        <v/>
      </c>
      <c r="FC59" s="88" t="str">
        <f aca="false">IF($B59=FC$12,$O59,"")</f>
        <v/>
      </c>
      <c r="FD59" s="88" t="str">
        <f aca="false">IF($B59=FD$12,$O59,"")</f>
        <v/>
      </c>
      <c r="FE59" s="88" t="str">
        <f aca="false">IF($B59=FE$12,$O59,"")</f>
        <v/>
      </c>
      <c r="FF59" s="88" t="str">
        <f aca="false">IF($B59=FF$12,$O59,"")</f>
        <v/>
      </c>
      <c r="FG59" s="88" t="str">
        <f aca="false">IF($B59=FG$12,$O59,"")</f>
        <v/>
      </c>
      <c r="FH59" s="88" t="str">
        <f aca="false">IF($B59=FH$12,$O59,"")</f>
        <v/>
      </c>
      <c r="FI59" s="88" t="str">
        <f aca="false">IF($B59=FI$12,$O59,"")</f>
        <v/>
      </c>
      <c r="FJ59" s="88" t="str">
        <f aca="false">IF($B59=FJ$12,$O59,"")</f>
        <v/>
      </c>
      <c r="FK59" s="88" t="str">
        <f aca="false">IF($B59=FK$12,$O59,"")</f>
        <v/>
      </c>
      <c r="FL59" s="88" t="str">
        <f aca="false">IF($B59=FL$12,$O59,"")</f>
        <v/>
      </c>
      <c r="FM59" s="88" t="str">
        <f aca="false">IF($B59=FM$12,$O59,"")</f>
        <v/>
      </c>
      <c r="FN59" s="88" t="str">
        <f aca="false">IF($B59=FN$12,$O59,"")</f>
        <v/>
      </c>
      <c r="FO59" s="88" t="str">
        <f aca="false">IF($B59=FO$12,$O59,"")</f>
        <v/>
      </c>
      <c r="FP59" s="88" t="str">
        <f aca="false">IF($B59=FP$12,$O59,"")</f>
        <v/>
      </c>
      <c r="FQ59" s="88" t="str">
        <f aca="false">IF($B59=FQ$12,$O59,"")</f>
        <v/>
      </c>
      <c r="FR59" s="88" t="str">
        <f aca="false">IF($B59=FR$12,$O59,"")</f>
        <v/>
      </c>
      <c r="FS59" s="88" t="str">
        <f aca="false">IF($B59=FS$12,$O59,"")</f>
        <v/>
      </c>
      <c r="FT59" s="88" t="str">
        <f aca="false">IF($B59=FT$12,$O59,"")</f>
        <v/>
      </c>
      <c r="FU59" s="88" t="str">
        <f aca="false">IF($B59=FU$12,$O59,"")</f>
        <v/>
      </c>
      <c r="FV59" s="88" t="str">
        <f aca="false">IF($B59=FV$12,$O59,"")</f>
        <v/>
      </c>
      <c r="FW59" s="88" t="str">
        <f aca="false">IF($B59=FW$12,$O59,"")</f>
        <v/>
      </c>
      <c r="FX59" s="88" t="str">
        <f aca="false">IF($B59=FX$12,$O59,"")</f>
        <v/>
      </c>
      <c r="FY59" s="88" t="str">
        <f aca="false">IF($B59=FY$12,$O59,"")</f>
        <v/>
      </c>
      <c r="FZ59" s="88" t="str">
        <f aca="false">IF($B59=FZ$12,$O59,"")</f>
        <v/>
      </c>
      <c r="GA59" s="88" t="str">
        <f aca="false">IF($B59=GA$12,$O59,"")</f>
        <v/>
      </c>
      <c r="GB59" s="88" t="str">
        <f aca="false">IF($B59=GB$12,$O59,"")</f>
        <v/>
      </c>
      <c r="GC59" s="88" t="str">
        <f aca="false">IF($B59=GC$12,$O59,"")</f>
        <v/>
      </c>
      <c r="GD59" s="88" t="str">
        <f aca="false">IF($B59=GD$12,$O59,"")</f>
        <v/>
      </c>
      <c r="GE59" s="88" t="str">
        <f aca="false">IF($B59=GE$12,$O59,"")</f>
        <v/>
      </c>
      <c r="GF59" s="88" t="str">
        <f aca="false">IF($B59=GF$12,$O59,"")</f>
        <v/>
      </c>
      <c r="GG59" s="88" t="str">
        <f aca="false">IF($B59=GG$12,$O59,"")</f>
        <v/>
      </c>
      <c r="GH59" s="88" t="str">
        <f aca="false">IF($B59=GH$12,$O59,"")</f>
        <v/>
      </c>
      <c r="GI59" s="88" t="str">
        <f aca="false">IF($B59=GI$12,$O59,"")</f>
        <v/>
      </c>
      <c r="GJ59" s="88" t="str">
        <f aca="false">IF($B59=GJ$12,$O59,"")</f>
        <v/>
      </c>
      <c r="GK59" s="88" t="str">
        <f aca="false">IF($B59=GK$12,$O59,"")</f>
        <v/>
      </c>
      <c r="GL59" s="88" t="str">
        <f aca="false">IF($B59=GL$12,$O59,"")</f>
        <v/>
      </c>
      <c r="GM59" s="88" t="str">
        <f aca="false">IF($B59=GM$12,$O59,"")</f>
        <v/>
      </c>
      <c r="GN59" s="88" t="str">
        <f aca="false">IF($B59=GN$12,$O59,"")</f>
        <v/>
      </c>
      <c r="GO59" s="88" t="str">
        <f aca="false">IF($B59=GO$12,$O59,"")</f>
        <v/>
      </c>
      <c r="GP59" s="88" t="str">
        <f aca="false">IF($B59=GP$12,$O59,"")</f>
        <v/>
      </c>
      <c r="GQ59" s="88" t="str">
        <f aca="false">IF($B59=GQ$12,$O59,"")</f>
        <v/>
      </c>
      <c r="GR59" s="88" t="str">
        <f aca="false">IF($B59=GR$12,$O59,"")</f>
        <v/>
      </c>
      <c r="GS59" s="88" t="str">
        <f aca="false">IF($B59=GS$12,$O59,"")</f>
        <v/>
      </c>
      <c r="GT59" s="88" t="str">
        <f aca="false">IF($B59=GT$12,$O59,"")</f>
        <v/>
      </c>
      <c r="GU59" s="88" t="str">
        <f aca="false">IF($B59=GU$12,$O59,"")</f>
        <v/>
      </c>
      <c r="GV59" s="88" t="str">
        <f aca="false">IF($B59=GV$12,$O59,"")</f>
        <v/>
      </c>
      <c r="GW59" s="88" t="str">
        <f aca="false">IF($B59=GW$12,$O59,"")</f>
        <v/>
      </c>
      <c r="GX59" s="88" t="str">
        <f aca="false">IF($B59=GX$12,$O59,"")</f>
        <v/>
      </c>
      <c r="GY59" s="88" t="str">
        <f aca="false">IF($B59=GY$12,$O59,"")</f>
        <v/>
      </c>
      <c r="GZ59" s="88" t="str">
        <f aca="false">IF($B59=GZ$12,$O59,"")</f>
        <v/>
      </c>
      <c r="HA59" s="88" t="str">
        <f aca="false">IF($B59=HA$12,$O59,"")</f>
        <v/>
      </c>
      <c r="HB59" s="88" t="str">
        <f aca="false">IF($B59=HB$12,$O59,"")</f>
        <v/>
      </c>
      <c r="HC59" s="88" t="str">
        <f aca="false">IF($B59=HC$12,$O59,"")</f>
        <v/>
      </c>
      <c r="HD59" s="88" t="str">
        <f aca="false">IF($B59=HD$12,$O59,"")</f>
        <v/>
      </c>
      <c r="HE59" s="88" t="str">
        <f aca="false">IF($B59=HE$12,$O59,"")</f>
        <v/>
      </c>
      <c r="HF59" s="88" t="str">
        <f aca="false">IF($B59=HF$12,$O59,"")</f>
        <v/>
      </c>
      <c r="HG59" s="88" t="str">
        <f aca="false">IF($B59=HG$12,$O59,"")</f>
        <v/>
      </c>
      <c r="HH59" s="88" t="str">
        <f aca="false">IF($B59=HH$12,$O59,"")</f>
        <v/>
      </c>
      <c r="HI59" s="88" t="str">
        <f aca="false">IF($B59=HI$12,$O59,"")</f>
        <v/>
      </c>
      <c r="HJ59" s="88" t="str">
        <f aca="false">IF($B59=HJ$12,$O59,"")</f>
        <v/>
      </c>
      <c r="HK59" s="88" t="str">
        <f aca="false">IF($B59=HK$12,$O59,"")</f>
        <v/>
      </c>
      <c r="HL59" s="88" t="str">
        <f aca="false">IF($B59=HL$12,$O59,"")</f>
        <v/>
      </c>
      <c r="HM59" s="88" t="str">
        <f aca="false">IF($B59=HM$12,$O59,"")</f>
        <v/>
      </c>
      <c r="HN59" s="88" t="str">
        <f aca="false">IF($B59=HN$12,$O59,"")</f>
        <v/>
      </c>
      <c r="HO59" s="88" t="str">
        <f aca="false">IF($B59=HO$12,$O59,"")</f>
        <v/>
      </c>
      <c r="HP59" s="88" t="str">
        <f aca="false">IF($B59=HP$12,$O59,"")</f>
        <v/>
      </c>
      <c r="HQ59" s="88" t="str">
        <f aca="false">IF($B59=HQ$12,$O59,"")</f>
        <v/>
      </c>
      <c r="HR59" s="89" t="str">
        <f aca="false">IF($B59=HR$12,$O59,"")</f>
        <v/>
      </c>
    </row>
    <row r="60" customFormat="false" ht="10.5" hidden="false" customHeight="true" outlineLevel="0" collapsed="false">
      <c r="A60" s="73"/>
      <c r="B60" s="74"/>
      <c r="C60" s="75" t="str">
        <f aca="false">IF(A60=0,"",VLOOKUP(A60,[3]CO!$A$3:$F$5311,2,0))</f>
        <v/>
      </c>
      <c r="D60" s="76"/>
      <c r="E60" s="76"/>
      <c r="F60" s="76"/>
      <c r="G60" s="77" t="str">
        <f aca="false">IF(A60=0,"",VLOOKUP(A60,[3]CO!$A$3:$F$5311,3,0))</f>
        <v/>
      </c>
      <c r="H60" s="76"/>
      <c r="I60" s="78"/>
      <c r="J60" s="78"/>
      <c r="K60" s="78"/>
      <c r="L60" s="78"/>
      <c r="M60" s="79" t="str">
        <f aca="false">IF(L60=0,"",PRODUCT(I60:L60))</f>
        <v/>
      </c>
      <c r="N60" s="79" t="str">
        <f aca="false">IF(B60=0,"",IF(H60="M",HLOOKUP(B60,$Y$12:$DT$13,2),IF(A60=0,"",VLOOKUP(A60,[3]CO!$A$3:$F$5311,4,0))))</f>
        <v/>
      </c>
      <c r="O60" s="79" t="str">
        <f aca="false">IF(L60=0,"",PRODUCT(M60:N60))</f>
        <v/>
      </c>
      <c r="P60" s="80"/>
      <c r="Q60" s="81" t="str">
        <f aca="false">IF(P60=0,"",(HLOOKUP(P60,$DW$12:$HR$13,2)))</f>
        <v/>
      </c>
      <c r="R60" s="82" t="str">
        <f aca="false">IF(S60=0,"",IF(OR(G60="PEON",G60="OF",G60="JARD",G60="CARP",G60="MAESTRO",G60="SOLD",G60="BGRO",G60="CHOFER",G60="AYTE",G60="S.INTTE.",G60="ASEO",G60="P.PISOS",G60="VELADOR",G60="RESID",G60="PINTOR",G60="ELECT",G60="AZULE",G60="AUX CONT.",G60="SECRETARIA",G60="AUXILIAR ADMTVO.",G60="ARQUITECTO",G60="DIBUJANTE",G60="AUX. DE RESIDENTE"),VLOOKUP(B60,P$14:Q$131,2),"")*S60)</f>
        <v/>
      </c>
      <c r="S60" s="5"/>
      <c r="T60" s="65" t="str">
        <f aca="false">IF(A60=0,"",VLOOKUP(A60,[3]CO!$A$3:$F$5302,5,0))</f>
        <v/>
      </c>
      <c r="U60" s="55" t="n">
        <f aca="false">IF(T60=1,O60*0.1,)</f>
        <v>0</v>
      </c>
      <c r="V60" s="66"/>
      <c r="W60" s="83"/>
      <c r="X60" s="83"/>
      <c r="Y60" s="84" t="str">
        <f aca="false">IF($B60=Y$12,$U60,"")</f>
        <v/>
      </c>
      <c r="Z60" s="85" t="str">
        <f aca="false">IF($B60=Z$12,$U60,"")</f>
        <v/>
      </c>
      <c r="AA60" s="85" t="str">
        <f aca="false">IF($B60=AA$12,$U60,"")</f>
        <v/>
      </c>
      <c r="AB60" s="85" t="str">
        <f aca="false">IF($B60=AB$12,$U60,"")</f>
        <v/>
      </c>
      <c r="AC60" s="85" t="str">
        <f aca="false">IF($B60=AC$12,$U60,"")</f>
        <v/>
      </c>
      <c r="AD60" s="85" t="str">
        <f aca="false">IF($B60=AD$12,$U60,"")</f>
        <v/>
      </c>
      <c r="AE60" s="85" t="str">
        <f aca="false">IF($B60=AE$12,$U60,"")</f>
        <v/>
      </c>
      <c r="AF60" s="85" t="str">
        <f aca="false">IF($B60=AF$12,$U60,"")</f>
        <v/>
      </c>
      <c r="AG60" s="85" t="str">
        <f aca="false">IF($B60=AG$12,$U60,"")</f>
        <v/>
      </c>
      <c r="AH60" s="85" t="str">
        <f aca="false">IF($B60=AH$12,$U60,"")</f>
        <v/>
      </c>
      <c r="AI60" s="85" t="str">
        <f aca="false">IF($B60=AI$12,$U60,"")</f>
        <v/>
      </c>
      <c r="AJ60" s="85" t="str">
        <f aca="false">IF($B60=AJ$12,$U60,"")</f>
        <v/>
      </c>
      <c r="AK60" s="85" t="str">
        <f aca="false">IF($B60=AK$12,$U60,"")</f>
        <v/>
      </c>
      <c r="AL60" s="85" t="str">
        <f aca="false">IF($B60=AL$12,$U60,"")</f>
        <v/>
      </c>
      <c r="AM60" s="85" t="str">
        <f aca="false">IF($B60=AM$12,$U60,"")</f>
        <v/>
      </c>
      <c r="AN60" s="85" t="str">
        <f aca="false">IF($B60=AN$12,$U60,"")</f>
        <v/>
      </c>
      <c r="AO60" s="85" t="str">
        <f aca="false">IF($B60=AO$12,$U60,"")</f>
        <v/>
      </c>
      <c r="AP60" s="85" t="str">
        <f aca="false">IF($B60=AP$12,$U60,"")</f>
        <v/>
      </c>
      <c r="AQ60" s="85" t="str">
        <f aca="false">IF($B60=AQ$12,$U60,"")</f>
        <v/>
      </c>
      <c r="AR60" s="85" t="str">
        <f aca="false">IF($B60=AR$12,$U60,"")</f>
        <v/>
      </c>
      <c r="AS60" s="85" t="str">
        <f aca="false">IF($B60=AS$12,$U60,"")</f>
        <v/>
      </c>
      <c r="AT60" s="85" t="str">
        <f aca="false">IF($B60=AT$12,$U60,"")</f>
        <v/>
      </c>
      <c r="AU60" s="85" t="str">
        <f aca="false">IF($B60=AU$12,$U60,"")</f>
        <v/>
      </c>
      <c r="AV60" s="85" t="str">
        <f aca="false">IF($B60=AV$12,$U60,"")</f>
        <v/>
      </c>
      <c r="AW60" s="85" t="str">
        <f aca="false">IF($B60=AW$12,$U60,"")</f>
        <v/>
      </c>
      <c r="AX60" s="85" t="str">
        <f aca="false">IF($B60=AX$12,$U60,"")</f>
        <v/>
      </c>
      <c r="AY60" s="85" t="str">
        <f aca="false">IF($B60=AY$12,$U60,"")</f>
        <v/>
      </c>
      <c r="AZ60" s="85" t="str">
        <f aca="false">IF($B60=AZ$12,$U60,"")</f>
        <v/>
      </c>
      <c r="BA60" s="85" t="str">
        <f aca="false">IF($B60=BA$12,$U60,"")</f>
        <v/>
      </c>
      <c r="BB60" s="85" t="str">
        <f aca="false">IF($B60=BB$12,$U60,"")</f>
        <v/>
      </c>
      <c r="BC60" s="85" t="str">
        <f aca="false">IF($B60=BC$12,$U60,"")</f>
        <v/>
      </c>
      <c r="BD60" s="85" t="str">
        <f aca="false">IF($B60=BD$12,$U60,"")</f>
        <v/>
      </c>
      <c r="BE60" s="85" t="str">
        <f aca="false">IF($B60=BE$12,$U60,"")</f>
        <v/>
      </c>
      <c r="BF60" s="85" t="str">
        <f aca="false">IF($B60=BF$12,$U60,"")</f>
        <v/>
      </c>
      <c r="BG60" s="85" t="str">
        <f aca="false">IF($B60=BG$12,$U60,"")</f>
        <v/>
      </c>
      <c r="BH60" s="85" t="str">
        <f aca="false">IF($B60=BH$12,$U60,"")</f>
        <v/>
      </c>
      <c r="BI60" s="85" t="str">
        <f aca="false">IF($B60=BI$12,$U60,"")</f>
        <v/>
      </c>
      <c r="BJ60" s="85" t="str">
        <f aca="false">IF($B60=BJ$12,$U60,"")</f>
        <v/>
      </c>
      <c r="BK60" s="85" t="str">
        <f aca="false">IF($B60=BK$12,$U60,"")</f>
        <v/>
      </c>
      <c r="BL60" s="85" t="str">
        <f aca="false">IF($B60=BL$12,$U60,"")</f>
        <v/>
      </c>
      <c r="BM60" s="85" t="str">
        <f aca="false">IF($B60=BM$12,$U60,"")</f>
        <v/>
      </c>
      <c r="BN60" s="85" t="str">
        <f aca="false">IF($B60=BN$12,$U60,"")</f>
        <v/>
      </c>
      <c r="BO60" s="85" t="str">
        <f aca="false">IF($B60=BO$12,$U60,"")</f>
        <v/>
      </c>
      <c r="BP60" s="85" t="str">
        <f aca="false">IF($B60=BP$12,$U60,"")</f>
        <v/>
      </c>
      <c r="BQ60" s="85" t="str">
        <f aca="false">IF($B60=BQ$12,$U60,"")</f>
        <v/>
      </c>
      <c r="BR60" s="85" t="str">
        <f aca="false">IF($B60=BR$12,$U60,"")</f>
        <v/>
      </c>
      <c r="BS60" s="85" t="str">
        <f aca="false">IF($B60=BS$12,$U60,"")</f>
        <v/>
      </c>
      <c r="BT60" s="85" t="str">
        <f aca="false">IF($B60=BT$12,$U60,"")</f>
        <v/>
      </c>
      <c r="BU60" s="85" t="str">
        <f aca="false">IF($B60=BU$12,$U60,"")</f>
        <v/>
      </c>
      <c r="BV60" s="85" t="str">
        <f aca="false">IF($B60=BV$12,$U60,"")</f>
        <v/>
      </c>
      <c r="BW60" s="85" t="str">
        <f aca="false">IF($B60=BW$12,$U60,"")</f>
        <v/>
      </c>
      <c r="BX60" s="85" t="str">
        <f aca="false">IF($B60=BX$12,$U60,"")</f>
        <v/>
      </c>
      <c r="BY60" s="85" t="str">
        <f aca="false">IF($B60=BY$12,$U60,"")</f>
        <v/>
      </c>
      <c r="BZ60" s="85" t="str">
        <f aca="false">IF($B60=BZ$12,$U60,"")</f>
        <v/>
      </c>
      <c r="CA60" s="85" t="str">
        <f aca="false">IF($B60=CA$12,$U60,"")</f>
        <v/>
      </c>
      <c r="CB60" s="85" t="str">
        <f aca="false">IF($B60=CB$12,$U60,"")</f>
        <v/>
      </c>
      <c r="CC60" s="85" t="str">
        <f aca="false">IF($B60=CC$12,$U60,"")</f>
        <v/>
      </c>
      <c r="CD60" s="85" t="str">
        <f aca="false">IF($B60=CD$12,$U60,"")</f>
        <v/>
      </c>
      <c r="CE60" s="85" t="str">
        <f aca="false">IF($B60=CE$12,$U60,"")</f>
        <v/>
      </c>
      <c r="CF60" s="85" t="str">
        <f aca="false">IF($B60=CF$12,$U60,"")</f>
        <v/>
      </c>
      <c r="CG60" s="85" t="str">
        <f aca="false">IF($B60=CG$12,$U60,"")</f>
        <v/>
      </c>
      <c r="CH60" s="85" t="str">
        <f aca="false">IF($B60=CH$12,$U60,"")</f>
        <v/>
      </c>
      <c r="CI60" s="85" t="str">
        <f aca="false">IF($B60=CI$12,$U60,"")</f>
        <v/>
      </c>
      <c r="CJ60" s="85" t="str">
        <f aca="false">IF($B60=CJ$12,$U60,"")</f>
        <v/>
      </c>
      <c r="CK60" s="85" t="str">
        <f aca="false">IF($B60=CK$12,$U60,"")</f>
        <v/>
      </c>
      <c r="CL60" s="85" t="str">
        <f aca="false">IF($B60=CL$12,$U60,"")</f>
        <v/>
      </c>
      <c r="CM60" s="85" t="str">
        <f aca="false">IF($B60=CM$12,$U60,"")</f>
        <v/>
      </c>
      <c r="CN60" s="85" t="str">
        <f aca="false">IF($B60=CN$12,$U60,"")</f>
        <v/>
      </c>
      <c r="CO60" s="85" t="str">
        <f aca="false">IF($B60=CO$12,$U60,"")</f>
        <v/>
      </c>
      <c r="CP60" s="85" t="str">
        <f aca="false">IF($B60=CP$12,$U60,"")</f>
        <v/>
      </c>
      <c r="CQ60" s="85" t="str">
        <f aca="false">IF($B60=CQ$12,$U60,"")</f>
        <v/>
      </c>
      <c r="CR60" s="85" t="str">
        <f aca="false">IF($B60=CR$12,$U60,"")</f>
        <v/>
      </c>
      <c r="CS60" s="85" t="str">
        <f aca="false">IF($B60=CS$12,$U60,"")</f>
        <v/>
      </c>
      <c r="CT60" s="85" t="str">
        <f aca="false">IF($B60=CT$12,$U60,"")</f>
        <v/>
      </c>
      <c r="CU60" s="85" t="str">
        <f aca="false">IF($B60=CU$12,$U60,"")</f>
        <v/>
      </c>
      <c r="CV60" s="85" t="str">
        <f aca="false">IF($B60=CV$12,$U60,"")</f>
        <v/>
      </c>
      <c r="CW60" s="85" t="str">
        <f aca="false">IF($B60=CW$12,$U60,"")</f>
        <v/>
      </c>
      <c r="CX60" s="85" t="str">
        <f aca="false">IF($B60=CX$12,$U60,"")</f>
        <v/>
      </c>
      <c r="CY60" s="85" t="str">
        <f aca="false">IF($B60=CY$12,$U60,"")</f>
        <v/>
      </c>
      <c r="CZ60" s="85" t="str">
        <f aca="false">IF($B60=CZ$12,$U60,"")</f>
        <v/>
      </c>
      <c r="DA60" s="85" t="str">
        <f aca="false">IF($B60=DA$12,$U60,"")</f>
        <v/>
      </c>
      <c r="DB60" s="85" t="str">
        <f aca="false">IF($B60=DB$12,$U60,"")</f>
        <v/>
      </c>
      <c r="DC60" s="85" t="str">
        <f aca="false">IF($B60=DC$12,$U60,"")</f>
        <v/>
      </c>
      <c r="DD60" s="85" t="str">
        <f aca="false">IF($B60=DD$12,$U60,"")</f>
        <v/>
      </c>
      <c r="DE60" s="85" t="str">
        <f aca="false">IF($B60=DE$12,$U60,"")</f>
        <v/>
      </c>
      <c r="DF60" s="85" t="str">
        <f aca="false">IF($B60=DF$12,$U60,"")</f>
        <v/>
      </c>
      <c r="DG60" s="85" t="str">
        <f aca="false">IF($B60=DG$12,$U60,"")</f>
        <v/>
      </c>
      <c r="DH60" s="85" t="str">
        <f aca="false">IF($B60=DH$12,$U60,"")</f>
        <v/>
      </c>
      <c r="DI60" s="85" t="str">
        <f aca="false">IF($B60=DI$12,$U60,"")</f>
        <v/>
      </c>
      <c r="DJ60" s="85" t="str">
        <f aca="false">IF($B60=DJ$12,$U60,"")</f>
        <v/>
      </c>
      <c r="DK60" s="85" t="str">
        <f aca="false">IF($B60=DK$12,$U60,"")</f>
        <v/>
      </c>
      <c r="DL60" s="85" t="str">
        <f aca="false">IF($B60=DL$12,$U60,"")</f>
        <v/>
      </c>
      <c r="DM60" s="85" t="str">
        <f aca="false">IF($B60=DM$12,$U60,"")</f>
        <v/>
      </c>
      <c r="DN60" s="85" t="str">
        <f aca="false">IF($B60=DN$12,$U60,"")</f>
        <v/>
      </c>
      <c r="DO60" s="85" t="str">
        <f aca="false">IF($B60=DO$12,$U60,"")</f>
        <v/>
      </c>
      <c r="DP60" s="85" t="str">
        <f aca="false">IF($B60=DP$12,$U60,"")</f>
        <v/>
      </c>
      <c r="DQ60" s="85" t="str">
        <f aca="false">IF($B60=DQ$12,$U60,"")</f>
        <v/>
      </c>
      <c r="DR60" s="85" t="str">
        <f aca="false">IF($B60=DR$12,$U60,"")</f>
        <v/>
      </c>
      <c r="DS60" s="85" t="str">
        <f aca="false">IF($B60=DS$12,$U60,"")</f>
        <v/>
      </c>
      <c r="DT60" s="86" t="str">
        <f aca="false">IF($B60=DT$12,$U60,"")</f>
        <v/>
      </c>
      <c r="DU60" s="55"/>
      <c r="DV60" s="83"/>
      <c r="DW60" s="87" t="str">
        <f aca="false">IF($B60=DW$12,$O60,"")</f>
        <v/>
      </c>
      <c r="DX60" s="88" t="str">
        <f aca="false">IF($B60=DX$12,$O60,"")</f>
        <v/>
      </c>
      <c r="DY60" s="88" t="str">
        <f aca="false">IF($B60=DY$12,$O60,"")</f>
        <v/>
      </c>
      <c r="DZ60" s="88" t="str">
        <f aca="false">IF($B60=DZ$12,$O60,"")</f>
        <v/>
      </c>
      <c r="EA60" s="88" t="str">
        <f aca="false">IF($B60=EA$12,$O60,"")</f>
        <v/>
      </c>
      <c r="EB60" s="88" t="str">
        <f aca="false">IF($B60=EB$12,$O60,"")</f>
        <v/>
      </c>
      <c r="EC60" s="88" t="str">
        <f aca="false">IF($B60=EC$12,$O60,"")</f>
        <v/>
      </c>
      <c r="ED60" s="88" t="str">
        <f aca="false">IF($B60=ED$12,$O60,"")</f>
        <v/>
      </c>
      <c r="EE60" s="88" t="str">
        <f aca="false">IF($B60=EE$12,$O60,"")</f>
        <v/>
      </c>
      <c r="EF60" s="88" t="str">
        <f aca="false">IF($B60=EF$12,$O60,"")</f>
        <v/>
      </c>
      <c r="EG60" s="88" t="str">
        <f aca="false">IF($B60=EG$12,$O60,"")</f>
        <v/>
      </c>
      <c r="EH60" s="88" t="str">
        <f aca="false">IF($B60=EH$12,$O60,"")</f>
        <v/>
      </c>
      <c r="EI60" s="88" t="str">
        <f aca="false">IF($B60=EI$12,$O60,"")</f>
        <v/>
      </c>
      <c r="EJ60" s="88" t="str">
        <f aca="false">IF($B60=EJ$12,$O60,"")</f>
        <v/>
      </c>
      <c r="EK60" s="88" t="str">
        <f aca="false">IF($B60=EK$12,$O60,"")</f>
        <v/>
      </c>
      <c r="EL60" s="88" t="str">
        <f aca="false">IF($B60=EL$12,$O60,"")</f>
        <v/>
      </c>
      <c r="EM60" s="88" t="str">
        <f aca="false">IF($B60=EM$12,$O60,"")</f>
        <v/>
      </c>
      <c r="EN60" s="88" t="str">
        <f aca="false">IF($B60=EN$12,$O60,"")</f>
        <v/>
      </c>
      <c r="EO60" s="88" t="str">
        <f aca="false">IF($B60=EO$12,$O60,"")</f>
        <v/>
      </c>
      <c r="EP60" s="88" t="str">
        <f aca="false">IF($B60=EP$12,$O60,"")</f>
        <v/>
      </c>
      <c r="EQ60" s="88" t="str">
        <f aca="false">IF($B60=EQ$12,$O60,"")</f>
        <v/>
      </c>
      <c r="ER60" s="88" t="str">
        <f aca="false">IF($B60=ER$12,$O60,"")</f>
        <v/>
      </c>
      <c r="ES60" s="88" t="str">
        <f aca="false">IF($B60=ES$12,$O60,"")</f>
        <v/>
      </c>
      <c r="ET60" s="88" t="str">
        <f aca="false">IF($B60=ET$12,$O60,"")</f>
        <v/>
      </c>
      <c r="EU60" s="88" t="str">
        <f aca="false">IF($B60=EU$12,$O60,"")</f>
        <v/>
      </c>
      <c r="EV60" s="88" t="str">
        <f aca="false">IF($B60=EV$12,$O60,"")</f>
        <v/>
      </c>
      <c r="EW60" s="88" t="str">
        <f aca="false">IF($B60=EW$12,$O60,"")</f>
        <v/>
      </c>
      <c r="EX60" s="88" t="str">
        <f aca="false">IF($B60=EX$12,$O60,"")</f>
        <v/>
      </c>
      <c r="EY60" s="88" t="str">
        <f aca="false">IF($B60=EY$12,$O60,"")</f>
        <v/>
      </c>
      <c r="EZ60" s="88" t="str">
        <f aca="false">IF($B60=EZ$12,$O60,"")</f>
        <v/>
      </c>
      <c r="FA60" s="88" t="str">
        <f aca="false">IF($B60=FA$12,$O60,"")</f>
        <v/>
      </c>
      <c r="FB60" s="88" t="str">
        <f aca="false">IF($B60=FB$12,$O60,"")</f>
        <v/>
      </c>
      <c r="FC60" s="88" t="str">
        <f aca="false">IF($B60=FC$12,$O60,"")</f>
        <v/>
      </c>
      <c r="FD60" s="88" t="str">
        <f aca="false">IF($B60=FD$12,$O60,"")</f>
        <v/>
      </c>
      <c r="FE60" s="88" t="str">
        <f aca="false">IF($B60=FE$12,$O60,"")</f>
        <v/>
      </c>
      <c r="FF60" s="88" t="str">
        <f aca="false">IF($B60=FF$12,$O60,"")</f>
        <v/>
      </c>
      <c r="FG60" s="88" t="str">
        <f aca="false">IF($B60=FG$12,$O60,"")</f>
        <v/>
      </c>
      <c r="FH60" s="88" t="str">
        <f aca="false">IF($B60=FH$12,$O60,"")</f>
        <v/>
      </c>
      <c r="FI60" s="88" t="str">
        <f aca="false">IF($B60=FI$12,$O60,"")</f>
        <v/>
      </c>
      <c r="FJ60" s="88" t="str">
        <f aca="false">IF($B60=FJ$12,$O60,"")</f>
        <v/>
      </c>
      <c r="FK60" s="88" t="str">
        <f aca="false">IF($B60=FK$12,$O60,"")</f>
        <v/>
      </c>
      <c r="FL60" s="88" t="str">
        <f aca="false">IF($B60=FL$12,$O60,"")</f>
        <v/>
      </c>
      <c r="FM60" s="88" t="str">
        <f aca="false">IF($B60=FM$12,$O60,"")</f>
        <v/>
      </c>
      <c r="FN60" s="88" t="str">
        <f aca="false">IF($B60=FN$12,$O60,"")</f>
        <v/>
      </c>
      <c r="FO60" s="88" t="str">
        <f aca="false">IF($B60=FO$12,$O60,"")</f>
        <v/>
      </c>
      <c r="FP60" s="88" t="str">
        <f aca="false">IF($B60=FP$12,$O60,"")</f>
        <v/>
      </c>
      <c r="FQ60" s="88" t="str">
        <f aca="false">IF($B60=FQ$12,$O60,"")</f>
        <v/>
      </c>
      <c r="FR60" s="88" t="str">
        <f aca="false">IF($B60=FR$12,$O60,"")</f>
        <v/>
      </c>
      <c r="FS60" s="88" t="str">
        <f aca="false">IF($B60=FS$12,$O60,"")</f>
        <v/>
      </c>
      <c r="FT60" s="88" t="str">
        <f aca="false">IF($B60=FT$12,$O60,"")</f>
        <v/>
      </c>
      <c r="FU60" s="88" t="str">
        <f aca="false">IF($B60=FU$12,$O60,"")</f>
        <v/>
      </c>
      <c r="FV60" s="88" t="str">
        <f aca="false">IF($B60=FV$12,$O60,"")</f>
        <v/>
      </c>
      <c r="FW60" s="88" t="str">
        <f aca="false">IF($B60=FW$12,$O60,"")</f>
        <v/>
      </c>
      <c r="FX60" s="88" t="str">
        <f aca="false">IF($B60=FX$12,$O60,"")</f>
        <v/>
      </c>
      <c r="FY60" s="88" t="str">
        <f aca="false">IF($B60=FY$12,$O60,"")</f>
        <v/>
      </c>
      <c r="FZ60" s="88" t="str">
        <f aca="false">IF($B60=FZ$12,$O60,"")</f>
        <v/>
      </c>
      <c r="GA60" s="88" t="str">
        <f aca="false">IF($B60=GA$12,$O60,"")</f>
        <v/>
      </c>
      <c r="GB60" s="88" t="str">
        <f aca="false">IF($B60=GB$12,$O60,"")</f>
        <v/>
      </c>
      <c r="GC60" s="88" t="str">
        <f aca="false">IF($B60=GC$12,$O60,"")</f>
        <v/>
      </c>
      <c r="GD60" s="88" t="str">
        <f aca="false">IF($B60=GD$12,$O60,"")</f>
        <v/>
      </c>
      <c r="GE60" s="88" t="str">
        <f aca="false">IF($B60=GE$12,$O60,"")</f>
        <v/>
      </c>
      <c r="GF60" s="88" t="str">
        <f aca="false">IF($B60=GF$12,$O60,"")</f>
        <v/>
      </c>
      <c r="GG60" s="88" t="str">
        <f aca="false">IF($B60=GG$12,$O60,"")</f>
        <v/>
      </c>
      <c r="GH60" s="88" t="str">
        <f aca="false">IF($B60=GH$12,$O60,"")</f>
        <v/>
      </c>
      <c r="GI60" s="88" t="str">
        <f aca="false">IF($B60=GI$12,$O60,"")</f>
        <v/>
      </c>
      <c r="GJ60" s="88" t="str">
        <f aca="false">IF($B60=GJ$12,$O60,"")</f>
        <v/>
      </c>
      <c r="GK60" s="88" t="str">
        <f aca="false">IF($B60=GK$12,$O60,"")</f>
        <v/>
      </c>
      <c r="GL60" s="88" t="str">
        <f aca="false">IF($B60=GL$12,$O60,"")</f>
        <v/>
      </c>
      <c r="GM60" s="88" t="str">
        <f aca="false">IF($B60=GM$12,$O60,"")</f>
        <v/>
      </c>
      <c r="GN60" s="88" t="str">
        <f aca="false">IF($B60=GN$12,$O60,"")</f>
        <v/>
      </c>
      <c r="GO60" s="88" t="str">
        <f aca="false">IF($B60=GO$12,$O60,"")</f>
        <v/>
      </c>
      <c r="GP60" s="88" t="str">
        <f aca="false">IF($B60=GP$12,$O60,"")</f>
        <v/>
      </c>
      <c r="GQ60" s="88" t="str">
        <f aca="false">IF($B60=GQ$12,$O60,"")</f>
        <v/>
      </c>
      <c r="GR60" s="88" t="str">
        <f aca="false">IF($B60=GR$12,$O60,"")</f>
        <v/>
      </c>
      <c r="GS60" s="88" t="str">
        <f aca="false">IF($B60=GS$12,$O60,"")</f>
        <v/>
      </c>
      <c r="GT60" s="88" t="str">
        <f aca="false">IF($B60=GT$12,$O60,"")</f>
        <v/>
      </c>
      <c r="GU60" s="88" t="str">
        <f aca="false">IF($B60=GU$12,$O60,"")</f>
        <v/>
      </c>
      <c r="GV60" s="88" t="str">
        <f aca="false">IF($B60=GV$12,$O60,"")</f>
        <v/>
      </c>
      <c r="GW60" s="88" t="str">
        <f aca="false">IF($B60=GW$12,$O60,"")</f>
        <v/>
      </c>
      <c r="GX60" s="88" t="str">
        <f aca="false">IF($B60=GX$12,$O60,"")</f>
        <v/>
      </c>
      <c r="GY60" s="88" t="str">
        <f aca="false">IF($B60=GY$12,$O60,"")</f>
        <v/>
      </c>
      <c r="GZ60" s="88" t="str">
        <f aca="false">IF($B60=GZ$12,$O60,"")</f>
        <v/>
      </c>
      <c r="HA60" s="88" t="str">
        <f aca="false">IF($B60=HA$12,$O60,"")</f>
        <v/>
      </c>
      <c r="HB60" s="88" t="str">
        <f aca="false">IF($B60=HB$12,$O60,"")</f>
        <v/>
      </c>
      <c r="HC60" s="88" t="str">
        <f aca="false">IF($B60=HC$12,$O60,"")</f>
        <v/>
      </c>
      <c r="HD60" s="88" t="str">
        <f aca="false">IF($B60=HD$12,$O60,"")</f>
        <v/>
      </c>
      <c r="HE60" s="88" t="str">
        <f aca="false">IF($B60=HE$12,$O60,"")</f>
        <v/>
      </c>
      <c r="HF60" s="88" t="str">
        <f aca="false">IF($B60=HF$12,$O60,"")</f>
        <v/>
      </c>
      <c r="HG60" s="88" t="str">
        <f aca="false">IF($B60=HG$12,$O60,"")</f>
        <v/>
      </c>
      <c r="HH60" s="88" t="str">
        <f aca="false">IF($B60=HH$12,$O60,"")</f>
        <v/>
      </c>
      <c r="HI60" s="88" t="str">
        <f aca="false">IF($B60=HI$12,$O60,"")</f>
        <v/>
      </c>
      <c r="HJ60" s="88" t="str">
        <f aca="false">IF($B60=HJ$12,$O60,"")</f>
        <v/>
      </c>
      <c r="HK60" s="88" t="str">
        <f aca="false">IF($B60=HK$12,$O60,"")</f>
        <v/>
      </c>
      <c r="HL60" s="88" t="str">
        <f aca="false">IF($B60=HL$12,$O60,"")</f>
        <v/>
      </c>
      <c r="HM60" s="88" t="str">
        <f aca="false">IF($B60=HM$12,$O60,"")</f>
        <v/>
      </c>
      <c r="HN60" s="88" t="str">
        <f aca="false">IF($B60=HN$12,$O60,"")</f>
        <v/>
      </c>
      <c r="HO60" s="88" t="str">
        <f aca="false">IF($B60=HO$12,$O60,"")</f>
        <v/>
      </c>
      <c r="HP60" s="88" t="str">
        <f aca="false">IF($B60=HP$12,$O60,"")</f>
        <v/>
      </c>
      <c r="HQ60" s="88" t="str">
        <f aca="false">IF($B60=HQ$12,$O60,"")</f>
        <v/>
      </c>
      <c r="HR60" s="89" t="str">
        <f aca="false">IF($B60=HR$12,$O60,"")</f>
        <v/>
      </c>
    </row>
    <row r="61" customFormat="false" ht="10.5" hidden="false" customHeight="true" outlineLevel="0" collapsed="false">
      <c r="A61" s="73"/>
      <c r="B61" s="74"/>
      <c r="C61" s="75" t="str">
        <f aca="false">IF(A61=0,"",VLOOKUP(A61,[3]CO!$A$3:$F$5311,2,0))</f>
        <v/>
      </c>
      <c r="D61" s="76"/>
      <c r="E61" s="76"/>
      <c r="F61" s="76"/>
      <c r="G61" s="77" t="str">
        <f aca="false">IF(A61=0,"",VLOOKUP(A61,[3]CO!$A$3:$F$5311,3,0))</f>
        <v/>
      </c>
      <c r="H61" s="76"/>
      <c r="I61" s="78"/>
      <c r="J61" s="78"/>
      <c r="K61" s="78"/>
      <c r="L61" s="78"/>
      <c r="M61" s="79" t="str">
        <f aca="false">IF(L61=0,"",PRODUCT(I61:L61))</f>
        <v/>
      </c>
      <c r="N61" s="79" t="str">
        <f aca="false">IF(B61=0,"",IF(H61="M",HLOOKUP(B61,$Y$12:$DT$13,2),IF(A61=0,"",VLOOKUP(A61,[3]CO!$A$3:$F$5311,4,0))))</f>
        <v/>
      </c>
      <c r="O61" s="79" t="str">
        <f aca="false">IF(L61=0,"",PRODUCT(M61:N61))</f>
        <v/>
      </c>
      <c r="P61" s="80"/>
      <c r="Q61" s="81" t="str">
        <f aca="false">IF(P61=0,"",(HLOOKUP(P61,$DW$12:$HR$13,2)))</f>
        <v/>
      </c>
      <c r="R61" s="82" t="str">
        <f aca="false">IF(S61=0,"",IF(OR(G61="PEON",G61="OF",G61="JARD",G61="CARP",G61="MAESTRO",G61="SOLD",G61="BGRO",G61="CHOFER",G61="AYTE",G61="S.INTTE.",G61="ASEO",G61="P.PISOS",G61="VELADOR",G61="RESID",G61="PINTOR",G61="ELECT",G61="AZULE",G61="AUX CONT.",G61="SECRETARIA",G61="AUXILIAR ADMTVO.",G61="ARQUITECTO",G61="DIBUJANTE",G61="AUX. DE RESIDENTE"),VLOOKUP(B61,P$14:Q$131,2),"")*S61)</f>
        <v/>
      </c>
      <c r="S61" s="5"/>
      <c r="T61" s="65" t="str">
        <f aca="false">IF(A61=0,"",VLOOKUP(A61,[3]CO!$A$3:$F$5302,5,0))</f>
        <v/>
      </c>
      <c r="U61" s="55" t="n">
        <f aca="false">IF(T61=1,O61*0.1,)</f>
        <v>0</v>
      </c>
      <c r="V61" s="66"/>
      <c r="W61" s="83"/>
      <c r="X61" s="83"/>
      <c r="Y61" s="84" t="str">
        <f aca="false">IF($B61=Y$12,$U61,"")</f>
        <v/>
      </c>
      <c r="Z61" s="85" t="str">
        <f aca="false">IF($B61=Z$12,$U61,"")</f>
        <v/>
      </c>
      <c r="AA61" s="85" t="str">
        <f aca="false">IF($B61=AA$12,$U61,"")</f>
        <v/>
      </c>
      <c r="AB61" s="85" t="str">
        <f aca="false">IF($B61=AB$12,$U61,"")</f>
        <v/>
      </c>
      <c r="AC61" s="85" t="str">
        <f aca="false">IF($B61=AC$12,$U61,"")</f>
        <v/>
      </c>
      <c r="AD61" s="85" t="str">
        <f aca="false">IF($B61=AD$12,$U61,"")</f>
        <v/>
      </c>
      <c r="AE61" s="85" t="str">
        <f aca="false">IF($B61=AE$12,$U61,"")</f>
        <v/>
      </c>
      <c r="AF61" s="85" t="str">
        <f aca="false">IF($B61=AF$12,$U61,"")</f>
        <v/>
      </c>
      <c r="AG61" s="85" t="str">
        <f aca="false">IF($B61=AG$12,$U61,"")</f>
        <v/>
      </c>
      <c r="AH61" s="85" t="str">
        <f aca="false">IF($B61=AH$12,$U61,"")</f>
        <v/>
      </c>
      <c r="AI61" s="85" t="str">
        <f aca="false">IF($B61=AI$12,$U61,"")</f>
        <v/>
      </c>
      <c r="AJ61" s="85" t="str">
        <f aca="false">IF($B61=AJ$12,$U61,"")</f>
        <v/>
      </c>
      <c r="AK61" s="85" t="str">
        <f aca="false">IF($B61=AK$12,$U61,"")</f>
        <v/>
      </c>
      <c r="AL61" s="85" t="str">
        <f aca="false">IF($B61=AL$12,$U61,"")</f>
        <v/>
      </c>
      <c r="AM61" s="85" t="str">
        <f aca="false">IF($B61=AM$12,$U61,"")</f>
        <v/>
      </c>
      <c r="AN61" s="85" t="str">
        <f aca="false">IF($B61=AN$12,$U61,"")</f>
        <v/>
      </c>
      <c r="AO61" s="85" t="str">
        <f aca="false">IF($B61=AO$12,$U61,"")</f>
        <v/>
      </c>
      <c r="AP61" s="85" t="str">
        <f aca="false">IF($B61=AP$12,$U61,"")</f>
        <v/>
      </c>
      <c r="AQ61" s="85" t="str">
        <f aca="false">IF($B61=AQ$12,$U61,"")</f>
        <v/>
      </c>
      <c r="AR61" s="85" t="str">
        <f aca="false">IF($B61=AR$12,$U61,"")</f>
        <v/>
      </c>
      <c r="AS61" s="85" t="str">
        <f aca="false">IF($B61=AS$12,$U61,"")</f>
        <v/>
      </c>
      <c r="AT61" s="85" t="str">
        <f aca="false">IF($B61=AT$12,$U61,"")</f>
        <v/>
      </c>
      <c r="AU61" s="85" t="str">
        <f aca="false">IF($B61=AU$12,$U61,"")</f>
        <v/>
      </c>
      <c r="AV61" s="85" t="str">
        <f aca="false">IF($B61=AV$12,$U61,"")</f>
        <v/>
      </c>
      <c r="AW61" s="85" t="str">
        <f aca="false">IF($B61=AW$12,$U61,"")</f>
        <v/>
      </c>
      <c r="AX61" s="85" t="str">
        <f aca="false">IF($B61=AX$12,$U61,"")</f>
        <v/>
      </c>
      <c r="AY61" s="85" t="str">
        <f aca="false">IF($B61=AY$12,$U61,"")</f>
        <v/>
      </c>
      <c r="AZ61" s="85" t="str">
        <f aca="false">IF($B61=AZ$12,$U61,"")</f>
        <v/>
      </c>
      <c r="BA61" s="85" t="str">
        <f aca="false">IF($B61=BA$12,$U61,"")</f>
        <v/>
      </c>
      <c r="BB61" s="85" t="str">
        <f aca="false">IF($B61=BB$12,$U61,"")</f>
        <v/>
      </c>
      <c r="BC61" s="85" t="str">
        <f aca="false">IF($B61=BC$12,$U61,"")</f>
        <v/>
      </c>
      <c r="BD61" s="85" t="str">
        <f aca="false">IF($B61=BD$12,$U61,"")</f>
        <v/>
      </c>
      <c r="BE61" s="85" t="str">
        <f aca="false">IF($B61=BE$12,$U61,"")</f>
        <v/>
      </c>
      <c r="BF61" s="85" t="str">
        <f aca="false">IF($B61=BF$12,$U61,"")</f>
        <v/>
      </c>
      <c r="BG61" s="85" t="str">
        <f aca="false">IF($B61=BG$12,$U61,"")</f>
        <v/>
      </c>
      <c r="BH61" s="85" t="str">
        <f aca="false">IF($B61=BH$12,$U61,"")</f>
        <v/>
      </c>
      <c r="BI61" s="85" t="str">
        <f aca="false">IF($B61=BI$12,$U61,"")</f>
        <v/>
      </c>
      <c r="BJ61" s="85" t="str">
        <f aca="false">IF($B61=BJ$12,$U61,"")</f>
        <v/>
      </c>
      <c r="BK61" s="85" t="str">
        <f aca="false">IF($B61=BK$12,$U61,"")</f>
        <v/>
      </c>
      <c r="BL61" s="85" t="str">
        <f aca="false">IF($B61=BL$12,$U61,"")</f>
        <v/>
      </c>
      <c r="BM61" s="85" t="str">
        <f aca="false">IF($B61=BM$12,$U61,"")</f>
        <v/>
      </c>
      <c r="BN61" s="85" t="str">
        <f aca="false">IF($B61=BN$12,$U61,"")</f>
        <v/>
      </c>
      <c r="BO61" s="85" t="str">
        <f aca="false">IF($B61=BO$12,$U61,"")</f>
        <v/>
      </c>
      <c r="BP61" s="85" t="str">
        <f aca="false">IF($B61=BP$12,$U61,"")</f>
        <v/>
      </c>
      <c r="BQ61" s="85" t="str">
        <f aca="false">IF($B61=BQ$12,$U61,"")</f>
        <v/>
      </c>
      <c r="BR61" s="85" t="str">
        <f aca="false">IF($B61=BR$12,$U61,"")</f>
        <v/>
      </c>
      <c r="BS61" s="85" t="str">
        <f aca="false">IF($B61=BS$12,$U61,"")</f>
        <v/>
      </c>
      <c r="BT61" s="85" t="str">
        <f aca="false">IF($B61=BT$12,$U61,"")</f>
        <v/>
      </c>
      <c r="BU61" s="85" t="str">
        <f aca="false">IF($B61=BU$12,$U61,"")</f>
        <v/>
      </c>
      <c r="BV61" s="85" t="str">
        <f aca="false">IF($B61=BV$12,$U61,"")</f>
        <v/>
      </c>
      <c r="BW61" s="85" t="str">
        <f aca="false">IF($B61=BW$12,$U61,"")</f>
        <v/>
      </c>
      <c r="BX61" s="85" t="str">
        <f aca="false">IF($B61=BX$12,$U61,"")</f>
        <v/>
      </c>
      <c r="BY61" s="85" t="str">
        <f aca="false">IF($B61=BY$12,$U61,"")</f>
        <v/>
      </c>
      <c r="BZ61" s="85" t="str">
        <f aca="false">IF($B61=BZ$12,$U61,"")</f>
        <v/>
      </c>
      <c r="CA61" s="85" t="str">
        <f aca="false">IF($B61=CA$12,$U61,"")</f>
        <v/>
      </c>
      <c r="CB61" s="85" t="str">
        <f aca="false">IF($B61=CB$12,$U61,"")</f>
        <v/>
      </c>
      <c r="CC61" s="85" t="str">
        <f aca="false">IF($B61=CC$12,$U61,"")</f>
        <v/>
      </c>
      <c r="CD61" s="85" t="str">
        <f aca="false">IF($B61=CD$12,$U61,"")</f>
        <v/>
      </c>
      <c r="CE61" s="85" t="str">
        <f aca="false">IF($B61=CE$12,$U61,"")</f>
        <v/>
      </c>
      <c r="CF61" s="85" t="str">
        <f aca="false">IF($B61=CF$12,$U61,"")</f>
        <v/>
      </c>
      <c r="CG61" s="85" t="str">
        <f aca="false">IF($B61=CG$12,$U61,"")</f>
        <v/>
      </c>
      <c r="CH61" s="85" t="str">
        <f aca="false">IF($B61=CH$12,$U61,"")</f>
        <v/>
      </c>
      <c r="CI61" s="85" t="str">
        <f aca="false">IF($B61=CI$12,$U61,"")</f>
        <v/>
      </c>
      <c r="CJ61" s="85" t="str">
        <f aca="false">IF($B61=CJ$12,$U61,"")</f>
        <v/>
      </c>
      <c r="CK61" s="85" t="str">
        <f aca="false">IF($B61=CK$12,$U61,"")</f>
        <v/>
      </c>
      <c r="CL61" s="85" t="str">
        <f aca="false">IF($B61=CL$12,$U61,"")</f>
        <v/>
      </c>
      <c r="CM61" s="85" t="str">
        <f aca="false">IF($B61=CM$12,$U61,"")</f>
        <v/>
      </c>
      <c r="CN61" s="85" t="str">
        <f aca="false">IF($B61=CN$12,$U61,"")</f>
        <v/>
      </c>
      <c r="CO61" s="85" t="str">
        <f aca="false">IF($B61=CO$12,$U61,"")</f>
        <v/>
      </c>
      <c r="CP61" s="85" t="str">
        <f aca="false">IF($B61=CP$12,$U61,"")</f>
        <v/>
      </c>
      <c r="CQ61" s="85" t="str">
        <f aca="false">IF($B61=CQ$12,$U61,"")</f>
        <v/>
      </c>
      <c r="CR61" s="85" t="str">
        <f aca="false">IF($B61=CR$12,$U61,"")</f>
        <v/>
      </c>
      <c r="CS61" s="85" t="str">
        <f aca="false">IF($B61=CS$12,$U61,"")</f>
        <v/>
      </c>
      <c r="CT61" s="85" t="str">
        <f aca="false">IF($B61=CT$12,$U61,"")</f>
        <v/>
      </c>
      <c r="CU61" s="85" t="str">
        <f aca="false">IF($B61=CU$12,$U61,"")</f>
        <v/>
      </c>
      <c r="CV61" s="85" t="str">
        <f aca="false">IF($B61=CV$12,$U61,"")</f>
        <v/>
      </c>
      <c r="CW61" s="85" t="str">
        <f aca="false">IF($B61=CW$12,$U61,"")</f>
        <v/>
      </c>
      <c r="CX61" s="85" t="str">
        <f aca="false">IF($B61=CX$12,$U61,"")</f>
        <v/>
      </c>
      <c r="CY61" s="85" t="str">
        <f aca="false">IF($B61=CY$12,$U61,"")</f>
        <v/>
      </c>
      <c r="CZ61" s="85" t="str">
        <f aca="false">IF($B61=CZ$12,$U61,"")</f>
        <v/>
      </c>
      <c r="DA61" s="85" t="str">
        <f aca="false">IF($B61=DA$12,$U61,"")</f>
        <v/>
      </c>
      <c r="DB61" s="85" t="str">
        <f aca="false">IF($B61=DB$12,$U61,"")</f>
        <v/>
      </c>
      <c r="DC61" s="85" t="str">
        <f aca="false">IF($B61=DC$12,$U61,"")</f>
        <v/>
      </c>
      <c r="DD61" s="85" t="str">
        <f aca="false">IF($B61=DD$12,$U61,"")</f>
        <v/>
      </c>
      <c r="DE61" s="85" t="str">
        <f aca="false">IF($B61=DE$12,$U61,"")</f>
        <v/>
      </c>
      <c r="DF61" s="85" t="str">
        <f aca="false">IF($B61=DF$12,$U61,"")</f>
        <v/>
      </c>
      <c r="DG61" s="85" t="str">
        <f aca="false">IF($B61=DG$12,$U61,"")</f>
        <v/>
      </c>
      <c r="DH61" s="85" t="str">
        <f aca="false">IF($B61=DH$12,$U61,"")</f>
        <v/>
      </c>
      <c r="DI61" s="85" t="str">
        <f aca="false">IF($B61=DI$12,$U61,"")</f>
        <v/>
      </c>
      <c r="DJ61" s="85" t="str">
        <f aca="false">IF($B61=DJ$12,$U61,"")</f>
        <v/>
      </c>
      <c r="DK61" s="85" t="str">
        <f aca="false">IF($B61=DK$12,$U61,"")</f>
        <v/>
      </c>
      <c r="DL61" s="85" t="str">
        <f aca="false">IF($B61=DL$12,$U61,"")</f>
        <v/>
      </c>
      <c r="DM61" s="85" t="str">
        <f aca="false">IF($B61=DM$12,$U61,"")</f>
        <v/>
      </c>
      <c r="DN61" s="85" t="str">
        <f aca="false">IF($B61=DN$12,$U61,"")</f>
        <v/>
      </c>
      <c r="DO61" s="85" t="str">
        <f aca="false">IF($B61=DO$12,$U61,"")</f>
        <v/>
      </c>
      <c r="DP61" s="85" t="str">
        <f aca="false">IF($B61=DP$12,$U61,"")</f>
        <v/>
      </c>
      <c r="DQ61" s="85" t="str">
        <f aca="false">IF($B61=DQ$12,$U61,"")</f>
        <v/>
      </c>
      <c r="DR61" s="85" t="str">
        <f aca="false">IF($B61=DR$12,$U61,"")</f>
        <v/>
      </c>
      <c r="DS61" s="85" t="str">
        <f aca="false">IF($B61=DS$12,$U61,"")</f>
        <v/>
      </c>
      <c r="DT61" s="86" t="str">
        <f aca="false">IF($B61=DT$12,$U61,"")</f>
        <v/>
      </c>
      <c r="DU61" s="55"/>
      <c r="DV61" s="83"/>
      <c r="DW61" s="87" t="str">
        <f aca="false">IF($B61=DW$12,$O61,"")</f>
        <v/>
      </c>
      <c r="DX61" s="88" t="str">
        <f aca="false">IF($B61=DX$12,$O61,"")</f>
        <v/>
      </c>
      <c r="DY61" s="88" t="str">
        <f aca="false">IF($B61=DY$12,$O61,"")</f>
        <v/>
      </c>
      <c r="DZ61" s="88" t="str">
        <f aca="false">IF($B61=DZ$12,$O61,"")</f>
        <v/>
      </c>
      <c r="EA61" s="88" t="str">
        <f aca="false">IF($B61=EA$12,$O61,"")</f>
        <v/>
      </c>
      <c r="EB61" s="88" t="str">
        <f aca="false">IF($B61=EB$12,$O61,"")</f>
        <v/>
      </c>
      <c r="EC61" s="88" t="str">
        <f aca="false">IF($B61=EC$12,$O61,"")</f>
        <v/>
      </c>
      <c r="ED61" s="88" t="str">
        <f aca="false">IF($B61=ED$12,$O61,"")</f>
        <v/>
      </c>
      <c r="EE61" s="88" t="str">
        <f aca="false">IF($B61=EE$12,$O61,"")</f>
        <v/>
      </c>
      <c r="EF61" s="88" t="str">
        <f aca="false">IF($B61=EF$12,$O61,"")</f>
        <v/>
      </c>
      <c r="EG61" s="88" t="str">
        <f aca="false">IF($B61=EG$12,$O61,"")</f>
        <v/>
      </c>
      <c r="EH61" s="88" t="str">
        <f aca="false">IF($B61=EH$12,$O61,"")</f>
        <v/>
      </c>
      <c r="EI61" s="88" t="str">
        <f aca="false">IF($B61=EI$12,$O61,"")</f>
        <v/>
      </c>
      <c r="EJ61" s="88" t="str">
        <f aca="false">IF($B61=EJ$12,$O61,"")</f>
        <v/>
      </c>
      <c r="EK61" s="88" t="str">
        <f aca="false">IF($B61=EK$12,$O61,"")</f>
        <v/>
      </c>
      <c r="EL61" s="88" t="str">
        <f aca="false">IF($B61=EL$12,$O61,"")</f>
        <v/>
      </c>
      <c r="EM61" s="88" t="str">
        <f aca="false">IF($B61=EM$12,$O61,"")</f>
        <v/>
      </c>
      <c r="EN61" s="88" t="str">
        <f aca="false">IF($B61=EN$12,$O61,"")</f>
        <v/>
      </c>
      <c r="EO61" s="88" t="str">
        <f aca="false">IF($B61=EO$12,$O61,"")</f>
        <v/>
      </c>
      <c r="EP61" s="88" t="str">
        <f aca="false">IF($B61=EP$12,$O61,"")</f>
        <v/>
      </c>
      <c r="EQ61" s="88" t="str">
        <f aca="false">IF($B61=EQ$12,$O61,"")</f>
        <v/>
      </c>
      <c r="ER61" s="88" t="str">
        <f aca="false">IF($B61=ER$12,$O61,"")</f>
        <v/>
      </c>
      <c r="ES61" s="88" t="str">
        <f aca="false">IF($B61=ES$12,$O61,"")</f>
        <v/>
      </c>
      <c r="ET61" s="88" t="str">
        <f aca="false">IF($B61=ET$12,$O61,"")</f>
        <v/>
      </c>
      <c r="EU61" s="88" t="str">
        <f aca="false">IF($B61=EU$12,$O61,"")</f>
        <v/>
      </c>
      <c r="EV61" s="88" t="str">
        <f aca="false">IF($B61=EV$12,$O61,"")</f>
        <v/>
      </c>
      <c r="EW61" s="88" t="str">
        <f aca="false">IF($B61=EW$12,$O61,"")</f>
        <v/>
      </c>
      <c r="EX61" s="88" t="str">
        <f aca="false">IF($B61=EX$12,$O61,"")</f>
        <v/>
      </c>
      <c r="EY61" s="88" t="str">
        <f aca="false">IF($B61=EY$12,$O61,"")</f>
        <v/>
      </c>
      <c r="EZ61" s="88" t="str">
        <f aca="false">IF($B61=EZ$12,$O61,"")</f>
        <v/>
      </c>
      <c r="FA61" s="88" t="str">
        <f aca="false">IF($B61=FA$12,$O61,"")</f>
        <v/>
      </c>
      <c r="FB61" s="88" t="str">
        <f aca="false">IF($B61=FB$12,$O61,"")</f>
        <v/>
      </c>
      <c r="FC61" s="88" t="str">
        <f aca="false">IF($B61=FC$12,$O61,"")</f>
        <v/>
      </c>
      <c r="FD61" s="88" t="str">
        <f aca="false">IF($B61=FD$12,$O61,"")</f>
        <v/>
      </c>
      <c r="FE61" s="88" t="str">
        <f aca="false">IF($B61=FE$12,$O61,"")</f>
        <v/>
      </c>
      <c r="FF61" s="88" t="str">
        <f aca="false">IF($B61=FF$12,$O61,"")</f>
        <v/>
      </c>
      <c r="FG61" s="88" t="str">
        <f aca="false">IF($B61=FG$12,$O61,"")</f>
        <v/>
      </c>
      <c r="FH61" s="88" t="str">
        <f aca="false">IF($B61=FH$12,$O61,"")</f>
        <v/>
      </c>
      <c r="FI61" s="88" t="str">
        <f aca="false">IF($B61=FI$12,$O61,"")</f>
        <v/>
      </c>
      <c r="FJ61" s="88" t="str">
        <f aca="false">IF($B61=FJ$12,$O61,"")</f>
        <v/>
      </c>
      <c r="FK61" s="88" t="str">
        <f aca="false">IF($B61=FK$12,$O61,"")</f>
        <v/>
      </c>
      <c r="FL61" s="88" t="str">
        <f aca="false">IF($B61=FL$12,$O61,"")</f>
        <v/>
      </c>
      <c r="FM61" s="88" t="str">
        <f aca="false">IF($B61=FM$12,$O61,"")</f>
        <v/>
      </c>
      <c r="FN61" s="88" t="str">
        <f aca="false">IF($B61=FN$12,$O61,"")</f>
        <v/>
      </c>
      <c r="FO61" s="88" t="str">
        <f aca="false">IF($B61=FO$12,$O61,"")</f>
        <v/>
      </c>
      <c r="FP61" s="88" t="str">
        <f aca="false">IF($B61=FP$12,$O61,"")</f>
        <v/>
      </c>
      <c r="FQ61" s="88" t="str">
        <f aca="false">IF($B61=FQ$12,$O61,"")</f>
        <v/>
      </c>
      <c r="FR61" s="88" t="str">
        <f aca="false">IF($B61=FR$12,$O61,"")</f>
        <v/>
      </c>
      <c r="FS61" s="88" t="str">
        <f aca="false">IF($B61=FS$12,$O61,"")</f>
        <v/>
      </c>
      <c r="FT61" s="88" t="str">
        <f aca="false">IF($B61=FT$12,$O61,"")</f>
        <v/>
      </c>
      <c r="FU61" s="88" t="str">
        <f aca="false">IF($B61=FU$12,$O61,"")</f>
        <v/>
      </c>
      <c r="FV61" s="88" t="str">
        <f aca="false">IF($B61=FV$12,$O61,"")</f>
        <v/>
      </c>
      <c r="FW61" s="88" t="str">
        <f aca="false">IF($B61=FW$12,$O61,"")</f>
        <v/>
      </c>
      <c r="FX61" s="88" t="str">
        <f aca="false">IF($B61=FX$12,$O61,"")</f>
        <v/>
      </c>
      <c r="FY61" s="88" t="str">
        <f aca="false">IF($B61=FY$12,$O61,"")</f>
        <v/>
      </c>
      <c r="FZ61" s="88" t="str">
        <f aca="false">IF($B61=FZ$12,$O61,"")</f>
        <v/>
      </c>
      <c r="GA61" s="88" t="str">
        <f aca="false">IF($B61=GA$12,$O61,"")</f>
        <v/>
      </c>
      <c r="GB61" s="88" t="str">
        <f aca="false">IF($B61=GB$12,$O61,"")</f>
        <v/>
      </c>
      <c r="GC61" s="88" t="str">
        <f aca="false">IF($B61=GC$12,$O61,"")</f>
        <v/>
      </c>
      <c r="GD61" s="88" t="str">
        <f aca="false">IF($B61=GD$12,$O61,"")</f>
        <v/>
      </c>
      <c r="GE61" s="88" t="str">
        <f aca="false">IF($B61=GE$12,$O61,"")</f>
        <v/>
      </c>
      <c r="GF61" s="88" t="str">
        <f aca="false">IF($B61=GF$12,$O61,"")</f>
        <v/>
      </c>
      <c r="GG61" s="88" t="str">
        <f aca="false">IF($B61=GG$12,$O61,"")</f>
        <v/>
      </c>
      <c r="GH61" s="88" t="str">
        <f aca="false">IF($B61=GH$12,$O61,"")</f>
        <v/>
      </c>
      <c r="GI61" s="88" t="str">
        <f aca="false">IF($B61=GI$12,$O61,"")</f>
        <v/>
      </c>
      <c r="GJ61" s="88" t="str">
        <f aca="false">IF($B61=GJ$12,$O61,"")</f>
        <v/>
      </c>
      <c r="GK61" s="88" t="str">
        <f aca="false">IF($B61=GK$12,$O61,"")</f>
        <v/>
      </c>
      <c r="GL61" s="88" t="str">
        <f aca="false">IF($B61=GL$12,$O61,"")</f>
        <v/>
      </c>
      <c r="GM61" s="88" t="str">
        <f aca="false">IF($B61=GM$12,$O61,"")</f>
        <v/>
      </c>
      <c r="GN61" s="88" t="str">
        <f aca="false">IF($B61=GN$12,$O61,"")</f>
        <v/>
      </c>
      <c r="GO61" s="88" t="str">
        <f aca="false">IF($B61=GO$12,$O61,"")</f>
        <v/>
      </c>
      <c r="GP61" s="88" t="str">
        <f aca="false">IF($B61=GP$12,$O61,"")</f>
        <v/>
      </c>
      <c r="GQ61" s="88" t="str">
        <f aca="false">IF($B61=GQ$12,$O61,"")</f>
        <v/>
      </c>
      <c r="GR61" s="88" t="str">
        <f aca="false">IF($B61=GR$12,$O61,"")</f>
        <v/>
      </c>
      <c r="GS61" s="88" t="str">
        <f aca="false">IF($B61=GS$12,$O61,"")</f>
        <v/>
      </c>
      <c r="GT61" s="88" t="str">
        <f aca="false">IF($B61=GT$12,$O61,"")</f>
        <v/>
      </c>
      <c r="GU61" s="88" t="str">
        <f aca="false">IF($B61=GU$12,$O61,"")</f>
        <v/>
      </c>
      <c r="GV61" s="88" t="str">
        <f aca="false">IF($B61=GV$12,$O61,"")</f>
        <v/>
      </c>
      <c r="GW61" s="88" t="str">
        <f aca="false">IF($B61=GW$12,$O61,"")</f>
        <v/>
      </c>
      <c r="GX61" s="88" t="str">
        <f aca="false">IF($B61=GX$12,$O61,"")</f>
        <v/>
      </c>
      <c r="GY61" s="88" t="str">
        <f aca="false">IF($B61=GY$12,$O61,"")</f>
        <v/>
      </c>
      <c r="GZ61" s="88" t="str">
        <f aca="false">IF($B61=GZ$12,$O61,"")</f>
        <v/>
      </c>
      <c r="HA61" s="88" t="str">
        <f aca="false">IF($B61=HA$12,$O61,"")</f>
        <v/>
      </c>
      <c r="HB61" s="88" t="str">
        <f aca="false">IF($B61=HB$12,$O61,"")</f>
        <v/>
      </c>
      <c r="HC61" s="88" t="str">
        <f aca="false">IF($B61=HC$12,$O61,"")</f>
        <v/>
      </c>
      <c r="HD61" s="88" t="str">
        <f aca="false">IF($B61=HD$12,$O61,"")</f>
        <v/>
      </c>
      <c r="HE61" s="88" t="str">
        <f aca="false">IF($B61=HE$12,$O61,"")</f>
        <v/>
      </c>
      <c r="HF61" s="88" t="str">
        <f aca="false">IF($B61=HF$12,$O61,"")</f>
        <v/>
      </c>
      <c r="HG61" s="88" t="str">
        <f aca="false">IF($B61=HG$12,$O61,"")</f>
        <v/>
      </c>
      <c r="HH61" s="88" t="str">
        <f aca="false">IF($B61=HH$12,$O61,"")</f>
        <v/>
      </c>
      <c r="HI61" s="88" t="str">
        <f aca="false">IF($B61=HI$12,$O61,"")</f>
        <v/>
      </c>
      <c r="HJ61" s="88" t="str">
        <f aca="false">IF($B61=HJ$12,$O61,"")</f>
        <v/>
      </c>
      <c r="HK61" s="88" t="str">
        <f aca="false">IF($B61=HK$12,$O61,"")</f>
        <v/>
      </c>
      <c r="HL61" s="88" t="str">
        <f aca="false">IF($B61=HL$12,$O61,"")</f>
        <v/>
      </c>
      <c r="HM61" s="88" t="str">
        <f aca="false">IF($B61=HM$12,$O61,"")</f>
        <v/>
      </c>
      <c r="HN61" s="88" t="str">
        <f aca="false">IF($B61=HN$12,$O61,"")</f>
        <v/>
      </c>
      <c r="HO61" s="88" t="str">
        <f aca="false">IF($B61=HO$12,$O61,"")</f>
        <v/>
      </c>
      <c r="HP61" s="88" t="str">
        <f aca="false">IF($B61=HP$12,$O61,"")</f>
        <v/>
      </c>
      <c r="HQ61" s="88" t="str">
        <f aca="false">IF($B61=HQ$12,$O61,"")</f>
        <v/>
      </c>
      <c r="HR61" s="89" t="str">
        <f aca="false">IF($B61=HR$12,$O61,"")</f>
        <v/>
      </c>
    </row>
    <row r="62" customFormat="false" ht="10.5" hidden="false" customHeight="true" outlineLevel="0" collapsed="false">
      <c r="A62" s="73"/>
      <c r="B62" s="74"/>
      <c r="C62" s="75" t="str">
        <f aca="false">IF(A62=0,"",VLOOKUP(A62,[3]CO!$A$3:$F$5311,2,0))</f>
        <v/>
      </c>
      <c r="D62" s="76"/>
      <c r="E62" s="76"/>
      <c r="F62" s="76"/>
      <c r="G62" s="77" t="str">
        <f aca="false">IF(A62=0,"",VLOOKUP(A62,[3]CO!$A$3:$F$5311,3,0))</f>
        <v/>
      </c>
      <c r="H62" s="76"/>
      <c r="I62" s="78"/>
      <c r="J62" s="78"/>
      <c r="K62" s="78"/>
      <c r="L62" s="78"/>
      <c r="M62" s="79" t="str">
        <f aca="false">IF(L62=0,"",PRODUCT(I62:L62))</f>
        <v/>
      </c>
      <c r="N62" s="79" t="str">
        <f aca="false">IF(B62=0,"",IF(H62="M",HLOOKUP(B62,$Y$12:$DT$13,2),IF(A62=0,"",VLOOKUP(A62,[3]CO!$A$3:$F$5311,4,0))))</f>
        <v/>
      </c>
      <c r="O62" s="79" t="str">
        <f aca="false">IF(L62=0,"",PRODUCT(M62:N62))</f>
        <v/>
      </c>
      <c r="P62" s="80"/>
      <c r="Q62" s="81" t="str">
        <f aca="false">IF(P62=0,"",(HLOOKUP(P62,$DW$12:$HR$13,2)))</f>
        <v/>
      </c>
      <c r="R62" s="82" t="str">
        <f aca="false">IF(S62=0,"",IF(OR(G62="PEON",G62="OF",G62="JARD",G62="CARP",G62="MAESTRO",G62="SOLD",G62="BGRO",G62="CHOFER",G62="AYTE",G62="S.INTTE.",G62="ASEO",G62="P.PISOS",G62="VELADOR",G62="RESID",G62="PINTOR",G62="ELECT",G62="AZULE",G62="AUX CONT.",G62="SECRETARIA",G62="AUXILIAR ADMTVO.",G62="ARQUITECTO",G62="DIBUJANTE",G62="AUX. DE RESIDENTE"),VLOOKUP(B62,P$14:Q$131,2),"")*S62)</f>
        <v/>
      </c>
      <c r="S62" s="5"/>
      <c r="T62" s="65" t="str">
        <f aca="false">IF(A62=0,"",VLOOKUP(A62,[3]CO!$A$3:$F$5302,5,0))</f>
        <v/>
      </c>
      <c r="U62" s="55" t="n">
        <f aca="false">IF(T62=1,O62*0.1,)</f>
        <v>0</v>
      </c>
      <c r="V62" s="66"/>
      <c r="W62" s="83"/>
      <c r="X62" s="83"/>
      <c r="Y62" s="84" t="str">
        <f aca="false">IF($B62=Y$12,$U62,"")</f>
        <v/>
      </c>
      <c r="Z62" s="85" t="str">
        <f aca="false">IF($B62=Z$12,$U62,"")</f>
        <v/>
      </c>
      <c r="AA62" s="85" t="str">
        <f aca="false">IF($B62=AA$12,$U62,"")</f>
        <v/>
      </c>
      <c r="AB62" s="85" t="str">
        <f aca="false">IF($B62=AB$12,$U62,"")</f>
        <v/>
      </c>
      <c r="AC62" s="85" t="str">
        <f aca="false">IF($B62=AC$12,$U62,"")</f>
        <v/>
      </c>
      <c r="AD62" s="85" t="str">
        <f aca="false">IF($B62=AD$12,$U62,"")</f>
        <v/>
      </c>
      <c r="AE62" s="85" t="str">
        <f aca="false">IF($B62=AE$12,$U62,"")</f>
        <v/>
      </c>
      <c r="AF62" s="85" t="str">
        <f aca="false">IF($B62=AF$12,$U62,"")</f>
        <v/>
      </c>
      <c r="AG62" s="85" t="str">
        <f aca="false">IF($B62=AG$12,$U62,"")</f>
        <v/>
      </c>
      <c r="AH62" s="85" t="str">
        <f aca="false">IF($B62=AH$12,$U62,"")</f>
        <v/>
      </c>
      <c r="AI62" s="85" t="str">
        <f aca="false">IF($B62=AI$12,$U62,"")</f>
        <v/>
      </c>
      <c r="AJ62" s="85" t="str">
        <f aca="false">IF($B62=AJ$12,$U62,"")</f>
        <v/>
      </c>
      <c r="AK62" s="85" t="str">
        <f aca="false">IF($B62=AK$12,$U62,"")</f>
        <v/>
      </c>
      <c r="AL62" s="85" t="str">
        <f aca="false">IF($B62=AL$12,$U62,"")</f>
        <v/>
      </c>
      <c r="AM62" s="85" t="str">
        <f aca="false">IF($B62=AM$12,$U62,"")</f>
        <v/>
      </c>
      <c r="AN62" s="85" t="str">
        <f aca="false">IF($B62=AN$12,$U62,"")</f>
        <v/>
      </c>
      <c r="AO62" s="85" t="str">
        <f aca="false">IF($B62=AO$12,$U62,"")</f>
        <v/>
      </c>
      <c r="AP62" s="85" t="str">
        <f aca="false">IF($B62=AP$12,$U62,"")</f>
        <v/>
      </c>
      <c r="AQ62" s="85" t="str">
        <f aca="false">IF($B62=AQ$12,$U62,"")</f>
        <v/>
      </c>
      <c r="AR62" s="85" t="str">
        <f aca="false">IF($B62=AR$12,$U62,"")</f>
        <v/>
      </c>
      <c r="AS62" s="85" t="str">
        <f aca="false">IF($B62=AS$12,$U62,"")</f>
        <v/>
      </c>
      <c r="AT62" s="85" t="str">
        <f aca="false">IF($B62=AT$12,$U62,"")</f>
        <v/>
      </c>
      <c r="AU62" s="85" t="str">
        <f aca="false">IF($B62=AU$12,$U62,"")</f>
        <v/>
      </c>
      <c r="AV62" s="85" t="str">
        <f aca="false">IF($B62=AV$12,$U62,"")</f>
        <v/>
      </c>
      <c r="AW62" s="85" t="str">
        <f aca="false">IF($B62=AW$12,$U62,"")</f>
        <v/>
      </c>
      <c r="AX62" s="85" t="str">
        <f aca="false">IF($B62=AX$12,$U62,"")</f>
        <v/>
      </c>
      <c r="AY62" s="85" t="str">
        <f aca="false">IF($B62=AY$12,$U62,"")</f>
        <v/>
      </c>
      <c r="AZ62" s="85" t="str">
        <f aca="false">IF($B62=AZ$12,$U62,"")</f>
        <v/>
      </c>
      <c r="BA62" s="85" t="str">
        <f aca="false">IF($B62=BA$12,$U62,"")</f>
        <v/>
      </c>
      <c r="BB62" s="85" t="str">
        <f aca="false">IF($B62=BB$12,$U62,"")</f>
        <v/>
      </c>
      <c r="BC62" s="85" t="str">
        <f aca="false">IF($B62=BC$12,$U62,"")</f>
        <v/>
      </c>
      <c r="BD62" s="85" t="str">
        <f aca="false">IF($B62=BD$12,$U62,"")</f>
        <v/>
      </c>
      <c r="BE62" s="85" t="str">
        <f aca="false">IF($B62=BE$12,$U62,"")</f>
        <v/>
      </c>
      <c r="BF62" s="85" t="str">
        <f aca="false">IF($B62=BF$12,$U62,"")</f>
        <v/>
      </c>
      <c r="BG62" s="85" t="str">
        <f aca="false">IF($B62=BG$12,$U62,"")</f>
        <v/>
      </c>
      <c r="BH62" s="85" t="str">
        <f aca="false">IF($B62=BH$12,$U62,"")</f>
        <v/>
      </c>
      <c r="BI62" s="85" t="str">
        <f aca="false">IF($B62=BI$12,$U62,"")</f>
        <v/>
      </c>
      <c r="BJ62" s="85" t="str">
        <f aca="false">IF($B62=BJ$12,$U62,"")</f>
        <v/>
      </c>
      <c r="BK62" s="85" t="str">
        <f aca="false">IF($B62=BK$12,$U62,"")</f>
        <v/>
      </c>
      <c r="BL62" s="85" t="str">
        <f aca="false">IF($B62=BL$12,$U62,"")</f>
        <v/>
      </c>
      <c r="BM62" s="85" t="str">
        <f aca="false">IF($B62=BM$12,$U62,"")</f>
        <v/>
      </c>
      <c r="BN62" s="85" t="str">
        <f aca="false">IF($B62=BN$12,$U62,"")</f>
        <v/>
      </c>
      <c r="BO62" s="85" t="str">
        <f aca="false">IF($B62=BO$12,$U62,"")</f>
        <v/>
      </c>
      <c r="BP62" s="85" t="str">
        <f aca="false">IF($B62=BP$12,$U62,"")</f>
        <v/>
      </c>
      <c r="BQ62" s="85" t="str">
        <f aca="false">IF($B62=BQ$12,$U62,"")</f>
        <v/>
      </c>
      <c r="BR62" s="85" t="str">
        <f aca="false">IF($B62=BR$12,$U62,"")</f>
        <v/>
      </c>
      <c r="BS62" s="85" t="str">
        <f aca="false">IF($B62=BS$12,$U62,"")</f>
        <v/>
      </c>
      <c r="BT62" s="85" t="str">
        <f aca="false">IF($B62=BT$12,$U62,"")</f>
        <v/>
      </c>
      <c r="BU62" s="85" t="str">
        <f aca="false">IF($B62=BU$12,$U62,"")</f>
        <v/>
      </c>
      <c r="BV62" s="85" t="str">
        <f aca="false">IF($B62=BV$12,$U62,"")</f>
        <v/>
      </c>
      <c r="BW62" s="85" t="str">
        <f aca="false">IF($B62=BW$12,$U62,"")</f>
        <v/>
      </c>
      <c r="BX62" s="85" t="str">
        <f aca="false">IF($B62=BX$12,$U62,"")</f>
        <v/>
      </c>
      <c r="BY62" s="85" t="str">
        <f aca="false">IF($B62=BY$12,$U62,"")</f>
        <v/>
      </c>
      <c r="BZ62" s="85" t="str">
        <f aca="false">IF($B62=BZ$12,$U62,"")</f>
        <v/>
      </c>
      <c r="CA62" s="85" t="str">
        <f aca="false">IF($B62=CA$12,$U62,"")</f>
        <v/>
      </c>
      <c r="CB62" s="85" t="str">
        <f aca="false">IF($B62=CB$12,$U62,"")</f>
        <v/>
      </c>
      <c r="CC62" s="85" t="str">
        <f aca="false">IF($B62=CC$12,$U62,"")</f>
        <v/>
      </c>
      <c r="CD62" s="85" t="str">
        <f aca="false">IF($B62=CD$12,$U62,"")</f>
        <v/>
      </c>
      <c r="CE62" s="85" t="str">
        <f aca="false">IF($B62=CE$12,$U62,"")</f>
        <v/>
      </c>
      <c r="CF62" s="85" t="str">
        <f aca="false">IF($B62=CF$12,$U62,"")</f>
        <v/>
      </c>
      <c r="CG62" s="85" t="str">
        <f aca="false">IF($B62=CG$12,$U62,"")</f>
        <v/>
      </c>
      <c r="CH62" s="85" t="str">
        <f aca="false">IF($B62=CH$12,$U62,"")</f>
        <v/>
      </c>
      <c r="CI62" s="85" t="str">
        <f aca="false">IF($B62=CI$12,$U62,"")</f>
        <v/>
      </c>
      <c r="CJ62" s="85" t="str">
        <f aca="false">IF($B62=CJ$12,$U62,"")</f>
        <v/>
      </c>
      <c r="CK62" s="85" t="str">
        <f aca="false">IF($B62=CK$12,$U62,"")</f>
        <v/>
      </c>
      <c r="CL62" s="85" t="str">
        <f aca="false">IF($B62=CL$12,$U62,"")</f>
        <v/>
      </c>
      <c r="CM62" s="85" t="str">
        <f aca="false">IF($B62=CM$12,$U62,"")</f>
        <v/>
      </c>
      <c r="CN62" s="85" t="str">
        <f aca="false">IF($B62=CN$12,$U62,"")</f>
        <v/>
      </c>
      <c r="CO62" s="85" t="str">
        <f aca="false">IF($B62=CO$12,$U62,"")</f>
        <v/>
      </c>
      <c r="CP62" s="85" t="str">
        <f aca="false">IF($B62=CP$12,$U62,"")</f>
        <v/>
      </c>
      <c r="CQ62" s="85" t="str">
        <f aca="false">IF($B62=CQ$12,$U62,"")</f>
        <v/>
      </c>
      <c r="CR62" s="85" t="str">
        <f aca="false">IF($B62=CR$12,$U62,"")</f>
        <v/>
      </c>
      <c r="CS62" s="85" t="str">
        <f aca="false">IF($B62=CS$12,$U62,"")</f>
        <v/>
      </c>
      <c r="CT62" s="85" t="str">
        <f aca="false">IF($B62=CT$12,$U62,"")</f>
        <v/>
      </c>
      <c r="CU62" s="85" t="str">
        <f aca="false">IF($B62=CU$12,$U62,"")</f>
        <v/>
      </c>
      <c r="CV62" s="85" t="str">
        <f aca="false">IF($B62=CV$12,$U62,"")</f>
        <v/>
      </c>
      <c r="CW62" s="85" t="str">
        <f aca="false">IF($B62=CW$12,$U62,"")</f>
        <v/>
      </c>
      <c r="CX62" s="85" t="str">
        <f aca="false">IF($B62=CX$12,$U62,"")</f>
        <v/>
      </c>
      <c r="CY62" s="85" t="str">
        <f aca="false">IF($B62=CY$12,$U62,"")</f>
        <v/>
      </c>
      <c r="CZ62" s="85" t="str">
        <f aca="false">IF($B62=CZ$12,$U62,"")</f>
        <v/>
      </c>
      <c r="DA62" s="85" t="str">
        <f aca="false">IF($B62=DA$12,$U62,"")</f>
        <v/>
      </c>
      <c r="DB62" s="85" t="str">
        <f aca="false">IF($B62=DB$12,$U62,"")</f>
        <v/>
      </c>
      <c r="DC62" s="85" t="str">
        <f aca="false">IF($B62=DC$12,$U62,"")</f>
        <v/>
      </c>
      <c r="DD62" s="85" t="str">
        <f aca="false">IF($B62=DD$12,$U62,"")</f>
        <v/>
      </c>
      <c r="DE62" s="85" t="str">
        <f aca="false">IF($B62=DE$12,$U62,"")</f>
        <v/>
      </c>
      <c r="DF62" s="85" t="str">
        <f aca="false">IF($B62=DF$12,$U62,"")</f>
        <v/>
      </c>
      <c r="DG62" s="85" t="str">
        <f aca="false">IF($B62=DG$12,$U62,"")</f>
        <v/>
      </c>
      <c r="DH62" s="85" t="str">
        <f aca="false">IF($B62=DH$12,$U62,"")</f>
        <v/>
      </c>
      <c r="DI62" s="85" t="str">
        <f aca="false">IF($B62=DI$12,$U62,"")</f>
        <v/>
      </c>
      <c r="DJ62" s="85" t="str">
        <f aca="false">IF($B62=DJ$12,$U62,"")</f>
        <v/>
      </c>
      <c r="DK62" s="85" t="str">
        <f aca="false">IF($B62=DK$12,$U62,"")</f>
        <v/>
      </c>
      <c r="DL62" s="85" t="str">
        <f aca="false">IF($B62=DL$12,$U62,"")</f>
        <v/>
      </c>
      <c r="DM62" s="85" t="str">
        <f aca="false">IF($B62=DM$12,$U62,"")</f>
        <v/>
      </c>
      <c r="DN62" s="85" t="str">
        <f aca="false">IF($B62=DN$12,$U62,"")</f>
        <v/>
      </c>
      <c r="DO62" s="85" t="str">
        <f aca="false">IF($B62=DO$12,$U62,"")</f>
        <v/>
      </c>
      <c r="DP62" s="85" t="str">
        <f aca="false">IF($B62=DP$12,$U62,"")</f>
        <v/>
      </c>
      <c r="DQ62" s="85" t="str">
        <f aca="false">IF($B62=DQ$12,$U62,"")</f>
        <v/>
      </c>
      <c r="DR62" s="85" t="str">
        <f aca="false">IF($B62=DR$12,$U62,"")</f>
        <v/>
      </c>
      <c r="DS62" s="85" t="str">
        <f aca="false">IF($B62=DS$12,$U62,"")</f>
        <v/>
      </c>
      <c r="DT62" s="86" t="str">
        <f aca="false">IF($B62=DT$12,$U62,"")</f>
        <v/>
      </c>
      <c r="DU62" s="55"/>
      <c r="DV62" s="83"/>
      <c r="DW62" s="87" t="str">
        <f aca="false">IF($B62=DW$12,$O62,"")</f>
        <v/>
      </c>
      <c r="DX62" s="88" t="str">
        <f aca="false">IF($B62=DX$12,$O62,"")</f>
        <v/>
      </c>
      <c r="DY62" s="88" t="str">
        <f aca="false">IF($B62=DY$12,$O62,"")</f>
        <v/>
      </c>
      <c r="DZ62" s="88" t="str">
        <f aca="false">IF($B62=DZ$12,$O62,"")</f>
        <v/>
      </c>
      <c r="EA62" s="88" t="str">
        <f aca="false">IF($B62=EA$12,$O62,"")</f>
        <v/>
      </c>
      <c r="EB62" s="88" t="str">
        <f aca="false">IF($B62=EB$12,$O62,"")</f>
        <v/>
      </c>
      <c r="EC62" s="88" t="str">
        <f aca="false">IF($B62=EC$12,$O62,"")</f>
        <v/>
      </c>
      <c r="ED62" s="88" t="str">
        <f aca="false">IF($B62=ED$12,$O62,"")</f>
        <v/>
      </c>
      <c r="EE62" s="88" t="str">
        <f aca="false">IF($B62=EE$12,$O62,"")</f>
        <v/>
      </c>
      <c r="EF62" s="88" t="str">
        <f aca="false">IF($B62=EF$12,$O62,"")</f>
        <v/>
      </c>
      <c r="EG62" s="88" t="str">
        <f aca="false">IF($B62=EG$12,$O62,"")</f>
        <v/>
      </c>
      <c r="EH62" s="88" t="str">
        <f aca="false">IF($B62=EH$12,$O62,"")</f>
        <v/>
      </c>
      <c r="EI62" s="88" t="str">
        <f aca="false">IF($B62=EI$12,$O62,"")</f>
        <v/>
      </c>
      <c r="EJ62" s="88" t="str">
        <f aca="false">IF($B62=EJ$12,$O62,"")</f>
        <v/>
      </c>
      <c r="EK62" s="88" t="str">
        <f aca="false">IF($B62=EK$12,$O62,"")</f>
        <v/>
      </c>
      <c r="EL62" s="88" t="str">
        <f aca="false">IF($B62=EL$12,$O62,"")</f>
        <v/>
      </c>
      <c r="EM62" s="88" t="str">
        <f aca="false">IF($B62=EM$12,$O62,"")</f>
        <v/>
      </c>
      <c r="EN62" s="88" t="str">
        <f aca="false">IF($B62=EN$12,$O62,"")</f>
        <v/>
      </c>
      <c r="EO62" s="88" t="str">
        <f aca="false">IF($B62=EO$12,$O62,"")</f>
        <v/>
      </c>
      <c r="EP62" s="88" t="str">
        <f aca="false">IF($B62=EP$12,$O62,"")</f>
        <v/>
      </c>
      <c r="EQ62" s="88" t="str">
        <f aca="false">IF($B62=EQ$12,$O62,"")</f>
        <v/>
      </c>
      <c r="ER62" s="88" t="str">
        <f aca="false">IF($B62=ER$12,$O62,"")</f>
        <v/>
      </c>
      <c r="ES62" s="88" t="str">
        <f aca="false">IF($B62=ES$12,$O62,"")</f>
        <v/>
      </c>
      <c r="ET62" s="88" t="str">
        <f aca="false">IF($B62=ET$12,$O62,"")</f>
        <v/>
      </c>
      <c r="EU62" s="88" t="str">
        <f aca="false">IF($B62=EU$12,$O62,"")</f>
        <v/>
      </c>
      <c r="EV62" s="88" t="str">
        <f aca="false">IF($B62=EV$12,$O62,"")</f>
        <v/>
      </c>
      <c r="EW62" s="88" t="str">
        <f aca="false">IF($B62=EW$12,$O62,"")</f>
        <v/>
      </c>
      <c r="EX62" s="88" t="str">
        <f aca="false">IF($B62=EX$12,$O62,"")</f>
        <v/>
      </c>
      <c r="EY62" s="88" t="str">
        <f aca="false">IF($B62=EY$12,$O62,"")</f>
        <v/>
      </c>
      <c r="EZ62" s="88" t="str">
        <f aca="false">IF($B62=EZ$12,$O62,"")</f>
        <v/>
      </c>
      <c r="FA62" s="88" t="str">
        <f aca="false">IF($B62=FA$12,$O62,"")</f>
        <v/>
      </c>
      <c r="FB62" s="88" t="str">
        <f aca="false">IF($B62=FB$12,$O62,"")</f>
        <v/>
      </c>
      <c r="FC62" s="88" t="str">
        <f aca="false">IF($B62=FC$12,$O62,"")</f>
        <v/>
      </c>
      <c r="FD62" s="88" t="str">
        <f aca="false">IF($B62=FD$12,$O62,"")</f>
        <v/>
      </c>
      <c r="FE62" s="88" t="str">
        <f aca="false">IF($B62=FE$12,$O62,"")</f>
        <v/>
      </c>
      <c r="FF62" s="88" t="str">
        <f aca="false">IF($B62=FF$12,$O62,"")</f>
        <v/>
      </c>
      <c r="FG62" s="88" t="str">
        <f aca="false">IF($B62=FG$12,$O62,"")</f>
        <v/>
      </c>
      <c r="FH62" s="88" t="str">
        <f aca="false">IF($B62=FH$12,$O62,"")</f>
        <v/>
      </c>
      <c r="FI62" s="88" t="str">
        <f aca="false">IF($B62=FI$12,$O62,"")</f>
        <v/>
      </c>
      <c r="FJ62" s="88" t="str">
        <f aca="false">IF($B62=FJ$12,$O62,"")</f>
        <v/>
      </c>
      <c r="FK62" s="88" t="str">
        <f aca="false">IF($B62=FK$12,$O62,"")</f>
        <v/>
      </c>
      <c r="FL62" s="88" t="str">
        <f aca="false">IF($B62=FL$12,$O62,"")</f>
        <v/>
      </c>
      <c r="FM62" s="88" t="str">
        <f aca="false">IF($B62=FM$12,$O62,"")</f>
        <v/>
      </c>
      <c r="FN62" s="88" t="str">
        <f aca="false">IF($B62=FN$12,$O62,"")</f>
        <v/>
      </c>
      <c r="FO62" s="88" t="str">
        <f aca="false">IF($B62=FO$12,$O62,"")</f>
        <v/>
      </c>
      <c r="FP62" s="88" t="str">
        <f aca="false">IF($B62=FP$12,$O62,"")</f>
        <v/>
      </c>
      <c r="FQ62" s="88" t="str">
        <f aca="false">IF($B62=FQ$12,$O62,"")</f>
        <v/>
      </c>
      <c r="FR62" s="88" t="str">
        <f aca="false">IF($B62=FR$12,$O62,"")</f>
        <v/>
      </c>
      <c r="FS62" s="88" t="str">
        <f aca="false">IF($B62=FS$12,$O62,"")</f>
        <v/>
      </c>
      <c r="FT62" s="88" t="str">
        <f aca="false">IF($B62=FT$12,$O62,"")</f>
        <v/>
      </c>
      <c r="FU62" s="88" t="str">
        <f aca="false">IF($B62=FU$12,$O62,"")</f>
        <v/>
      </c>
      <c r="FV62" s="88" t="str">
        <f aca="false">IF($B62=FV$12,$O62,"")</f>
        <v/>
      </c>
      <c r="FW62" s="88" t="str">
        <f aca="false">IF($B62=FW$12,$O62,"")</f>
        <v/>
      </c>
      <c r="FX62" s="88" t="str">
        <f aca="false">IF($B62=FX$12,$O62,"")</f>
        <v/>
      </c>
      <c r="FY62" s="88" t="str">
        <f aca="false">IF($B62=FY$12,$O62,"")</f>
        <v/>
      </c>
      <c r="FZ62" s="88" t="str">
        <f aca="false">IF($B62=FZ$12,$O62,"")</f>
        <v/>
      </c>
      <c r="GA62" s="88" t="str">
        <f aca="false">IF($B62=GA$12,$O62,"")</f>
        <v/>
      </c>
      <c r="GB62" s="88" t="str">
        <f aca="false">IF($B62=GB$12,$O62,"")</f>
        <v/>
      </c>
      <c r="GC62" s="88" t="str">
        <f aca="false">IF($B62=GC$12,$O62,"")</f>
        <v/>
      </c>
      <c r="GD62" s="88" t="str">
        <f aca="false">IF($B62=GD$12,$O62,"")</f>
        <v/>
      </c>
      <c r="GE62" s="88" t="str">
        <f aca="false">IF($B62=GE$12,$O62,"")</f>
        <v/>
      </c>
      <c r="GF62" s="88" t="str">
        <f aca="false">IF($B62=GF$12,$O62,"")</f>
        <v/>
      </c>
      <c r="GG62" s="88" t="str">
        <f aca="false">IF($B62=GG$12,$O62,"")</f>
        <v/>
      </c>
      <c r="GH62" s="88" t="str">
        <f aca="false">IF($B62=GH$12,$O62,"")</f>
        <v/>
      </c>
      <c r="GI62" s="88" t="str">
        <f aca="false">IF($B62=GI$12,$O62,"")</f>
        <v/>
      </c>
      <c r="GJ62" s="88" t="str">
        <f aca="false">IF($B62=GJ$12,$O62,"")</f>
        <v/>
      </c>
      <c r="GK62" s="88" t="str">
        <f aca="false">IF($B62=GK$12,$O62,"")</f>
        <v/>
      </c>
      <c r="GL62" s="88" t="str">
        <f aca="false">IF($B62=GL$12,$O62,"")</f>
        <v/>
      </c>
      <c r="GM62" s="88" t="str">
        <f aca="false">IF($B62=GM$12,$O62,"")</f>
        <v/>
      </c>
      <c r="GN62" s="88" t="str">
        <f aca="false">IF($B62=GN$12,$O62,"")</f>
        <v/>
      </c>
      <c r="GO62" s="88" t="str">
        <f aca="false">IF($B62=GO$12,$O62,"")</f>
        <v/>
      </c>
      <c r="GP62" s="88" t="str">
        <f aca="false">IF($B62=GP$12,$O62,"")</f>
        <v/>
      </c>
      <c r="GQ62" s="88" t="str">
        <f aca="false">IF($B62=GQ$12,$O62,"")</f>
        <v/>
      </c>
      <c r="GR62" s="88" t="str">
        <f aca="false">IF($B62=GR$12,$O62,"")</f>
        <v/>
      </c>
      <c r="GS62" s="88" t="str">
        <f aca="false">IF($B62=GS$12,$O62,"")</f>
        <v/>
      </c>
      <c r="GT62" s="88" t="str">
        <f aca="false">IF($B62=GT$12,$O62,"")</f>
        <v/>
      </c>
      <c r="GU62" s="88" t="str">
        <f aca="false">IF($B62=GU$12,$O62,"")</f>
        <v/>
      </c>
      <c r="GV62" s="88" t="str">
        <f aca="false">IF($B62=GV$12,$O62,"")</f>
        <v/>
      </c>
      <c r="GW62" s="88" t="str">
        <f aca="false">IF($B62=GW$12,$O62,"")</f>
        <v/>
      </c>
      <c r="GX62" s="88" t="str">
        <f aca="false">IF($B62=GX$12,$O62,"")</f>
        <v/>
      </c>
      <c r="GY62" s="88" t="str">
        <f aca="false">IF($B62=GY$12,$O62,"")</f>
        <v/>
      </c>
      <c r="GZ62" s="88" t="str">
        <f aca="false">IF($B62=GZ$12,$O62,"")</f>
        <v/>
      </c>
      <c r="HA62" s="88" t="str">
        <f aca="false">IF($B62=HA$12,$O62,"")</f>
        <v/>
      </c>
      <c r="HB62" s="88" t="str">
        <f aca="false">IF($B62=HB$12,$O62,"")</f>
        <v/>
      </c>
      <c r="HC62" s="88" t="str">
        <f aca="false">IF($B62=HC$12,$O62,"")</f>
        <v/>
      </c>
      <c r="HD62" s="88" t="str">
        <f aca="false">IF($B62=HD$12,$O62,"")</f>
        <v/>
      </c>
      <c r="HE62" s="88" t="str">
        <f aca="false">IF($B62=HE$12,$O62,"")</f>
        <v/>
      </c>
      <c r="HF62" s="88" t="str">
        <f aca="false">IF($B62=HF$12,$O62,"")</f>
        <v/>
      </c>
      <c r="HG62" s="88" t="str">
        <f aca="false">IF($B62=HG$12,$O62,"")</f>
        <v/>
      </c>
      <c r="HH62" s="88" t="str">
        <f aca="false">IF($B62=HH$12,$O62,"")</f>
        <v/>
      </c>
      <c r="HI62" s="88" t="str">
        <f aca="false">IF($B62=HI$12,$O62,"")</f>
        <v/>
      </c>
      <c r="HJ62" s="88" t="str">
        <f aca="false">IF($B62=HJ$12,$O62,"")</f>
        <v/>
      </c>
      <c r="HK62" s="88" t="str">
        <f aca="false">IF($B62=HK$12,$O62,"")</f>
        <v/>
      </c>
      <c r="HL62" s="88" t="str">
        <f aca="false">IF($B62=HL$12,$O62,"")</f>
        <v/>
      </c>
      <c r="HM62" s="88" t="str">
        <f aca="false">IF($B62=HM$12,$O62,"")</f>
        <v/>
      </c>
      <c r="HN62" s="88" t="str">
        <f aca="false">IF($B62=HN$12,$O62,"")</f>
        <v/>
      </c>
      <c r="HO62" s="88" t="str">
        <f aca="false">IF($B62=HO$12,$O62,"")</f>
        <v/>
      </c>
      <c r="HP62" s="88" t="str">
        <f aca="false">IF($B62=HP$12,$O62,"")</f>
        <v/>
      </c>
      <c r="HQ62" s="88" t="str">
        <f aca="false">IF($B62=HQ$12,$O62,"")</f>
        <v/>
      </c>
      <c r="HR62" s="89" t="str">
        <f aca="false">IF($B62=HR$12,$O62,"")</f>
        <v/>
      </c>
    </row>
    <row r="63" customFormat="false" ht="10.5" hidden="false" customHeight="true" outlineLevel="0" collapsed="false">
      <c r="A63" s="73"/>
      <c r="B63" s="74"/>
      <c r="C63" s="75" t="str">
        <f aca="false">IF(A63=0,"",VLOOKUP(A63,[3]CO!$A$3:$F$5311,2,0))</f>
        <v/>
      </c>
      <c r="D63" s="76"/>
      <c r="E63" s="76"/>
      <c r="F63" s="76"/>
      <c r="G63" s="77" t="str">
        <f aca="false">IF(A63=0,"",VLOOKUP(A63,[3]CO!$A$3:$F$5311,3,0))</f>
        <v/>
      </c>
      <c r="H63" s="76"/>
      <c r="I63" s="78"/>
      <c r="J63" s="78"/>
      <c r="K63" s="78"/>
      <c r="L63" s="78"/>
      <c r="M63" s="79" t="str">
        <f aca="false">IF(L63=0,"",PRODUCT(I63:L63))</f>
        <v/>
      </c>
      <c r="N63" s="79" t="str">
        <f aca="false">IF(B63=0,"",IF(H63="M",HLOOKUP(B63,$Y$12:$DT$13,2),IF(A63=0,"",VLOOKUP(A63,[3]CO!$A$3:$F$5311,4,0))))</f>
        <v/>
      </c>
      <c r="O63" s="79" t="str">
        <f aca="false">IF(L63=0,"",PRODUCT(M63:N63))</f>
        <v/>
      </c>
      <c r="P63" s="80"/>
      <c r="Q63" s="81" t="str">
        <f aca="false">IF(P63=0,"",(HLOOKUP(P63,$DW$12:$HR$13,2)))</f>
        <v/>
      </c>
      <c r="R63" s="82" t="str">
        <f aca="false">IF(S63=0,"",IF(OR(G63="PEON",G63="OF",G63="JARD",G63="CARP",G63="MAESTRO",G63="SOLD",G63="BGRO",G63="CHOFER",G63="AYTE",G63="S.INTTE.",G63="ASEO",G63="P.PISOS",G63="VELADOR",G63="RESID",G63="PINTOR",G63="ELECT",G63="AZULE",G63="AUX CONT.",G63="SECRETARIA",G63="AUXILIAR ADMTVO.",G63="ARQUITECTO",G63="DIBUJANTE",G63="AUX. DE RESIDENTE"),VLOOKUP(B63,P$14:Q$131,2),"")*S63)</f>
        <v/>
      </c>
      <c r="S63" s="5"/>
      <c r="T63" s="65" t="str">
        <f aca="false">IF(A63=0,"",VLOOKUP(A63,[3]CO!$A$3:$F$5302,5,0))</f>
        <v/>
      </c>
      <c r="U63" s="55" t="n">
        <f aca="false">IF(T63=1,O63*0.1,)</f>
        <v>0</v>
      </c>
      <c r="V63" s="66"/>
      <c r="W63" s="83"/>
      <c r="X63" s="83"/>
      <c r="Y63" s="84" t="str">
        <f aca="false">IF($B63=Y$12,$U63,"")</f>
        <v/>
      </c>
      <c r="Z63" s="85" t="str">
        <f aca="false">IF($B63=Z$12,$U63,"")</f>
        <v/>
      </c>
      <c r="AA63" s="85" t="str">
        <f aca="false">IF($B63=AA$12,$U63,"")</f>
        <v/>
      </c>
      <c r="AB63" s="85" t="str">
        <f aca="false">IF($B63=AB$12,$U63,"")</f>
        <v/>
      </c>
      <c r="AC63" s="85" t="str">
        <f aca="false">IF($B63=AC$12,$U63,"")</f>
        <v/>
      </c>
      <c r="AD63" s="85" t="str">
        <f aca="false">IF($B63=AD$12,$U63,"")</f>
        <v/>
      </c>
      <c r="AE63" s="85" t="str">
        <f aca="false">IF($B63=AE$12,$U63,"")</f>
        <v/>
      </c>
      <c r="AF63" s="85" t="str">
        <f aca="false">IF($B63=AF$12,$U63,"")</f>
        <v/>
      </c>
      <c r="AG63" s="85" t="str">
        <f aca="false">IF($B63=AG$12,$U63,"")</f>
        <v/>
      </c>
      <c r="AH63" s="85" t="str">
        <f aca="false">IF($B63=AH$12,$U63,"")</f>
        <v/>
      </c>
      <c r="AI63" s="85" t="str">
        <f aca="false">IF($B63=AI$12,$U63,"")</f>
        <v/>
      </c>
      <c r="AJ63" s="85" t="str">
        <f aca="false">IF($B63=AJ$12,$U63,"")</f>
        <v/>
      </c>
      <c r="AK63" s="85" t="str">
        <f aca="false">IF($B63=AK$12,$U63,"")</f>
        <v/>
      </c>
      <c r="AL63" s="85" t="str">
        <f aca="false">IF($B63=AL$12,$U63,"")</f>
        <v/>
      </c>
      <c r="AM63" s="85" t="str">
        <f aca="false">IF($B63=AM$12,$U63,"")</f>
        <v/>
      </c>
      <c r="AN63" s="85" t="str">
        <f aca="false">IF($B63=AN$12,$U63,"")</f>
        <v/>
      </c>
      <c r="AO63" s="85" t="str">
        <f aca="false">IF($B63=AO$12,$U63,"")</f>
        <v/>
      </c>
      <c r="AP63" s="85" t="str">
        <f aca="false">IF($B63=AP$12,$U63,"")</f>
        <v/>
      </c>
      <c r="AQ63" s="85" t="str">
        <f aca="false">IF($B63=AQ$12,$U63,"")</f>
        <v/>
      </c>
      <c r="AR63" s="85" t="str">
        <f aca="false">IF($B63=AR$12,$U63,"")</f>
        <v/>
      </c>
      <c r="AS63" s="85" t="str">
        <f aca="false">IF($B63=AS$12,$U63,"")</f>
        <v/>
      </c>
      <c r="AT63" s="85" t="str">
        <f aca="false">IF($B63=AT$12,$U63,"")</f>
        <v/>
      </c>
      <c r="AU63" s="85" t="str">
        <f aca="false">IF($B63=AU$12,$U63,"")</f>
        <v/>
      </c>
      <c r="AV63" s="85" t="str">
        <f aca="false">IF($B63=AV$12,$U63,"")</f>
        <v/>
      </c>
      <c r="AW63" s="85" t="str">
        <f aca="false">IF($B63=AW$12,$U63,"")</f>
        <v/>
      </c>
      <c r="AX63" s="85" t="str">
        <f aca="false">IF($B63=AX$12,$U63,"")</f>
        <v/>
      </c>
      <c r="AY63" s="85" t="str">
        <f aca="false">IF($B63=AY$12,$U63,"")</f>
        <v/>
      </c>
      <c r="AZ63" s="85" t="str">
        <f aca="false">IF($B63=AZ$12,$U63,"")</f>
        <v/>
      </c>
      <c r="BA63" s="85" t="str">
        <f aca="false">IF($B63=BA$12,$U63,"")</f>
        <v/>
      </c>
      <c r="BB63" s="85" t="str">
        <f aca="false">IF($B63=BB$12,$U63,"")</f>
        <v/>
      </c>
      <c r="BC63" s="85" t="str">
        <f aca="false">IF($B63=BC$12,$U63,"")</f>
        <v/>
      </c>
      <c r="BD63" s="85" t="str">
        <f aca="false">IF($B63=BD$12,$U63,"")</f>
        <v/>
      </c>
      <c r="BE63" s="85" t="str">
        <f aca="false">IF($B63=BE$12,$U63,"")</f>
        <v/>
      </c>
      <c r="BF63" s="85" t="str">
        <f aca="false">IF($B63=BF$12,$U63,"")</f>
        <v/>
      </c>
      <c r="BG63" s="85" t="str">
        <f aca="false">IF($B63=BG$12,$U63,"")</f>
        <v/>
      </c>
      <c r="BH63" s="85" t="str">
        <f aca="false">IF($B63=BH$12,$U63,"")</f>
        <v/>
      </c>
      <c r="BI63" s="85" t="str">
        <f aca="false">IF($B63=BI$12,$U63,"")</f>
        <v/>
      </c>
      <c r="BJ63" s="85" t="str">
        <f aca="false">IF($B63=BJ$12,$U63,"")</f>
        <v/>
      </c>
      <c r="BK63" s="85" t="str">
        <f aca="false">IF($B63=BK$12,$U63,"")</f>
        <v/>
      </c>
      <c r="BL63" s="85" t="str">
        <f aca="false">IF($B63=BL$12,$U63,"")</f>
        <v/>
      </c>
      <c r="BM63" s="85" t="str">
        <f aca="false">IF($B63=BM$12,$U63,"")</f>
        <v/>
      </c>
      <c r="BN63" s="85" t="str">
        <f aca="false">IF($B63=BN$12,$U63,"")</f>
        <v/>
      </c>
      <c r="BO63" s="85" t="str">
        <f aca="false">IF($B63=BO$12,$U63,"")</f>
        <v/>
      </c>
      <c r="BP63" s="85" t="str">
        <f aca="false">IF($B63=BP$12,$U63,"")</f>
        <v/>
      </c>
      <c r="BQ63" s="85" t="str">
        <f aca="false">IF($B63=BQ$12,$U63,"")</f>
        <v/>
      </c>
      <c r="BR63" s="85" t="str">
        <f aca="false">IF($B63=BR$12,$U63,"")</f>
        <v/>
      </c>
      <c r="BS63" s="85" t="str">
        <f aca="false">IF($B63=BS$12,$U63,"")</f>
        <v/>
      </c>
      <c r="BT63" s="85" t="str">
        <f aca="false">IF($B63=BT$12,$U63,"")</f>
        <v/>
      </c>
      <c r="BU63" s="85" t="str">
        <f aca="false">IF($B63=BU$12,$U63,"")</f>
        <v/>
      </c>
      <c r="BV63" s="85" t="str">
        <f aca="false">IF($B63=BV$12,$U63,"")</f>
        <v/>
      </c>
      <c r="BW63" s="85" t="str">
        <f aca="false">IF($B63=BW$12,$U63,"")</f>
        <v/>
      </c>
      <c r="BX63" s="85" t="str">
        <f aca="false">IF($B63=BX$12,$U63,"")</f>
        <v/>
      </c>
      <c r="BY63" s="85" t="str">
        <f aca="false">IF($B63=BY$12,$U63,"")</f>
        <v/>
      </c>
      <c r="BZ63" s="85" t="str">
        <f aca="false">IF($B63=BZ$12,$U63,"")</f>
        <v/>
      </c>
      <c r="CA63" s="85" t="str">
        <f aca="false">IF($B63=CA$12,$U63,"")</f>
        <v/>
      </c>
      <c r="CB63" s="85" t="str">
        <f aca="false">IF($B63=CB$12,$U63,"")</f>
        <v/>
      </c>
      <c r="CC63" s="85" t="str">
        <f aca="false">IF($B63=CC$12,$U63,"")</f>
        <v/>
      </c>
      <c r="CD63" s="85" t="str">
        <f aca="false">IF($B63=CD$12,$U63,"")</f>
        <v/>
      </c>
      <c r="CE63" s="85" t="str">
        <f aca="false">IF($B63=CE$12,$U63,"")</f>
        <v/>
      </c>
      <c r="CF63" s="85" t="str">
        <f aca="false">IF($B63=CF$12,$U63,"")</f>
        <v/>
      </c>
      <c r="CG63" s="85" t="str">
        <f aca="false">IF($B63=CG$12,$U63,"")</f>
        <v/>
      </c>
      <c r="CH63" s="85" t="str">
        <f aca="false">IF($B63=CH$12,$U63,"")</f>
        <v/>
      </c>
      <c r="CI63" s="85" t="str">
        <f aca="false">IF($B63=CI$12,$U63,"")</f>
        <v/>
      </c>
      <c r="CJ63" s="85" t="str">
        <f aca="false">IF($B63=CJ$12,$U63,"")</f>
        <v/>
      </c>
      <c r="CK63" s="85" t="str">
        <f aca="false">IF($B63=CK$12,$U63,"")</f>
        <v/>
      </c>
      <c r="CL63" s="85" t="str">
        <f aca="false">IF($B63=CL$12,$U63,"")</f>
        <v/>
      </c>
      <c r="CM63" s="85" t="str">
        <f aca="false">IF($B63=CM$12,$U63,"")</f>
        <v/>
      </c>
      <c r="CN63" s="85" t="str">
        <f aca="false">IF($B63=CN$12,$U63,"")</f>
        <v/>
      </c>
      <c r="CO63" s="85" t="str">
        <f aca="false">IF($B63=CO$12,$U63,"")</f>
        <v/>
      </c>
      <c r="CP63" s="85" t="str">
        <f aca="false">IF($B63=CP$12,$U63,"")</f>
        <v/>
      </c>
      <c r="CQ63" s="85" t="str">
        <f aca="false">IF($B63=CQ$12,$U63,"")</f>
        <v/>
      </c>
      <c r="CR63" s="85" t="str">
        <f aca="false">IF($B63=CR$12,$U63,"")</f>
        <v/>
      </c>
      <c r="CS63" s="85" t="str">
        <f aca="false">IF($B63=CS$12,$U63,"")</f>
        <v/>
      </c>
      <c r="CT63" s="85" t="str">
        <f aca="false">IF($B63=CT$12,$U63,"")</f>
        <v/>
      </c>
      <c r="CU63" s="85" t="str">
        <f aca="false">IF($B63=CU$12,$U63,"")</f>
        <v/>
      </c>
      <c r="CV63" s="85" t="str">
        <f aca="false">IF($B63=CV$12,$U63,"")</f>
        <v/>
      </c>
      <c r="CW63" s="85" t="str">
        <f aca="false">IF($B63=CW$12,$U63,"")</f>
        <v/>
      </c>
      <c r="CX63" s="85" t="str">
        <f aca="false">IF($B63=CX$12,$U63,"")</f>
        <v/>
      </c>
      <c r="CY63" s="85" t="str">
        <f aca="false">IF($B63=CY$12,$U63,"")</f>
        <v/>
      </c>
      <c r="CZ63" s="85" t="str">
        <f aca="false">IF($B63=CZ$12,$U63,"")</f>
        <v/>
      </c>
      <c r="DA63" s="85" t="str">
        <f aca="false">IF($B63=DA$12,$U63,"")</f>
        <v/>
      </c>
      <c r="DB63" s="85" t="str">
        <f aca="false">IF($B63=DB$12,$U63,"")</f>
        <v/>
      </c>
      <c r="DC63" s="85" t="str">
        <f aca="false">IF($B63=DC$12,$U63,"")</f>
        <v/>
      </c>
      <c r="DD63" s="85" t="str">
        <f aca="false">IF($B63=DD$12,$U63,"")</f>
        <v/>
      </c>
      <c r="DE63" s="85" t="str">
        <f aca="false">IF($B63=DE$12,$U63,"")</f>
        <v/>
      </c>
      <c r="DF63" s="85" t="str">
        <f aca="false">IF($B63=DF$12,$U63,"")</f>
        <v/>
      </c>
      <c r="DG63" s="85" t="str">
        <f aca="false">IF($B63=DG$12,$U63,"")</f>
        <v/>
      </c>
      <c r="DH63" s="85" t="str">
        <f aca="false">IF($B63=DH$12,$U63,"")</f>
        <v/>
      </c>
      <c r="DI63" s="85" t="str">
        <f aca="false">IF($B63=DI$12,$U63,"")</f>
        <v/>
      </c>
      <c r="DJ63" s="85" t="str">
        <f aca="false">IF($B63=DJ$12,$U63,"")</f>
        <v/>
      </c>
      <c r="DK63" s="85" t="str">
        <f aca="false">IF($B63=DK$12,$U63,"")</f>
        <v/>
      </c>
      <c r="DL63" s="85" t="str">
        <f aca="false">IF($B63=DL$12,$U63,"")</f>
        <v/>
      </c>
      <c r="DM63" s="85" t="str">
        <f aca="false">IF($B63=DM$12,$U63,"")</f>
        <v/>
      </c>
      <c r="DN63" s="85" t="str">
        <f aca="false">IF($B63=DN$12,$U63,"")</f>
        <v/>
      </c>
      <c r="DO63" s="85" t="str">
        <f aca="false">IF($B63=DO$12,$U63,"")</f>
        <v/>
      </c>
      <c r="DP63" s="85" t="str">
        <f aca="false">IF($B63=DP$12,$U63,"")</f>
        <v/>
      </c>
      <c r="DQ63" s="85" t="str">
        <f aca="false">IF($B63=DQ$12,$U63,"")</f>
        <v/>
      </c>
      <c r="DR63" s="85" t="str">
        <f aca="false">IF($B63=DR$12,$U63,"")</f>
        <v/>
      </c>
      <c r="DS63" s="85" t="str">
        <f aca="false">IF($B63=DS$12,$U63,"")</f>
        <v/>
      </c>
      <c r="DT63" s="86" t="str">
        <f aca="false">IF($B63=DT$12,$U63,"")</f>
        <v/>
      </c>
      <c r="DU63" s="55"/>
      <c r="DV63" s="83"/>
      <c r="DW63" s="87" t="str">
        <f aca="false">IF($B63=DW$12,$O63,"")</f>
        <v/>
      </c>
      <c r="DX63" s="88" t="str">
        <f aca="false">IF($B63=DX$12,$O63,"")</f>
        <v/>
      </c>
      <c r="DY63" s="88" t="str">
        <f aca="false">IF($B63=DY$12,$O63,"")</f>
        <v/>
      </c>
      <c r="DZ63" s="88" t="str">
        <f aca="false">IF($B63=DZ$12,$O63,"")</f>
        <v/>
      </c>
      <c r="EA63" s="88" t="str">
        <f aca="false">IF($B63=EA$12,$O63,"")</f>
        <v/>
      </c>
      <c r="EB63" s="88" t="str">
        <f aca="false">IF($B63=EB$12,$O63,"")</f>
        <v/>
      </c>
      <c r="EC63" s="88" t="str">
        <f aca="false">IF($B63=EC$12,$O63,"")</f>
        <v/>
      </c>
      <c r="ED63" s="88" t="str">
        <f aca="false">IF($B63=ED$12,$O63,"")</f>
        <v/>
      </c>
      <c r="EE63" s="88" t="str">
        <f aca="false">IF($B63=EE$12,$O63,"")</f>
        <v/>
      </c>
      <c r="EF63" s="88" t="str">
        <f aca="false">IF($B63=EF$12,$O63,"")</f>
        <v/>
      </c>
      <c r="EG63" s="88" t="str">
        <f aca="false">IF($B63=EG$12,$O63,"")</f>
        <v/>
      </c>
      <c r="EH63" s="88" t="str">
        <f aca="false">IF($B63=EH$12,$O63,"")</f>
        <v/>
      </c>
      <c r="EI63" s="88" t="str">
        <f aca="false">IF($B63=EI$12,$O63,"")</f>
        <v/>
      </c>
      <c r="EJ63" s="88" t="str">
        <f aca="false">IF($B63=EJ$12,$O63,"")</f>
        <v/>
      </c>
      <c r="EK63" s="88" t="str">
        <f aca="false">IF($B63=EK$12,$O63,"")</f>
        <v/>
      </c>
      <c r="EL63" s="88" t="str">
        <f aca="false">IF($B63=EL$12,$O63,"")</f>
        <v/>
      </c>
      <c r="EM63" s="88" t="str">
        <f aca="false">IF($B63=EM$12,$O63,"")</f>
        <v/>
      </c>
      <c r="EN63" s="88" t="str">
        <f aca="false">IF($B63=EN$12,$O63,"")</f>
        <v/>
      </c>
      <c r="EO63" s="88" t="str">
        <f aca="false">IF($B63=EO$12,$O63,"")</f>
        <v/>
      </c>
      <c r="EP63" s="88" t="str">
        <f aca="false">IF($B63=EP$12,$O63,"")</f>
        <v/>
      </c>
      <c r="EQ63" s="88" t="str">
        <f aca="false">IF($B63=EQ$12,$O63,"")</f>
        <v/>
      </c>
      <c r="ER63" s="88" t="str">
        <f aca="false">IF($B63=ER$12,$O63,"")</f>
        <v/>
      </c>
      <c r="ES63" s="88" t="str">
        <f aca="false">IF($B63=ES$12,$O63,"")</f>
        <v/>
      </c>
      <c r="ET63" s="88" t="str">
        <f aca="false">IF($B63=ET$12,$O63,"")</f>
        <v/>
      </c>
      <c r="EU63" s="88" t="str">
        <f aca="false">IF($B63=EU$12,$O63,"")</f>
        <v/>
      </c>
      <c r="EV63" s="88" t="str">
        <f aca="false">IF($B63=EV$12,$O63,"")</f>
        <v/>
      </c>
      <c r="EW63" s="88" t="str">
        <f aca="false">IF($B63=EW$12,$O63,"")</f>
        <v/>
      </c>
      <c r="EX63" s="88" t="str">
        <f aca="false">IF($B63=EX$12,$O63,"")</f>
        <v/>
      </c>
      <c r="EY63" s="88" t="str">
        <f aca="false">IF($B63=EY$12,$O63,"")</f>
        <v/>
      </c>
      <c r="EZ63" s="88" t="str">
        <f aca="false">IF($B63=EZ$12,$O63,"")</f>
        <v/>
      </c>
      <c r="FA63" s="88" t="str">
        <f aca="false">IF($B63=FA$12,$O63,"")</f>
        <v/>
      </c>
      <c r="FB63" s="88" t="str">
        <f aca="false">IF($B63=FB$12,$O63,"")</f>
        <v/>
      </c>
      <c r="FC63" s="88" t="str">
        <f aca="false">IF($B63=FC$12,$O63,"")</f>
        <v/>
      </c>
      <c r="FD63" s="88" t="str">
        <f aca="false">IF($B63=FD$12,$O63,"")</f>
        <v/>
      </c>
      <c r="FE63" s="88" t="str">
        <f aca="false">IF($B63=FE$12,$O63,"")</f>
        <v/>
      </c>
      <c r="FF63" s="88" t="str">
        <f aca="false">IF($B63=FF$12,$O63,"")</f>
        <v/>
      </c>
      <c r="FG63" s="88" t="str">
        <f aca="false">IF($B63=FG$12,$O63,"")</f>
        <v/>
      </c>
      <c r="FH63" s="88" t="str">
        <f aca="false">IF($B63=FH$12,$O63,"")</f>
        <v/>
      </c>
      <c r="FI63" s="88" t="str">
        <f aca="false">IF($B63=FI$12,$O63,"")</f>
        <v/>
      </c>
      <c r="FJ63" s="88" t="str">
        <f aca="false">IF($B63=FJ$12,$O63,"")</f>
        <v/>
      </c>
      <c r="FK63" s="88" t="str">
        <f aca="false">IF($B63=FK$12,$O63,"")</f>
        <v/>
      </c>
      <c r="FL63" s="88" t="str">
        <f aca="false">IF($B63=FL$12,$O63,"")</f>
        <v/>
      </c>
      <c r="FM63" s="88" t="str">
        <f aca="false">IF($B63=FM$12,$O63,"")</f>
        <v/>
      </c>
      <c r="FN63" s="88" t="str">
        <f aca="false">IF($B63=FN$12,$O63,"")</f>
        <v/>
      </c>
      <c r="FO63" s="88" t="str">
        <f aca="false">IF($B63=FO$12,$O63,"")</f>
        <v/>
      </c>
      <c r="FP63" s="88" t="str">
        <f aca="false">IF($B63=FP$12,$O63,"")</f>
        <v/>
      </c>
      <c r="FQ63" s="88" t="str">
        <f aca="false">IF($B63=FQ$12,$O63,"")</f>
        <v/>
      </c>
      <c r="FR63" s="88" t="str">
        <f aca="false">IF($B63=FR$12,$O63,"")</f>
        <v/>
      </c>
      <c r="FS63" s="88" t="str">
        <f aca="false">IF($B63=FS$12,$O63,"")</f>
        <v/>
      </c>
      <c r="FT63" s="88" t="str">
        <f aca="false">IF($B63=FT$12,$O63,"")</f>
        <v/>
      </c>
      <c r="FU63" s="88" t="str">
        <f aca="false">IF($B63=FU$12,$O63,"")</f>
        <v/>
      </c>
      <c r="FV63" s="88" t="str">
        <f aca="false">IF($B63=FV$12,$O63,"")</f>
        <v/>
      </c>
      <c r="FW63" s="88" t="str">
        <f aca="false">IF($B63=FW$12,$O63,"")</f>
        <v/>
      </c>
      <c r="FX63" s="88" t="str">
        <f aca="false">IF($B63=FX$12,$O63,"")</f>
        <v/>
      </c>
      <c r="FY63" s="88" t="str">
        <f aca="false">IF($B63=FY$12,$O63,"")</f>
        <v/>
      </c>
      <c r="FZ63" s="88" t="str">
        <f aca="false">IF($B63=FZ$12,$O63,"")</f>
        <v/>
      </c>
      <c r="GA63" s="88" t="str">
        <f aca="false">IF($B63=GA$12,$O63,"")</f>
        <v/>
      </c>
      <c r="GB63" s="88" t="str">
        <f aca="false">IF($B63=GB$12,$O63,"")</f>
        <v/>
      </c>
      <c r="GC63" s="88" t="str">
        <f aca="false">IF($B63=GC$12,$O63,"")</f>
        <v/>
      </c>
      <c r="GD63" s="88" t="str">
        <f aca="false">IF($B63=GD$12,$O63,"")</f>
        <v/>
      </c>
      <c r="GE63" s="88" t="str">
        <f aca="false">IF($B63=GE$12,$O63,"")</f>
        <v/>
      </c>
      <c r="GF63" s="88" t="str">
        <f aca="false">IF($B63=GF$12,$O63,"")</f>
        <v/>
      </c>
      <c r="GG63" s="88" t="str">
        <f aca="false">IF($B63=GG$12,$O63,"")</f>
        <v/>
      </c>
      <c r="GH63" s="88" t="str">
        <f aca="false">IF($B63=GH$12,$O63,"")</f>
        <v/>
      </c>
      <c r="GI63" s="88" t="str">
        <f aca="false">IF($B63=GI$12,$O63,"")</f>
        <v/>
      </c>
      <c r="GJ63" s="88" t="str">
        <f aca="false">IF($B63=GJ$12,$O63,"")</f>
        <v/>
      </c>
      <c r="GK63" s="88" t="str">
        <f aca="false">IF($B63=GK$12,$O63,"")</f>
        <v/>
      </c>
      <c r="GL63" s="88" t="str">
        <f aca="false">IF($B63=GL$12,$O63,"")</f>
        <v/>
      </c>
      <c r="GM63" s="88" t="str">
        <f aca="false">IF($B63=GM$12,$O63,"")</f>
        <v/>
      </c>
      <c r="GN63" s="88" t="str">
        <f aca="false">IF($B63=GN$12,$O63,"")</f>
        <v/>
      </c>
      <c r="GO63" s="88" t="str">
        <f aca="false">IF($B63=GO$12,$O63,"")</f>
        <v/>
      </c>
      <c r="GP63" s="88" t="str">
        <f aca="false">IF($B63=GP$12,$O63,"")</f>
        <v/>
      </c>
      <c r="GQ63" s="88" t="str">
        <f aca="false">IF($B63=GQ$12,$O63,"")</f>
        <v/>
      </c>
      <c r="GR63" s="88" t="str">
        <f aca="false">IF($B63=GR$12,$O63,"")</f>
        <v/>
      </c>
      <c r="GS63" s="88" t="str">
        <f aca="false">IF($B63=GS$12,$O63,"")</f>
        <v/>
      </c>
      <c r="GT63" s="88" t="str">
        <f aca="false">IF($B63=GT$12,$O63,"")</f>
        <v/>
      </c>
      <c r="GU63" s="88" t="str">
        <f aca="false">IF($B63=GU$12,$O63,"")</f>
        <v/>
      </c>
      <c r="GV63" s="88" t="str">
        <f aca="false">IF($B63=GV$12,$O63,"")</f>
        <v/>
      </c>
      <c r="GW63" s="88" t="str">
        <f aca="false">IF($B63=GW$12,$O63,"")</f>
        <v/>
      </c>
      <c r="GX63" s="88" t="str">
        <f aca="false">IF($B63=GX$12,$O63,"")</f>
        <v/>
      </c>
      <c r="GY63" s="88" t="str">
        <f aca="false">IF($B63=GY$12,$O63,"")</f>
        <v/>
      </c>
      <c r="GZ63" s="88" t="str">
        <f aca="false">IF($B63=GZ$12,$O63,"")</f>
        <v/>
      </c>
      <c r="HA63" s="88" t="str">
        <f aca="false">IF($B63=HA$12,$O63,"")</f>
        <v/>
      </c>
      <c r="HB63" s="88" t="str">
        <f aca="false">IF($B63=HB$12,$O63,"")</f>
        <v/>
      </c>
      <c r="HC63" s="88" t="str">
        <f aca="false">IF($B63=HC$12,$O63,"")</f>
        <v/>
      </c>
      <c r="HD63" s="88" t="str">
        <f aca="false">IF($B63=HD$12,$O63,"")</f>
        <v/>
      </c>
      <c r="HE63" s="88" t="str">
        <f aca="false">IF($B63=HE$12,$O63,"")</f>
        <v/>
      </c>
      <c r="HF63" s="88" t="str">
        <f aca="false">IF($B63=HF$12,$O63,"")</f>
        <v/>
      </c>
      <c r="HG63" s="88" t="str">
        <f aca="false">IF($B63=HG$12,$O63,"")</f>
        <v/>
      </c>
      <c r="HH63" s="88" t="str">
        <f aca="false">IF($B63=HH$12,$O63,"")</f>
        <v/>
      </c>
      <c r="HI63" s="88" t="str">
        <f aca="false">IF($B63=HI$12,$O63,"")</f>
        <v/>
      </c>
      <c r="HJ63" s="88" t="str">
        <f aca="false">IF($B63=HJ$12,$O63,"")</f>
        <v/>
      </c>
      <c r="HK63" s="88" t="str">
        <f aca="false">IF($B63=HK$12,$O63,"")</f>
        <v/>
      </c>
      <c r="HL63" s="88" t="str">
        <f aca="false">IF($B63=HL$12,$O63,"")</f>
        <v/>
      </c>
      <c r="HM63" s="88" t="str">
        <f aca="false">IF($B63=HM$12,$O63,"")</f>
        <v/>
      </c>
      <c r="HN63" s="88" t="str">
        <f aca="false">IF($B63=HN$12,$O63,"")</f>
        <v/>
      </c>
      <c r="HO63" s="88" t="str">
        <f aca="false">IF($B63=HO$12,$O63,"")</f>
        <v/>
      </c>
      <c r="HP63" s="88" t="str">
        <f aca="false">IF($B63=HP$12,$O63,"")</f>
        <v/>
      </c>
      <c r="HQ63" s="88" t="str">
        <f aca="false">IF($B63=HQ$12,$O63,"")</f>
        <v/>
      </c>
      <c r="HR63" s="89" t="str">
        <f aca="false">IF($B63=HR$12,$O63,"")</f>
        <v/>
      </c>
    </row>
    <row r="64" customFormat="false" ht="10.5" hidden="false" customHeight="true" outlineLevel="0" collapsed="false">
      <c r="A64" s="73"/>
      <c r="B64" s="74"/>
      <c r="C64" s="75" t="str">
        <f aca="false">IF(A64=0,"",VLOOKUP(A64,[3]CO!$A$3:$F$5311,2,0))</f>
        <v/>
      </c>
      <c r="D64" s="76"/>
      <c r="E64" s="76"/>
      <c r="F64" s="76"/>
      <c r="G64" s="77" t="str">
        <f aca="false">IF(A64=0,"",VLOOKUP(A64,[3]CO!$A$3:$F$5311,3,0))</f>
        <v/>
      </c>
      <c r="H64" s="76"/>
      <c r="I64" s="78"/>
      <c r="J64" s="78"/>
      <c r="K64" s="78"/>
      <c r="L64" s="78"/>
      <c r="M64" s="79" t="str">
        <f aca="false">IF(L64=0,"",PRODUCT(I64:L64))</f>
        <v/>
      </c>
      <c r="N64" s="79" t="str">
        <f aca="false">IF(B64=0,"",IF(H64="M",HLOOKUP(B64,$Y$12:$DT$13,2),IF(A64=0,"",VLOOKUP(A64,[3]CO!$A$3:$F$5311,4,0))))</f>
        <v/>
      </c>
      <c r="O64" s="79" t="str">
        <f aca="false">IF(L64=0,"",PRODUCT(M64:N64))</f>
        <v/>
      </c>
      <c r="P64" s="80"/>
      <c r="Q64" s="81" t="str">
        <f aca="false">IF(P64=0,"",(HLOOKUP(P64,$DW$12:$HR$13,2)))</f>
        <v/>
      </c>
      <c r="R64" s="82" t="str">
        <f aca="false">IF(S64=0,"",IF(OR(G64="PEON",G64="OF",G64="JARD",G64="CARP",G64="MAESTRO",G64="SOLD",G64="BGRO",G64="CHOFER",G64="AYTE",G64="S.INTTE.",G64="ASEO",G64="P.PISOS",G64="VELADOR",G64="RESID",G64="PINTOR",G64="ELECT",G64="AZULE",G64="AUX CONT.",G64="SECRETARIA",G64="AUXILIAR ADMTVO.",G64="ARQUITECTO",G64="DIBUJANTE",G64="AUX. DE RESIDENTE"),VLOOKUP(B64,P$14:Q$131,2),"")*S64)</f>
        <v/>
      </c>
      <c r="S64" s="5"/>
      <c r="T64" s="65" t="str">
        <f aca="false">IF(A64=0,"",VLOOKUP(A64,[3]CO!$A$3:$F$5302,5,0))</f>
        <v/>
      </c>
      <c r="U64" s="55" t="n">
        <f aca="false">IF(T64=1,O64*0.1,)</f>
        <v>0</v>
      </c>
      <c r="V64" s="66"/>
      <c r="W64" s="83"/>
      <c r="X64" s="83"/>
      <c r="Y64" s="84" t="str">
        <f aca="false">IF($B64=Y$12,$U64,"")</f>
        <v/>
      </c>
      <c r="Z64" s="85" t="str">
        <f aca="false">IF($B64=Z$12,$U64,"")</f>
        <v/>
      </c>
      <c r="AA64" s="85" t="str">
        <f aca="false">IF($B64=AA$12,$U64,"")</f>
        <v/>
      </c>
      <c r="AB64" s="85" t="str">
        <f aca="false">IF($B64=AB$12,$U64,"")</f>
        <v/>
      </c>
      <c r="AC64" s="85" t="str">
        <f aca="false">IF($B64=AC$12,$U64,"")</f>
        <v/>
      </c>
      <c r="AD64" s="85" t="str">
        <f aca="false">IF($B64=AD$12,$U64,"")</f>
        <v/>
      </c>
      <c r="AE64" s="85" t="str">
        <f aca="false">IF($B64=AE$12,$U64,"")</f>
        <v/>
      </c>
      <c r="AF64" s="85" t="str">
        <f aca="false">IF($B64=AF$12,$U64,"")</f>
        <v/>
      </c>
      <c r="AG64" s="85" t="str">
        <f aca="false">IF($B64=AG$12,$U64,"")</f>
        <v/>
      </c>
      <c r="AH64" s="85" t="str">
        <f aca="false">IF($B64=AH$12,$U64,"")</f>
        <v/>
      </c>
      <c r="AI64" s="85" t="str">
        <f aca="false">IF($B64=AI$12,$U64,"")</f>
        <v/>
      </c>
      <c r="AJ64" s="85" t="str">
        <f aca="false">IF($B64=AJ$12,$U64,"")</f>
        <v/>
      </c>
      <c r="AK64" s="85" t="str">
        <f aca="false">IF($B64=AK$12,$U64,"")</f>
        <v/>
      </c>
      <c r="AL64" s="85" t="str">
        <f aca="false">IF($B64=AL$12,$U64,"")</f>
        <v/>
      </c>
      <c r="AM64" s="85" t="str">
        <f aca="false">IF($B64=AM$12,$U64,"")</f>
        <v/>
      </c>
      <c r="AN64" s="85" t="str">
        <f aca="false">IF($B64=AN$12,$U64,"")</f>
        <v/>
      </c>
      <c r="AO64" s="85" t="str">
        <f aca="false">IF($B64=AO$12,$U64,"")</f>
        <v/>
      </c>
      <c r="AP64" s="85" t="str">
        <f aca="false">IF($B64=AP$12,$U64,"")</f>
        <v/>
      </c>
      <c r="AQ64" s="85" t="str">
        <f aca="false">IF($B64=AQ$12,$U64,"")</f>
        <v/>
      </c>
      <c r="AR64" s="85" t="str">
        <f aca="false">IF($B64=AR$12,$U64,"")</f>
        <v/>
      </c>
      <c r="AS64" s="85" t="str">
        <f aca="false">IF($B64=AS$12,$U64,"")</f>
        <v/>
      </c>
      <c r="AT64" s="85" t="str">
        <f aca="false">IF($B64=AT$12,$U64,"")</f>
        <v/>
      </c>
      <c r="AU64" s="85" t="str">
        <f aca="false">IF($B64=AU$12,$U64,"")</f>
        <v/>
      </c>
      <c r="AV64" s="85" t="str">
        <f aca="false">IF($B64=AV$12,$U64,"")</f>
        <v/>
      </c>
      <c r="AW64" s="85" t="str">
        <f aca="false">IF($B64=AW$12,$U64,"")</f>
        <v/>
      </c>
      <c r="AX64" s="85" t="str">
        <f aca="false">IF($B64=AX$12,$U64,"")</f>
        <v/>
      </c>
      <c r="AY64" s="85" t="str">
        <f aca="false">IF($B64=AY$12,$U64,"")</f>
        <v/>
      </c>
      <c r="AZ64" s="85" t="str">
        <f aca="false">IF($B64=AZ$12,$U64,"")</f>
        <v/>
      </c>
      <c r="BA64" s="85" t="str">
        <f aca="false">IF($B64=BA$12,$U64,"")</f>
        <v/>
      </c>
      <c r="BB64" s="85" t="str">
        <f aca="false">IF($B64=BB$12,$U64,"")</f>
        <v/>
      </c>
      <c r="BC64" s="85" t="str">
        <f aca="false">IF($B64=BC$12,$U64,"")</f>
        <v/>
      </c>
      <c r="BD64" s="85" t="str">
        <f aca="false">IF($B64=BD$12,$U64,"")</f>
        <v/>
      </c>
      <c r="BE64" s="85" t="str">
        <f aca="false">IF($B64=BE$12,$U64,"")</f>
        <v/>
      </c>
      <c r="BF64" s="85" t="str">
        <f aca="false">IF($B64=BF$12,$U64,"")</f>
        <v/>
      </c>
      <c r="BG64" s="85" t="str">
        <f aca="false">IF($B64=BG$12,$U64,"")</f>
        <v/>
      </c>
      <c r="BH64" s="85" t="str">
        <f aca="false">IF($B64=BH$12,$U64,"")</f>
        <v/>
      </c>
      <c r="BI64" s="85" t="str">
        <f aca="false">IF($B64=BI$12,$U64,"")</f>
        <v/>
      </c>
      <c r="BJ64" s="85" t="str">
        <f aca="false">IF($B64=BJ$12,$U64,"")</f>
        <v/>
      </c>
      <c r="BK64" s="85" t="str">
        <f aca="false">IF($B64=BK$12,$U64,"")</f>
        <v/>
      </c>
      <c r="BL64" s="85" t="str">
        <f aca="false">IF($B64=BL$12,$U64,"")</f>
        <v/>
      </c>
      <c r="BM64" s="85" t="str">
        <f aca="false">IF($B64=BM$12,$U64,"")</f>
        <v/>
      </c>
      <c r="BN64" s="85" t="str">
        <f aca="false">IF($B64=BN$12,$U64,"")</f>
        <v/>
      </c>
      <c r="BO64" s="85" t="str">
        <f aca="false">IF($B64=BO$12,$U64,"")</f>
        <v/>
      </c>
      <c r="BP64" s="85" t="str">
        <f aca="false">IF($B64=BP$12,$U64,"")</f>
        <v/>
      </c>
      <c r="BQ64" s="85" t="str">
        <f aca="false">IF($B64=BQ$12,$U64,"")</f>
        <v/>
      </c>
      <c r="BR64" s="85" t="str">
        <f aca="false">IF($B64=BR$12,$U64,"")</f>
        <v/>
      </c>
      <c r="BS64" s="85" t="str">
        <f aca="false">IF($B64=BS$12,$U64,"")</f>
        <v/>
      </c>
      <c r="BT64" s="85" t="str">
        <f aca="false">IF($B64=BT$12,$U64,"")</f>
        <v/>
      </c>
      <c r="BU64" s="85" t="str">
        <f aca="false">IF($B64=BU$12,$U64,"")</f>
        <v/>
      </c>
      <c r="BV64" s="85" t="str">
        <f aca="false">IF($B64=BV$12,$U64,"")</f>
        <v/>
      </c>
      <c r="BW64" s="85" t="str">
        <f aca="false">IF($B64=BW$12,$U64,"")</f>
        <v/>
      </c>
      <c r="BX64" s="85" t="str">
        <f aca="false">IF($B64=BX$12,$U64,"")</f>
        <v/>
      </c>
      <c r="BY64" s="85" t="str">
        <f aca="false">IF($B64=BY$12,$U64,"")</f>
        <v/>
      </c>
      <c r="BZ64" s="85" t="str">
        <f aca="false">IF($B64=BZ$12,$U64,"")</f>
        <v/>
      </c>
      <c r="CA64" s="85" t="str">
        <f aca="false">IF($B64=CA$12,$U64,"")</f>
        <v/>
      </c>
      <c r="CB64" s="85" t="str">
        <f aca="false">IF($B64=CB$12,$U64,"")</f>
        <v/>
      </c>
      <c r="CC64" s="85" t="str">
        <f aca="false">IF($B64=CC$12,$U64,"")</f>
        <v/>
      </c>
      <c r="CD64" s="85" t="str">
        <f aca="false">IF($B64=CD$12,$U64,"")</f>
        <v/>
      </c>
      <c r="CE64" s="85" t="str">
        <f aca="false">IF($B64=CE$12,$U64,"")</f>
        <v/>
      </c>
      <c r="CF64" s="85" t="str">
        <f aca="false">IF($B64=CF$12,$U64,"")</f>
        <v/>
      </c>
      <c r="CG64" s="85" t="str">
        <f aca="false">IF($B64=CG$12,$U64,"")</f>
        <v/>
      </c>
      <c r="CH64" s="85" t="str">
        <f aca="false">IF($B64=CH$12,$U64,"")</f>
        <v/>
      </c>
      <c r="CI64" s="85" t="str">
        <f aca="false">IF($B64=CI$12,$U64,"")</f>
        <v/>
      </c>
      <c r="CJ64" s="85" t="str">
        <f aca="false">IF($B64=CJ$12,$U64,"")</f>
        <v/>
      </c>
      <c r="CK64" s="85" t="str">
        <f aca="false">IF($B64=CK$12,$U64,"")</f>
        <v/>
      </c>
      <c r="CL64" s="85" t="str">
        <f aca="false">IF($B64=CL$12,$U64,"")</f>
        <v/>
      </c>
      <c r="CM64" s="85" t="str">
        <f aca="false">IF($B64=CM$12,$U64,"")</f>
        <v/>
      </c>
      <c r="CN64" s="85" t="str">
        <f aca="false">IF($B64=CN$12,$U64,"")</f>
        <v/>
      </c>
      <c r="CO64" s="85" t="str">
        <f aca="false">IF($B64=CO$12,$U64,"")</f>
        <v/>
      </c>
      <c r="CP64" s="85" t="str">
        <f aca="false">IF($B64=CP$12,$U64,"")</f>
        <v/>
      </c>
      <c r="CQ64" s="85" t="str">
        <f aca="false">IF($B64=CQ$12,$U64,"")</f>
        <v/>
      </c>
      <c r="CR64" s="85" t="str">
        <f aca="false">IF($B64=CR$12,$U64,"")</f>
        <v/>
      </c>
      <c r="CS64" s="85" t="str">
        <f aca="false">IF($B64=CS$12,$U64,"")</f>
        <v/>
      </c>
      <c r="CT64" s="85" t="str">
        <f aca="false">IF($B64=CT$12,$U64,"")</f>
        <v/>
      </c>
      <c r="CU64" s="85" t="str">
        <f aca="false">IF($B64=CU$12,$U64,"")</f>
        <v/>
      </c>
      <c r="CV64" s="85" t="str">
        <f aca="false">IF($B64=CV$12,$U64,"")</f>
        <v/>
      </c>
      <c r="CW64" s="85" t="str">
        <f aca="false">IF($B64=CW$12,$U64,"")</f>
        <v/>
      </c>
      <c r="CX64" s="85" t="str">
        <f aca="false">IF($B64=CX$12,$U64,"")</f>
        <v/>
      </c>
      <c r="CY64" s="85" t="str">
        <f aca="false">IF($B64=CY$12,$U64,"")</f>
        <v/>
      </c>
      <c r="CZ64" s="85" t="str">
        <f aca="false">IF($B64=CZ$12,$U64,"")</f>
        <v/>
      </c>
      <c r="DA64" s="85" t="str">
        <f aca="false">IF($B64=DA$12,$U64,"")</f>
        <v/>
      </c>
      <c r="DB64" s="85" t="str">
        <f aca="false">IF($B64=DB$12,$U64,"")</f>
        <v/>
      </c>
      <c r="DC64" s="85" t="str">
        <f aca="false">IF($B64=DC$12,$U64,"")</f>
        <v/>
      </c>
      <c r="DD64" s="85" t="str">
        <f aca="false">IF($B64=DD$12,$U64,"")</f>
        <v/>
      </c>
      <c r="DE64" s="85" t="str">
        <f aca="false">IF($B64=DE$12,$U64,"")</f>
        <v/>
      </c>
      <c r="DF64" s="85" t="str">
        <f aca="false">IF($B64=DF$12,$U64,"")</f>
        <v/>
      </c>
      <c r="DG64" s="85" t="str">
        <f aca="false">IF($B64=DG$12,$U64,"")</f>
        <v/>
      </c>
      <c r="DH64" s="85" t="str">
        <f aca="false">IF($B64=DH$12,$U64,"")</f>
        <v/>
      </c>
      <c r="DI64" s="85" t="str">
        <f aca="false">IF($B64=DI$12,$U64,"")</f>
        <v/>
      </c>
      <c r="DJ64" s="85" t="str">
        <f aca="false">IF($B64=DJ$12,$U64,"")</f>
        <v/>
      </c>
      <c r="DK64" s="85" t="str">
        <f aca="false">IF($B64=DK$12,$U64,"")</f>
        <v/>
      </c>
      <c r="DL64" s="85" t="str">
        <f aca="false">IF($B64=DL$12,$U64,"")</f>
        <v/>
      </c>
      <c r="DM64" s="85" t="str">
        <f aca="false">IF($B64=DM$12,$U64,"")</f>
        <v/>
      </c>
      <c r="DN64" s="85" t="str">
        <f aca="false">IF($B64=DN$12,$U64,"")</f>
        <v/>
      </c>
      <c r="DO64" s="85" t="str">
        <f aca="false">IF($B64=DO$12,$U64,"")</f>
        <v/>
      </c>
      <c r="DP64" s="85" t="str">
        <f aca="false">IF($B64=DP$12,$U64,"")</f>
        <v/>
      </c>
      <c r="DQ64" s="85" t="str">
        <f aca="false">IF($B64=DQ$12,$U64,"")</f>
        <v/>
      </c>
      <c r="DR64" s="85" t="str">
        <f aca="false">IF($B64=DR$12,$U64,"")</f>
        <v/>
      </c>
      <c r="DS64" s="85" t="str">
        <f aca="false">IF($B64=DS$12,$U64,"")</f>
        <v/>
      </c>
      <c r="DT64" s="86" t="str">
        <f aca="false">IF($B64=DT$12,$U64,"")</f>
        <v/>
      </c>
      <c r="DU64" s="55"/>
      <c r="DV64" s="83"/>
      <c r="DW64" s="87" t="str">
        <f aca="false">IF($B64=DW$12,$O64,"")</f>
        <v/>
      </c>
      <c r="DX64" s="88" t="str">
        <f aca="false">IF($B64=DX$12,$O64,"")</f>
        <v/>
      </c>
      <c r="DY64" s="88" t="str">
        <f aca="false">IF($B64=DY$12,$O64,"")</f>
        <v/>
      </c>
      <c r="DZ64" s="88" t="str">
        <f aca="false">IF($B64=DZ$12,$O64,"")</f>
        <v/>
      </c>
      <c r="EA64" s="88" t="str">
        <f aca="false">IF($B64=EA$12,$O64,"")</f>
        <v/>
      </c>
      <c r="EB64" s="88" t="str">
        <f aca="false">IF($B64=EB$12,$O64,"")</f>
        <v/>
      </c>
      <c r="EC64" s="88" t="str">
        <f aca="false">IF($B64=EC$12,$O64,"")</f>
        <v/>
      </c>
      <c r="ED64" s="88" t="str">
        <f aca="false">IF($B64=ED$12,$O64,"")</f>
        <v/>
      </c>
      <c r="EE64" s="88" t="str">
        <f aca="false">IF($B64=EE$12,$O64,"")</f>
        <v/>
      </c>
      <c r="EF64" s="88" t="str">
        <f aca="false">IF($B64=EF$12,$O64,"")</f>
        <v/>
      </c>
      <c r="EG64" s="88" t="str">
        <f aca="false">IF($B64=EG$12,$O64,"")</f>
        <v/>
      </c>
      <c r="EH64" s="88" t="str">
        <f aca="false">IF($B64=EH$12,$O64,"")</f>
        <v/>
      </c>
      <c r="EI64" s="88" t="str">
        <f aca="false">IF($B64=EI$12,$O64,"")</f>
        <v/>
      </c>
      <c r="EJ64" s="88" t="str">
        <f aca="false">IF($B64=EJ$12,$O64,"")</f>
        <v/>
      </c>
      <c r="EK64" s="88" t="str">
        <f aca="false">IF($B64=EK$12,$O64,"")</f>
        <v/>
      </c>
      <c r="EL64" s="88" t="str">
        <f aca="false">IF($B64=EL$12,$O64,"")</f>
        <v/>
      </c>
      <c r="EM64" s="88" t="str">
        <f aca="false">IF($B64=EM$12,$O64,"")</f>
        <v/>
      </c>
      <c r="EN64" s="88" t="str">
        <f aca="false">IF($B64=EN$12,$O64,"")</f>
        <v/>
      </c>
      <c r="EO64" s="88" t="str">
        <f aca="false">IF($B64=EO$12,$O64,"")</f>
        <v/>
      </c>
      <c r="EP64" s="88" t="str">
        <f aca="false">IF($B64=EP$12,$O64,"")</f>
        <v/>
      </c>
      <c r="EQ64" s="88" t="str">
        <f aca="false">IF($B64=EQ$12,$O64,"")</f>
        <v/>
      </c>
      <c r="ER64" s="88" t="str">
        <f aca="false">IF($B64=ER$12,$O64,"")</f>
        <v/>
      </c>
      <c r="ES64" s="88" t="str">
        <f aca="false">IF($B64=ES$12,$O64,"")</f>
        <v/>
      </c>
      <c r="ET64" s="88" t="str">
        <f aca="false">IF($B64=ET$12,$O64,"")</f>
        <v/>
      </c>
      <c r="EU64" s="88" t="str">
        <f aca="false">IF($B64=EU$12,$O64,"")</f>
        <v/>
      </c>
      <c r="EV64" s="88" t="str">
        <f aca="false">IF($B64=EV$12,$O64,"")</f>
        <v/>
      </c>
      <c r="EW64" s="88" t="str">
        <f aca="false">IF($B64=EW$12,$O64,"")</f>
        <v/>
      </c>
      <c r="EX64" s="88" t="str">
        <f aca="false">IF($B64=EX$12,$O64,"")</f>
        <v/>
      </c>
      <c r="EY64" s="88" t="str">
        <f aca="false">IF($B64=EY$12,$O64,"")</f>
        <v/>
      </c>
      <c r="EZ64" s="88" t="str">
        <f aca="false">IF($B64=EZ$12,$O64,"")</f>
        <v/>
      </c>
      <c r="FA64" s="88" t="str">
        <f aca="false">IF($B64=FA$12,$O64,"")</f>
        <v/>
      </c>
      <c r="FB64" s="88" t="str">
        <f aca="false">IF($B64=FB$12,$O64,"")</f>
        <v/>
      </c>
      <c r="FC64" s="88" t="str">
        <f aca="false">IF($B64=FC$12,$O64,"")</f>
        <v/>
      </c>
      <c r="FD64" s="88" t="str">
        <f aca="false">IF($B64=FD$12,$O64,"")</f>
        <v/>
      </c>
      <c r="FE64" s="88" t="str">
        <f aca="false">IF($B64=FE$12,$O64,"")</f>
        <v/>
      </c>
      <c r="FF64" s="88" t="str">
        <f aca="false">IF($B64=FF$12,$O64,"")</f>
        <v/>
      </c>
      <c r="FG64" s="88" t="str">
        <f aca="false">IF($B64=FG$12,$O64,"")</f>
        <v/>
      </c>
      <c r="FH64" s="88" t="str">
        <f aca="false">IF($B64=FH$12,$O64,"")</f>
        <v/>
      </c>
      <c r="FI64" s="88" t="str">
        <f aca="false">IF($B64=FI$12,$O64,"")</f>
        <v/>
      </c>
      <c r="FJ64" s="88" t="str">
        <f aca="false">IF($B64=FJ$12,$O64,"")</f>
        <v/>
      </c>
      <c r="FK64" s="88" t="str">
        <f aca="false">IF($B64=FK$12,$O64,"")</f>
        <v/>
      </c>
      <c r="FL64" s="88" t="str">
        <f aca="false">IF($B64=FL$12,$O64,"")</f>
        <v/>
      </c>
      <c r="FM64" s="88" t="str">
        <f aca="false">IF($B64=FM$12,$O64,"")</f>
        <v/>
      </c>
      <c r="FN64" s="88" t="str">
        <f aca="false">IF($B64=FN$12,$O64,"")</f>
        <v/>
      </c>
      <c r="FO64" s="88" t="str">
        <f aca="false">IF($B64=FO$12,$O64,"")</f>
        <v/>
      </c>
      <c r="FP64" s="88" t="str">
        <f aca="false">IF($B64=FP$12,$O64,"")</f>
        <v/>
      </c>
      <c r="FQ64" s="88" t="str">
        <f aca="false">IF($B64=FQ$12,$O64,"")</f>
        <v/>
      </c>
      <c r="FR64" s="88" t="str">
        <f aca="false">IF($B64=FR$12,$O64,"")</f>
        <v/>
      </c>
      <c r="FS64" s="88" t="str">
        <f aca="false">IF($B64=FS$12,$O64,"")</f>
        <v/>
      </c>
      <c r="FT64" s="88" t="str">
        <f aca="false">IF($B64=FT$12,$O64,"")</f>
        <v/>
      </c>
      <c r="FU64" s="88" t="str">
        <f aca="false">IF($B64=FU$12,$O64,"")</f>
        <v/>
      </c>
      <c r="FV64" s="88" t="str">
        <f aca="false">IF($B64=FV$12,$O64,"")</f>
        <v/>
      </c>
      <c r="FW64" s="88" t="str">
        <f aca="false">IF($B64=FW$12,$O64,"")</f>
        <v/>
      </c>
      <c r="FX64" s="88" t="str">
        <f aca="false">IF($B64=FX$12,$O64,"")</f>
        <v/>
      </c>
      <c r="FY64" s="88" t="str">
        <f aca="false">IF($B64=FY$12,$O64,"")</f>
        <v/>
      </c>
      <c r="FZ64" s="88" t="str">
        <f aca="false">IF($B64=FZ$12,$O64,"")</f>
        <v/>
      </c>
      <c r="GA64" s="88" t="str">
        <f aca="false">IF($B64=GA$12,$O64,"")</f>
        <v/>
      </c>
      <c r="GB64" s="88" t="str">
        <f aca="false">IF($B64=GB$12,$O64,"")</f>
        <v/>
      </c>
      <c r="GC64" s="88" t="str">
        <f aca="false">IF($B64=GC$12,$O64,"")</f>
        <v/>
      </c>
      <c r="GD64" s="88" t="str">
        <f aca="false">IF($B64=GD$12,$O64,"")</f>
        <v/>
      </c>
      <c r="GE64" s="88" t="str">
        <f aca="false">IF($B64=GE$12,$O64,"")</f>
        <v/>
      </c>
      <c r="GF64" s="88" t="str">
        <f aca="false">IF($B64=GF$12,$O64,"")</f>
        <v/>
      </c>
      <c r="GG64" s="88" t="str">
        <f aca="false">IF($B64=GG$12,$O64,"")</f>
        <v/>
      </c>
      <c r="GH64" s="88" t="str">
        <f aca="false">IF($B64=GH$12,$O64,"")</f>
        <v/>
      </c>
      <c r="GI64" s="88" t="str">
        <f aca="false">IF($B64=GI$12,$O64,"")</f>
        <v/>
      </c>
      <c r="GJ64" s="88" t="str">
        <f aca="false">IF($B64=GJ$12,$O64,"")</f>
        <v/>
      </c>
      <c r="GK64" s="88" t="str">
        <f aca="false">IF($B64=GK$12,$O64,"")</f>
        <v/>
      </c>
      <c r="GL64" s="88" t="str">
        <f aca="false">IF($B64=GL$12,$O64,"")</f>
        <v/>
      </c>
      <c r="GM64" s="88" t="str">
        <f aca="false">IF($B64=GM$12,$O64,"")</f>
        <v/>
      </c>
      <c r="GN64" s="88" t="str">
        <f aca="false">IF($B64=GN$12,$O64,"")</f>
        <v/>
      </c>
      <c r="GO64" s="88" t="str">
        <f aca="false">IF($B64=GO$12,$O64,"")</f>
        <v/>
      </c>
      <c r="GP64" s="88" t="str">
        <f aca="false">IF($B64=GP$12,$O64,"")</f>
        <v/>
      </c>
      <c r="GQ64" s="88" t="str">
        <f aca="false">IF($B64=GQ$12,$O64,"")</f>
        <v/>
      </c>
      <c r="GR64" s="88" t="str">
        <f aca="false">IF($B64=GR$12,$O64,"")</f>
        <v/>
      </c>
      <c r="GS64" s="88" t="str">
        <f aca="false">IF($B64=GS$12,$O64,"")</f>
        <v/>
      </c>
      <c r="GT64" s="88" t="str">
        <f aca="false">IF($B64=GT$12,$O64,"")</f>
        <v/>
      </c>
      <c r="GU64" s="88" t="str">
        <f aca="false">IF($B64=GU$12,$O64,"")</f>
        <v/>
      </c>
      <c r="GV64" s="88" t="str">
        <f aca="false">IF($B64=GV$12,$O64,"")</f>
        <v/>
      </c>
      <c r="GW64" s="88" t="str">
        <f aca="false">IF($B64=GW$12,$O64,"")</f>
        <v/>
      </c>
      <c r="GX64" s="88" t="str">
        <f aca="false">IF($B64=GX$12,$O64,"")</f>
        <v/>
      </c>
      <c r="GY64" s="88" t="str">
        <f aca="false">IF($B64=GY$12,$O64,"")</f>
        <v/>
      </c>
      <c r="GZ64" s="88" t="str">
        <f aca="false">IF($B64=GZ$12,$O64,"")</f>
        <v/>
      </c>
      <c r="HA64" s="88" t="str">
        <f aca="false">IF($B64=HA$12,$O64,"")</f>
        <v/>
      </c>
      <c r="HB64" s="88" t="str">
        <f aca="false">IF($B64=HB$12,$O64,"")</f>
        <v/>
      </c>
      <c r="HC64" s="88" t="str">
        <f aca="false">IF($B64=HC$12,$O64,"")</f>
        <v/>
      </c>
      <c r="HD64" s="88" t="str">
        <f aca="false">IF($B64=HD$12,$O64,"")</f>
        <v/>
      </c>
      <c r="HE64" s="88" t="str">
        <f aca="false">IF($B64=HE$12,$O64,"")</f>
        <v/>
      </c>
      <c r="HF64" s="88" t="str">
        <f aca="false">IF($B64=HF$12,$O64,"")</f>
        <v/>
      </c>
      <c r="HG64" s="88" t="str">
        <f aca="false">IF($B64=HG$12,$O64,"")</f>
        <v/>
      </c>
      <c r="HH64" s="88" t="str">
        <f aca="false">IF($B64=HH$12,$O64,"")</f>
        <v/>
      </c>
      <c r="HI64" s="88" t="str">
        <f aca="false">IF($B64=HI$12,$O64,"")</f>
        <v/>
      </c>
      <c r="HJ64" s="88" t="str">
        <f aca="false">IF($B64=HJ$12,$O64,"")</f>
        <v/>
      </c>
      <c r="HK64" s="88" t="str">
        <f aca="false">IF($B64=HK$12,$O64,"")</f>
        <v/>
      </c>
      <c r="HL64" s="88" t="str">
        <f aca="false">IF($B64=HL$12,$O64,"")</f>
        <v/>
      </c>
      <c r="HM64" s="88" t="str">
        <f aca="false">IF($B64=HM$12,$O64,"")</f>
        <v/>
      </c>
      <c r="HN64" s="88" t="str">
        <f aca="false">IF($B64=HN$12,$O64,"")</f>
        <v/>
      </c>
      <c r="HO64" s="88" t="str">
        <f aca="false">IF($B64=HO$12,$O64,"")</f>
        <v/>
      </c>
      <c r="HP64" s="88" t="str">
        <f aca="false">IF($B64=HP$12,$O64,"")</f>
        <v/>
      </c>
      <c r="HQ64" s="88" t="str">
        <f aca="false">IF($B64=HQ$12,$O64,"")</f>
        <v/>
      </c>
      <c r="HR64" s="89" t="str">
        <f aca="false">IF($B64=HR$12,$O64,"")</f>
        <v/>
      </c>
    </row>
    <row r="65" customFormat="false" ht="10.5" hidden="false" customHeight="true" outlineLevel="0" collapsed="false">
      <c r="A65" s="73"/>
      <c r="B65" s="74"/>
      <c r="C65" s="75" t="str">
        <f aca="false">IF(A65=0,"",VLOOKUP(A65,[3]CO!$A$3:$F$5311,2,0))</f>
        <v/>
      </c>
      <c r="D65" s="76"/>
      <c r="E65" s="76"/>
      <c r="F65" s="76"/>
      <c r="G65" s="77" t="str">
        <f aca="false">IF(A65=0,"",VLOOKUP(A65,[3]CO!$A$3:$F$5311,3,0))</f>
        <v/>
      </c>
      <c r="H65" s="76"/>
      <c r="I65" s="78"/>
      <c r="J65" s="78"/>
      <c r="K65" s="78"/>
      <c r="L65" s="78"/>
      <c r="M65" s="79" t="str">
        <f aca="false">IF(L65=0,"",PRODUCT(I65:L65))</f>
        <v/>
      </c>
      <c r="N65" s="79" t="str">
        <f aca="false">IF(B65=0,"",IF(H65="M",HLOOKUP(B65,$Y$12:$DT$13,2),IF(A65=0,"",VLOOKUP(A65,[3]CO!$A$3:$F$5311,4,0))))</f>
        <v/>
      </c>
      <c r="O65" s="79" t="str">
        <f aca="false">IF(L65=0,"",PRODUCT(M65:N65))</f>
        <v/>
      </c>
      <c r="P65" s="80"/>
      <c r="Q65" s="81" t="str">
        <f aca="false">IF(P65=0,"",(HLOOKUP(P65,$DW$12:$HR$13,2)))</f>
        <v/>
      </c>
      <c r="R65" s="82" t="str">
        <f aca="false">IF(S65=0,"",IF(OR(G65="PEON",G65="OF",G65="JARD",G65="CARP",G65="MAESTRO",G65="SOLD",G65="BGRO",G65="CHOFER",G65="AYTE",G65="S.INTTE.",G65="ASEO",G65="P.PISOS",G65="VELADOR",G65="RESID",G65="PINTOR",G65="ELECT",G65="AZULE",G65="AUX CONT.",G65="SECRETARIA",G65="AUXILIAR ADMTVO.",G65="ARQUITECTO",G65="DIBUJANTE",G65="AUX. DE RESIDENTE"),VLOOKUP(B65,P$14:Q$131,2),"")*S65)</f>
        <v/>
      </c>
      <c r="S65" s="5"/>
      <c r="T65" s="65" t="str">
        <f aca="false">IF(A65=0,"",VLOOKUP(A65,[3]CO!$A$3:$F$5302,5,0))</f>
        <v/>
      </c>
      <c r="U65" s="55" t="n">
        <f aca="false">IF(T65=1,O65*0.1,)</f>
        <v>0</v>
      </c>
      <c r="V65" s="66"/>
      <c r="W65" s="83"/>
      <c r="X65" s="83"/>
      <c r="Y65" s="84" t="str">
        <f aca="false">IF($B65=Y$12,$U65,"")</f>
        <v/>
      </c>
      <c r="Z65" s="85" t="str">
        <f aca="false">IF($B65=Z$12,$U65,"")</f>
        <v/>
      </c>
      <c r="AA65" s="85" t="str">
        <f aca="false">IF($B65=AA$12,$U65,"")</f>
        <v/>
      </c>
      <c r="AB65" s="85" t="str">
        <f aca="false">IF($B65=AB$12,$U65,"")</f>
        <v/>
      </c>
      <c r="AC65" s="85" t="str">
        <f aca="false">IF($B65=AC$12,$U65,"")</f>
        <v/>
      </c>
      <c r="AD65" s="85" t="str">
        <f aca="false">IF($B65=AD$12,$U65,"")</f>
        <v/>
      </c>
      <c r="AE65" s="85" t="str">
        <f aca="false">IF($B65=AE$12,$U65,"")</f>
        <v/>
      </c>
      <c r="AF65" s="85" t="str">
        <f aca="false">IF($B65=AF$12,$U65,"")</f>
        <v/>
      </c>
      <c r="AG65" s="85" t="str">
        <f aca="false">IF($B65=AG$12,$U65,"")</f>
        <v/>
      </c>
      <c r="AH65" s="85" t="str">
        <f aca="false">IF($B65=AH$12,$U65,"")</f>
        <v/>
      </c>
      <c r="AI65" s="85" t="str">
        <f aca="false">IF($B65=AI$12,$U65,"")</f>
        <v/>
      </c>
      <c r="AJ65" s="85" t="str">
        <f aca="false">IF($B65=AJ$12,$U65,"")</f>
        <v/>
      </c>
      <c r="AK65" s="85" t="str">
        <f aca="false">IF($B65=AK$12,$U65,"")</f>
        <v/>
      </c>
      <c r="AL65" s="85" t="str">
        <f aca="false">IF($B65=AL$12,$U65,"")</f>
        <v/>
      </c>
      <c r="AM65" s="85" t="str">
        <f aca="false">IF($B65=AM$12,$U65,"")</f>
        <v/>
      </c>
      <c r="AN65" s="85" t="str">
        <f aca="false">IF($B65=AN$12,$U65,"")</f>
        <v/>
      </c>
      <c r="AO65" s="85" t="str">
        <f aca="false">IF($B65=AO$12,$U65,"")</f>
        <v/>
      </c>
      <c r="AP65" s="85" t="str">
        <f aca="false">IF($B65=AP$12,$U65,"")</f>
        <v/>
      </c>
      <c r="AQ65" s="85" t="str">
        <f aca="false">IF($B65=AQ$12,$U65,"")</f>
        <v/>
      </c>
      <c r="AR65" s="85" t="str">
        <f aca="false">IF($B65=AR$12,$U65,"")</f>
        <v/>
      </c>
      <c r="AS65" s="85" t="str">
        <f aca="false">IF($B65=AS$12,$U65,"")</f>
        <v/>
      </c>
      <c r="AT65" s="85" t="str">
        <f aca="false">IF($B65=AT$12,$U65,"")</f>
        <v/>
      </c>
      <c r="AU65" s="85" t="str">
        <f aca="false">IF($B65=AU$12,$U65,"")</f>
        <v/>
      </c>
      <c r="AV65" s="85" t="str">
        <f aca="false">IF($B65=AV$12,$U65,"")</f>
        <v/>
      </c>
      <c r="AW65" s="85" t="str">
        <f aca="false">IF($B65=AW$12,$U65,"")</f>
        <v/>
      </c>
      <c r="AX65" s="85" t="str">
        <f aca="false">IF($B65=AX$12,$U65,"")</f>
        <v/>
      </c>
      <c r="AY65" s="85" t="str">
        <f aca="false">IF($B65=AY$12,$U65,"")</f>
        <v/>
      </c>
      <c r="AZ65" s="85" t="str">
        <f aca="false">IF($B65=AZ$12,$U65,"")</f>
        <v/>
      </c>
      <c r="BA65" s="85" t="str">
        <f aca="false">IF($B65=BA$12,$U65,"")</f>
        <v/>
      </c>
      <c r="BB65" s="85" t="str">
        <f aca="false">IF($B65=BB$12,$U65,"")</f>
        <v/>
      </c>
      <c r="BC65" s="85" t="str">
        <f aca="false">IF($B65=BC$12,$U65,"")</f>
        <v/>
      </c>
      <c r="BD65" s="85" t="str">
        <f aca="false">IF($B65=BD$12,$U65,"")</f>
        <v/>
      </c>
      <c r="BE65" s="85" t="str">
        <f aca="false">IF($B65=BE$12,$U65,"")</f>
        <v/>
      </c>
      <c r="BF65" s="85" t="str">
        <f aca="false">IF($B65=BF$12,$U65,"")</f>
        <v/>
      </c>
      <c r="BG65" s="85" t="str">
        <f aca="false">IF($B65=BG$12,$U65,"")</f>
        <v/>
      </c>
      <c r="BH65" s="85" t="str">
        <f aca="false">IF($B65=BH$12,$U65,"")</f>
        <v/>
      </c>
      <c r="BI65" s="85" t="str">
        <f aca="false">IF($B65=BI$12,$U65,"")</f>
        <v/>
      </c>
      <c r="BJ65" s="85" t="str">
        <f aca="false">IF($B65=BJ$12,$U65,"")</f>
        <v/>
      </c>
      <c r="BK65" s="85" t="str">
        <f aca="false">IF($B65=BK$12,$U65,"")</f>
        <v/>
      </c>
      <c r="BL65" s="85" t="str">
        <f aca="false">IF($B65=BL$12,$U65,"")</f>
        <v/>
      </c>
      <c r="BM65" s="85" t="str">
        <f aca="false">IF($B65=BM$12,$U65,"")</f>
        <v/>
      </c>
      <c r="BN65" s="85" t="str">
        <f aca="false">IF($B65=BN$12,$U65,"")</f>
        <v/>
      </c>
      <c r="BO65" s="85" t="str">
        <f aca="false">IF($B65=BO$12,$U65,"")</f>
        <v/>
      </c>
      <c r="BP65" s="85" t="str">
        <f aca="false">IF($B65=BP$12,$U65,"")</f>
        <v/>
      </c>
      <c r="BQ65" s="85" t="str">
        <f aca="false">IF($B65=BQ$12,$U65,"")</f>
        <v/>
      </c>
      <c r="BR65" s="85" t="str">
        <f aca="false">IF($B65=BR$12,$U65,"")</f>
        <v/>
      </c>
      <c r="BS65" s="85" t="str">
        <f aca="false">IF($B65=BS$12,$U65,"")</f>
        <v/>
      </c>
      <c r="BT65" s="85" t="str">
        <f aca="false">IF($B65=BT$12,$U65,"")</f>
        <v/>
      </c>
      <c r="BU65" s="85" t="str">
        <f aca="false">IF($B65=BU$12,$U65,"")</f>
        <v/>
      </c>
      <c r="BV65" s="85" t="str">
        <f aca="false">IF($B65=BV$12,$U65,"")</f>
        <v/>
      </c>
      <c r="BW65" s="85" t="str">
        <f aca="false">IF($B65=BW$12,$U65,"")</f>
        <v/>
      </c>
      <c r="BX65" s="85" t="str">
        <f aca="false">IF($B65=BX$12,$U65,"")</f>
        <v/>
      </c>
      <c r="BY65" s="85" t="str">
        <f aca="false">IF($B65=BY$12,$U65,"")</f>
        <v/>
      </c>
      <c r="BZ65" s="85" t="str">
        <f aca="false">IF($B65=BZ$12,$U65,"")</f>
        <v/>
      </c>
      <c r="CA65" s="85" t="str">
        <f aca="false">IF($B65=CA$12,$U65,"")</f>
        <v/>
      </c>
      <c r="CB65" s="85" t="str">
        <f aca="false">IF($B65=CB$12,$U65,"")</f>
        <v/>
      </c>
      <c r="CC65" s="85" t="str">
        <f aca="false">IF($B65=CC$12,$U65,"")</f>
        <v/>
      </c>
      <c r="CD65" s="85" t="str">
        <f aca="false">IF($B65=CD$12,$U65,"")</f>
        <v/>
      </c>
      <c r="CE65" s="85" t="str">
        <f aca="false">IF($B65=CE$12,$U65,"")</f>
        <v/>
      </c>
      <c r="CF65" s="85" t="str">
        <f aca="false">IF($B65=CF$12,$U65,"")</f>
        <v/>
      </c>
      <c r="CG65" s="85" t="str">
        <f aca="false">IF($B65=CG$12,$U65,"")</f>
        <v/>
      </c>
      <c r="CH65" s="85" t="str">
        <f aca="false">IF($B65=CH$12,$U65,"")</f>
        <v/>
      </c>
      <c r="CI65" s="85" t="str">
        <f aca="false">IF($B65=CI$12,$U65,"")</f>
        <v/>
      </c>
      <c r="CJ65" s="85" t="str">
        <f aca="false">IF($B65=CJ$12,$U65,"")</f>
        <v/>
      </c>
      <c r="CK65" s="85" t="str">
        <f aca="false">IF($B65=CK$12,$U65,"")</f>
        <v/>
      </c>
      <c r="CL65" s="85" t="str">
        <f aca="false">IF($B65=CL$12,$U65,"")</f>
        <v/>
      </c>
      <c r="CM65" s="85" t="str">
        <f aca="false">IF($B65=CM$12,$U65,"")</f>
        <v/>
      </c>
      <c r="CN65" s="85" t="str">
        <f aca="false">IF($B65=CN$12,$U65,"")</f>
        <v/>
      </c>
      <c r="CO65" s="85" t="str">
        <f aca="false">IF($B65=CO$12,$U65,"")</f>
        <v/>
      </c>
      <c r="CP65" s="85" t="str">
        <f aca="false">IF($B65=CP$12,$U65,"")</f>
        <v/>
      </c>
      <c r="CQ65" s="85" t="str">
        <f aca="false">IF($B65=CQ$12,$U65,"")</f>
        <v/>
      </c>
      <c r="CR65" s="85" t="str">
        <f aca="false">IF($B65=CR$12,$U65,"")</f>
        <v/>
      </c>
      <c r="CS65" s="85" t="str">
        <f aca="false">IF($B65=CS$12,$U65,"")</f>
        <v/>
      </c>
      <c r="CT65" s="85" t="str">
        <f aca="false">IF($B65=CT$12,$U65,"")</f>
        <v/>
      </c>
      <c r="CU65" s="85" t="str">
        <f aca="false">IF($B65=CU$12,$U65,"")</f>
        <v/>
      </c>
      <c r="CV65" s="85" t="str">
        <f aca="false">IF($B65=CV$12,$U65,"")</f>
        <v/>
      </c>
      <c r="CW65" s="85" t="str">
        <f aca="false">IF($B65=CW$12,$U65,"")</f>
        <v/>
      </c>
      <c r="CX65" s="85" t="str">
        <f aca="false">IF($B65=CX$12,$U65,"")</f>
        <v/>
      </c>
      <c r="CY65" s="85" t="str">
        <f aca="false">IF($B65=CY$12,$U65,"")</f>
        <v/>
      </c>
      <c r="CZ65" s="85" t="str">
        <f aca="false">IF($B65=CZ$12,$U65,"")</f>
        <v/>
      </c>
      <c r="DA65" s="85" t="str">
        <f aca="false">IF($B65=DA$12,$U65,"")</f>
        <v/>
      </c>
      <c r="DB65" s="85" t="str">
        <f aca="false">IF($B65=DB$12,$U65,"")</f>
        <v/>
      </c>
      <c r="DC65" s="85" t="str">
        <f aca="false">IF($B65=DC$12,$U65,"")</f>
        <v/>
      </c>
      <c r="DD65" s="85" t="str">
        <f aca="false">IF($B65=DD$12,$U65,"")</f>
        <v/>
      </c>
      <c r="DE65" s="85" t="str">
        <f aca="false">IF($B65=DE$12,$U65,"")</f>
        <v/>
      </c>
      <c r="DF65" s="85" t="str">
        <f aca="false">IF($B65=DF$12,$U65,"")</f>
        <v/>
      </c>
      <c r="DG65" s="85" t="str">
        <f aca="false">IF($B65=DG$12,$U65,"")</f>
        <v/>
      </c>
      <c r="DH65" s="85" t="str">
        <f aca="false">IF($B65=DH$12,$U65,"")</f>
        <v/>
      </c>
      <c r="DI65" s="85" t="str">
        <f aca="false">IF($B65=DI$12,$U65,"")</f>
        <v/>
      </c>
      <c r="DJ65" s="85" t="str">
        <f aca="false">IF($B65=DJ$12,$U65,"")</f>
        <v/>
      </c>
      <c r="DK65" s="85" t="str">
        <f aca="false">IF($B65=DK$12,$U65,"")</f>
        <v/>
      </c>
      <c r="DL65" s="85" t="str">
        <f aca="false">IF($B65=DL$12,$U65,"")</f>
        <v/>
      </c>
      <c r="DM65" s="85" t="str">
        <f aca="false">IF($B65=DM$12,$U65,"")</f>
        <v/>
      </c>
      <c r="DN65" s="85" t="str">
        <f aca="false">IF($B65=DN$12,$U65,"")</f>
        <v/>
      </c>
      <c r="DO65" s="85" t="str">
        <f aca="false">IF($B65=DO$12,$U65,"")</f>
        <v/>
      </c>
      <c r="DP65" s="85" t="str">
        <f aca="false">IF($B65=DP$12,$U65,"")</f>
        <v/>
      </c>
      <c r="DQ65" s="85" t="str">
        <f aca="false">IF($B65=DQ$12,$U65,"")</f>
        <v/>
      </c>
      <c r="DR65" s="85" t="str">
        <f aca="false">IF($B65=DR$12,$U65,"")</f>
        <v/>
      </c>
      <c r="DS65" s="85" t="str">
        <f aca="false">IF($B65=DS$12,$U65,"")</f>
        <v/>
      </c>
      <c r="DT65" s="86" t="str">
        <f aca="false">IF($B65=DT$12,$U65,"")</f>
        <v/>
      </c>
      <c r="DU65" s="55"/>
      <c r="DV65" s="83"/>
      <c r="DW65" s="87" t="str">
        <f aca="false">IF($B65=DW$12,$O65,"")</f>
        <v/>
      </c>
      <c r="DX65" s="88" t="str">
        <f aca="false">IF($B65=DX$12,$O65,"")</f>
        <v/>
      </c>
      <c r="DY65" s="88" t="str">
        <f aca="false">IF($B65=DY$12,$O65,"")</f>
        <v/>
      </c>
      <c r="DZ65" s="88" t="str">
        <f aca="false">IF($B65=DZ$12,$O65,"")</f>
        <v/>
      </c>
      <c r="EA65" s="88" t="str">
        <f aca="false">IF($B65=EA$12,$O65,"")</f>
        <v/>
      </c>
      <c r="EB65" s="88" t="str">
        <f aca="false">IF($B65=EB$12,$O65,"")</f>
        <v/>
      </c>
      <c r="EC65" s="88" t="str">
        <f aca="false">IF($B65=EC$12,$O65,"")</f>
        <v/>
      </c>
      <c r="ED65" s="88" t="str">
        <f aca="false">IF($B65=ED$12,$O65,"")</f>
        <v/>
      </c>
      <c r="EE65" s="88" t="str">
        <f aca="false">IF($B65=EE$12,$O65,"")</f>
        <v/>
      </c>
      <c r="EF65" s="88" t="str">
        <f aca="false">IF($B65=EF$12,$O65,"")</f>
        <v/>
      </c>
      <c r="EG65" s="88" t="str">
        <f aca="false">IF($B65=EG$12,$O65,"")</f>
        <v/>
      </c>
      <c r="EH65" s="88" t="str">
        <f aca="false">IF($B65=EH$12,$O65,"")</f>
        <v/>
      </c>
      <c r="EI65" s="88" t="str">
        <f aca="false">IF($B65=EI$12,$O65,"")</f>
        <v/>
      </c>
      <c r="EJ65" s="88" t="str">
        <f aca="false">IF($B65=EJ$12,$O65,"")</f>
        <v/>
      </c>
      <c r="EK65" s="88" t="str">
        <f aca="false">IF($B65=EK$12,$O65,"")</f>
        <v/>
      </c>
      <c r="EL65" s="88" t="str">
        <f aca="false">IF($B65=EL$12,$O65,"")</f>
        <v/>
      </c>
      <c r="EM65" s="88" t="str">
        <f aca="false">IF($B65=EM$12,$O65,"")</f>
        <v/>
      </c>
      <c r="EN65" s="88" t="str">
        <f aca="false">IF($B65=EN$12,$O65,"")</f>
        <v/>
      </c>
      <c r="EO65" s="88" t="str">
        <f aca="false">IF($B65=EO$12,$O65,"")</f>
        <v/>
      </c>
      <c r="EP65" s="88" t="str">
        <f aca="false">IF($B65=EP$12,$O65,"")</f>
        <v/>
      </c>
      <c r="EQ65" s="88" t="str">
        <f aca="false">IF($B65=EQ$12,$O65,"")</f>
        <v/>
      </c>
      <c r="ER65" s="88" t="str">
        <f aca="false">IF($B65=ER$12,$O65,"")</f>
        <v/>
      </c>
      <c r="ES65" s="88" t="str">
        <f aca="false">IF($B65=ES$12,$O65,"")</f>
        <v/>
      </c>
      <c r="ET65" s="88" t="str">
        <f aca="false">IF($B65=ET$12,$O65,"")</f>
        <v/>
      </c>
      <c r="EU65" s="88" t="str">
        <f aca="false">IF($B65=EU$12,$O65,"")</f>
        <v/>
      </c>
      <c r="EV65" s="88" t="str">
        <f aca="false">IF($B65=EV$12,$O65,"")</f>
        <v/>
      </c>
      <c r="EW65" s="88" t="str">
        <f aca="false">IF($B65=EW$12,$O65,"")</f>
        <v/>
      </c>
      <c r="EX65" s="88" t="str">
        <f aca="false">IF($B65=EX$12,$O65,"")</f>
        <v/>
      </c>
      <c r="EY65" s="88" t="str">
        <f aca="false">IF($B65=EY$12,$O65,"")</f>
        <v/>
      </c>
      <c r="EZ65" s="88" t="str">
        <f aca="false">IF($B65=EZ$12,$O65,"")</f>
        <v/>
      </c>
      <c r="FA65" s="88" t="str">
        <f aca="false">IF($B65=FA$12,$O65,"")</f>
        <v/>
      </c>
      <c r="FB65" s="88" t="str">
        <f aca="false">IF($B65=FB$12,$O65,"")</f>
        <v/>
      </c>
      <c r="FC65" s="88" t="str">
        <f aca="false">IF($B65=FC$12,$O65,"")</f>
        <v/>
      </c>
      <c r="FD65" s="88" t="str">
        <f aca="false">IF($B65=FD$12,$O65,"")</f>
        <v/>
      </c>
      <c r="FE65" s="88" t="str">
        <f aca="false">IF($B65=FE$12,$O65,"")</f>
        <v/>
      </c>
      <c r="FF65" s="88" t="str">
        <f aca="false">IF($B65=FF$12,$O65,"")</f>
        <v/>
      </c>
      <c r="FG65" s="88" t="str">
        <f aca="false">IF($B65=FG$12,$O65,"")</f>
        <v/>
      </c>
      <c r="FH65" s="88" t="str">
        <f aca="false">IF($B65=FH$12,$O65,"")</f>
        <v/>
      </c>
      <c r="FI65" s="88" t="str">
        <f aca="false">IF($B65=FI$12,$O65,"")</f>
        <v/>
      </c>
      <c r="FJ65" s="88" t="str">
        <f aca="false">IF($B65=FJ$12,$O65,"")</f>
        <v/>
      </c>
      <c r="FK65" s="88" t="str">
        <f aca="false">IF($B65=FK$12,$O65,"")</f>
        <v/>
      </c>
      <c r="FL65" s="88" t="str">
        <f aca="false">IF($B65=FL$12,$O65,"")</f>
        <v/>
      </c>
      <c r="FM65" s="88" t="str">
        <f aca="false">IF($B65=FM$12,$O65,"")</f>
        <v/>
      </c>
      <c r="FN65" s="88" t="str">
        <f aca="false">IF($B65=FN$12,$O65,"")</f>
        <v/>
      </c>
      <c r="FO65" s="88" t="str">
        <f aca="false">IF($B65=FO$12,$O65,"")</f>
        <v/>
      </c>
      <c r="FP65" s="88" t="str">
        <f aca="false">IF($B65=FP$12,$O65,"")</f>
        <v/>
      </c>
      <c r="FQ65" s="88" t="str">
        <f aca="false">IF($B65=FQ$12,$O65,"")</f>
        <v/>
      </c>
      <c r="FR65" s="88" t="str">
        <f aca="false">IF($B65=FR$12,$O65,"")</f>
        <v/>
      </c>
      <c r="FS65" s="88" t="str">
        <f aca="false">IF($B65=FS$12,$O65,"")</f>
        <v/>
      </c>
      <c r="FT65" s="88" t="str">
        <f aca="false">IF($B65=FT$12,$O65,"")</f>
        <v/>
      </c>
      <c r="FU65" s="88" t="str">
        <f aca="false">IF($B65=FU$12,$O65,"")</f>
        <v/>
      </c>
      <c r="FV65" s="88" t="str">
        <f aca="false">IF($B65=FV$12,$O65,"")</f>
        <v/>
      </c>
      <c r="FW65" s="88" t="str">
        <f aca="false">IF($B65=FW$12,$O65,"")</f>
        <v/>
      </c>
      <c r="FX65" s="88" t="str">
        <f aca="false">IF($B65=FX$12,$O65,"")</f>
        <v/>
      </c>
      <c r="FY65" s="88" t="str">
        <f aca="false">IF($B65=FY$12,$O65,"")</f>
        <v/>
      </c>
      <c r="FZ65" s="88" t="str">
        <f aca="false">IF($B65=FZ$12,$O65,"")</f>
        <v/>
      </c>
      <c r="GA65" s="88" t="str">
        <f aca="false">IF($B65=GA$12,$O65,"")</f>
        <v/>
      </c>
      <c r="GB65" s="88" t="str">
        <f aca="false">IF($B65=GB$12,$O65,"")</f>
        <v/>
      </c>
      <c r="GC65" s="88" t="str">
        <f aca="false">IF($B65=GC$12,$O65,"")</f>
        <v/>
      </c>
      <c r="GD65" s="88" t="str">
        <f aca="false">IF($B65=GD$12,$O65,"")</f>
        <v/>
      </c>
      <c r="GE65" s="88" t="str">
        <f aca="false">IF($B65=GE$12,$O65,"")</f>
        <v/>
      </c>
      <c r="GF65" s="88" t="str">
        <f aca="false">IF($B65=GF$12,$O65,"")</f>
        <v/>
      </c>
      <c r="GG65" s="88" t="str">
        <f aca="false">IF($B65=GG$12,$O65,"")</f>
        <v/>
      </c>
      <c r="GH65" s="88" t="str">
        <f aca="false">IF($B65=GH$12,$O65,"")</f>
        <v/>
      </c>
      <c r="GI65" s="88" t="str">
        <f aca="false">IF($B65=GI$12,$O65,"")</f>
        <v/>
      </c>
      <c r="GJ65" s="88" t="str">
        <f aca="false">IF($B65=GJ$12,$O65,"")</f>
        <v/>
      </c>
      <c r="GK65" s="88" t="str">
        <f aca="false">IF($B65=GK$12,$O65,"")</f>
        <v/>
      </c>
      <c r="GL65" s="88" t="str">
        <f aca="false">IF($B65=GL$12,$O65,"")</f>
        <v/>
      </c>
      <c r="GM65" s="88" t="str">
        <f aca="false">IF($B65=GM$12,$O65,"")</f>
        <v/>
      </c>
      <c r="GN65" s="88" t="str">
        <f aca="false">IF($B65=GN$12,$O65,"")</f>
        <v/>
      </c>
      <c r="GO65" s="88" t="str">
        <f aca="false">IF($B65=GO$12,$O65,"")</f>
        <v/>
      </c>
      <c r="GP65" s="88" t="str">
        <f aca="false">IF($B65=GP$12,$O65,"")</f>
        <v/>
      </c>
      <c r="GQ65" s="88" t="str">
        <f aca="false">IF($B65=GQ$12,$O65,"")</f>
        <v/>
      </c>
      <c r="GR65" s="88" t="str">
        <f aca="false">IF($B65=GR$12,$O65,"")</f>
        <v/>
      </c>
      <c r="GS65" s="88" t="str">
        <f aca="false">IF($B65=GS$12,$O65,"")</f>
        <v/>
      </c>
      <c r="GT65" s="88" t="str">
        <f aca="false">IF($B65=GT$12,$O65,"")</f>
        <v/>
      </c>
      <c r="GU65" s="88" t="str">
        <f aca="false">IF($B65=GU$12,$O65,"")</f>
        <v/>
      </c>
      <c r="GV65" s="88" t="str">
        <f aca="false">IF($B65=GV$12,$O65,"")</f>
        <v/>
      </c>
      <c r="GW65" s="88" t="str">
        <f aca="false">IF($B65=GW$12,$O65,"")</f>
        <v/>
      </c>
      <c r="GX65" s="88" t="str">
        <f aca="false">IF($B65=GX$12,$O65,"")</f>
        <v/>
      </c>
      <c r="GY65" s="88" t="str">
        <f aca="false">IF($B65=GY$12,$O65,"")</f>
        <v/>
      </c>
      <c r="GZ65" s="88" t="str">
        <f aca="false">IF($B65=GZ$12,$O65,"")</f>
        <v/>
      </c>
      <c r="HA65" s="88" t="str">
        <f aca="false">IF($B65=HA$12,$O65,"")</f>
        <v/>
      </c>
      <c r="HB65" s="88" t="str">
        <f aca="false">IF($B65=HB$12,$O65,"")</f>
        <v/>
      </c>
      <c r="HC65" s="88" t="str">
        <f aca="false">IF($B65=HC$12,$O65,"")</f>
        <v/>
      </c>
      <c r="HD65" s="88" t="str">
        <f aca="false">IF($B65=HD$12,$O65,"")</f>
        <v/>
      </c>
      <c r="HE65" s="88" t="str">
        <f aca="false">IF($B65=HE$12,$O65,"")</f>
        <v/>
      </c>
      <c r="HF65" s="88" t="str">
        <f aca="false">IF($B65=HF$12,$O65,"")</f>
        <v/>
      </c>
      <c r="HG65" s="88" t="str">
        <f aca="false">IF($B65=HG$12,$O65,"")</f>
        <v/>
      </c>
      <c r="HH65" s="88" t="str">
        <f aca="false">IF($B65=HH$12,$O65,"")</f>
        <v/>
      </c>
      <c r="HI65" s="88" t="str">
        <f aca="false">IF($B65=HI$12,$O65,"")</f>
        <v/>
      </c>
      <c r="HJ65" s="88" t="str">
        <f aca="false">IF($B65=HJ$12,$O65,"")</f>
        <v/>
      </c>
      <c r="HK65" s="88" t="str">
        <f aca="false">IF($B65=HK$12,$O65,"")</f>
        <v/>
      </c>
      <c r="HL65" s="88" t="str">
        <f aca="false">IF($B65=HL$12,$O65,"")</f>
        <v/>
      </c>
      <c r="HM65" s="88" t="str">
        <f aca="false">IF($B65=HM$12,$O65,"")</f>
        <v/>
      </c>
      <c r="HN65" s="88" t="str">
        <f aca="false">IF($B65=HN$12,$O65,"")</f>
        <v/>
      </c>
      <c r="HO65" s="88" t="str">
        <f aca="false">IF($B65=HO$12,$O65,"")</f>
        <v/>
      </c>
      <c r="HP65" s="88" t="str">
        <f aca="false">IF($B65=HP$12,$O65,"")</f>
        <v/>
      </c>
      <c r="HQ65" s="88" t="str">
        <f aca="false">IF($B65=HQ$12,$O65,"")</f>
        <v/>
      </c>
      <c r="HR65" s="89" t="str">
        <f aca="false">IF($B65=HR$12,$O65,"")</f>
        <v/>
      </c>
    </row>
    <row r="66" customFormat="false" ht="10.5" hidden="false" customHeight="true" outlineLevel="0" collapsed="false">
      <c r="A66" s="73"/>
      <c r="B66" s="74"/>
      <c r="C66" s="75" t="str">
        <f aca="false">IF(A66=0,"",VLOOKUP(A66,[3]CO!$A$3:$F$5311,2,0))</f>
        <v/>
      </c>
      <c r="D66" s="76"/>
      <c r="E66" s="76"/>
      <c r="F66" s="76"/>
      <c r="G66" s="77" t="str">
        <f aca="false">IF(A66=0,"",VLOOKUP(A66,[3]CO!$A$3:$F$5311,3,0))</f>
        <v/>
      </c>
      <c r="H66" s="76"/>
      <c r="I66" s="78"/>
      <c r="J66" s="78"/>
      <c r="K66" s="78"/>
      <c r="L66" s="78"/>
      <c r="M66" s="79" t="str">
        <f aca="false">IF(L66=0,"",PRODUCT(I66:L66))</f>
        <v/>
      </c>
      <c r="N66" s="79" t="str">
        <f aca="false">IF(B66=0,"",IF(H66="M",HLOOKUP(B66,$Y$12:$DT$13,2),IF(A66=0,"",VLOOKUP(A66,[3]CO!$A$3:$F$5311,4,0))))</f>
        <v/>
      </c>
      <c r="O66" s="79" t="str">
        <f aca="false">IF(L66=0,"",PRODUCT(M66:N66))</f>
        <v/>
      </c>
      <c r="P66" s="80"/>
      <c r="Q66" s="81" t="str">
        <f aca="false">IF(P66=0,"",(HLOOKUP(P66,$DW$12:$HR$13,2)))</f>
        <v/>
      </c>
      <c r="R66" s="82" t="str">
        <f aca="false">IF(S66=0,"",IF(OR(G66="PEON",G66="OF",G66="JARD",G66="CARP",G66="MAESTRO",G66="SOLD",G66="BGRO",G66="CHOFER",G66="AYTE",G66="S.INTTE.",G66="ASEO",G66="P.PISOS",G66="VELADOR",G66="RESID",G66="PINTOR",G66="ELECT",G66="AZULE",G66="AUX CONT.",G66="SECRETARIA",G66="AUXILIAR ADMTVO.",G66="ARQUITECTO",G66="DIBUJANTE",G66="AUX. DE RESIDENTE"),VLOOKUP(B66,P$14:Q$131,2),"")*S66)</f>
        <v/>
      </c>
      <c r="S66" s="5"/>
      <c r="T66" s="65" t="str">
        <f aca="false">IF(A66=0,"",VLOOKUP(A66,[3]CO!$A$3:$F$5302,5,0))</f>
        <v/>
      </c>
      <c r="U66" s="55" t="n">
        <f aca="false">IF(T66=1,O66*0.1,)</f>
        <v>0</v>
      </c>
      <c r="V66" s="66"/>
      <c r="W66" s="83"/>
      <c r="X66" s="83"/>
      <c r="Y66" s="84" t="str">
        <f aca="false">IF($B66=Y$12,$U66,"")</f>
        <v/>
      </c>
      <c r="Z66" s="85" t="str">
        <f aca="false">IF($B66=Z$12,$U66,"")</f>
        <v/>
      </c>
      <c r="AA66" s="85" t="str">
        <f aca="false">IF($B66=AA$12,$U66,"")</f>
        <v/>
      </c>
      <c r="AB66" s="85" t="str">
        <f aca="false">IF($B66=AB$12,$U66,"")</f>
        <v/>
      </c>
      <c r="AC66" s="85" t="str">
        <f aca="false">IF($B66=AC$12,$U66,"")</f>
        <v/>
      </c>
      <c r="AD66" s="85" t="str">
        <f aca="false">IF($B66=AD$12,$U66,"")</f>
        <v/>
      </c>
      <c r="AE66" s="85" t="str">
        <f aca="false">IF($B66=AE$12,$U66,"")</f>
        <v/>
      </c>
      <c r="AF66" s="85" t="str">
        <f aca="false">IF($B66=AF$12,$U66,"")</f>
        <v/>
      </c>
      <c r="AG66" s="85" t="str">
        <f aca="false">IF($B66=AG$12,$U66,"")</f>
        <v/>
      </c>
      <c r="AH66" s="85" t="str">
        <f aca="false">IF($B66=AH$12,$U66,"")</f>
        <v/>
      </c>
      <c r="AI66" s="85" t="str">
        <f aca="false">IF($B66=AI$12,$U66,"")</f>
        <v/>
      </c>
      <c r="AJ66" s="85" t="str">
        <f aca="false">IF($B66=AJ$12,$U66,"")</f>
        <v/>
      </c>
      <c r="AK66" s="85" t="str">
        <f aca="false">IF($B66=AK$12,$U66,"")</f>
        <v/>
      </c>
      <c r="AL66" s="85" t="str">
        <f aca="false">IF($B66=AL$12,$U66,"")</f>
        <v/>
      </c>
      <c r="AM66" s="85" t="str">
        <f aca="false">IF($B66=AM$12,$U66,"")</f>
        <v/>
      </c>
      <c r="AN66" s="85" t="str">
        <f aca="false">IF($B66=AN$12,$U66,"")</f>
        <v/>
      </c>
      <c r="AO66" s="85" t="str">
        <f aca="false">IF($B66=AO$12,$U66,"")</f>
        <v/>
      </c>
      <c r="AP66" s="85" t="str">
        <f aca="false">IF($B66=AP$12,$U66,"")</f>
        <v/>
      </c>
      <c r="AQ66" s="85" t="str">
        <f aca="false">IF($B66=AQ$12,$U66,"")</f>
        <v/>
      </c>
      <c r="AR66" s="85" t="str">
        <f aca="false">IF($B66=AR$12,$U66,"")</f>
        <v/>
      </c>
      <c r="AS66" s="85" t="str">
        <f aca="false">IF($B66=AS$12,$U66,"")</f>
        <v/>
      </c>
      <c r="AT66" s="85" t="str">
        <f aca="false">IF($B66=AT$12,$U66,"")</f>
        <v/>
      </c>
      <c r="AU66" s="85" t="str">
        <f aca="false">IF($B66=AU$12,$U66,"")</f>
        <v/>
      </c>
      <c r="AV66" s="85" t="str">
        <f aca="false">IF($B66=AV$12,$U66,"")</f>
        <v/>
      </c>
      <c r="AW66" s="85" t="str">
        <f aca="false">IF($B66=AW$12,$U66,"")</f>
        <v/>
      </c>
      <c r="AX66" s="85" t="str">
        <f aca="false">IF($B66=AX$12,$U66,"")</f>
        <v/>
      </c>
      <c r="AY66" s="85" t="str">
        <f aca="false">IF($B66=AY$12,$U66,"")</f>
        <v/>
      </c>
      <c r="AZ66" s="85" t="str">
        <f aca="false">IF($B66=AZ$12,$U66,"")</f>
        <v/>
      </c>
      <c r="BA66" s="85" t="str">
        <f aca="false">IF($B66=BA$12,$U66,"")</f>
        <v/>
      </c>
      <c r="BB66" s="85" t="str">
        <f aca="false">IF($B66=BB$12,$U66,"")</f>
        <v/>
      </c>
      <c r="BC66" s="85" t="str">
        <f aca="false">IF($B66=BC$12,$U66,"")</f>
        <v/>
      </c>
      <c r="BD66" s="85" t="str">
        <f aca="false">IF($B66=BD$12,$U66,"")</f>
        <v/>
      </c>
      <c r="BE66" s="85" t="str">
        <f aca="false">IF($B66=BE$12,$U66,"")</f>
        <v/>
      </c>
      <c r="BF66" s="85" t="str">
        <f aca="false">IF($B66=BF$12,$U66,"")</f>
        <v/>
      </c>
      <c r="BG66" s="85" t="str">
        <f aca="false">IF($B66=BG$12,$U66,"")</f>
        <v/>
      </c>
      <c r="BH66" s="85" t="str">
        <f aca="false">IF($B66=BH$12,$U66,"")</f>
        <v/>
      </c>
      <c r="BI66" s="85" t="str">
        <f aca="false">IF($B66=BI$12,$U66,"")</f>
        <v/>
      </c>
      <c r="BJ66" s="85" t="str">
        <f aca="false">IF($B66=BJ$12,$U66,"")</f>
        <v/>
      </c>
      <c r="BK66" s="85" t="str">
        <f aca="false">IF($B66=BK$12,$U66,"")</f>
        <v/>
      </c>
      <c r="BL66" s="85" t="str">
        <f aca="false">IF($B66=BL$12,$U66,"")</f>
        <v/>
      </c>
      <c r="BM66" s="85" t="str">
        <f aca="false">IF($B66=BM$12,$U66,"")</f>
        <v/>
      </c>
      <c r="BN66" s="85" t="str">
        <f aca="false">IF($B66=BN$12,$U66,"")</f>
        <v/>
      </c>
      <c r="BO66" s="85" t="str">
        <f aca="false">IF($B66=BO$12,$U66,"")</f>
        <v/>
      </c>
      <c r="BP66" s="85" t="str">
        <f aca="false">IF($B66=BP$12,$U66,"")</f>
        <v/>
      </c>
      <c r="BQ66" s="85" t="str">
        <f aca="false">IF($B66=BQ$12,$U66,"")</f>
        <v/>
      </c>
      <c r="BR66" s="85" t="str">
        <f aca="false">IF($B66=BR$12,$U66,"")</f>
        <v/>
      </c>
      <c r="BS66" s="85" t="str">
        <f aca="false">IF($B66=BS$12,$U66,"")</f>
        <v/>
      </c>
      <c r="BT66" s="85" t="str">
        <f aca="false">IF($B66=BT$12,$U66,"")</f>
        <v/>
      </c>
      <c r="BU66" s="85" t="str">
        <f aca="false">IF($B66=BU$12,$U66,"")</f>
        <v/>
      </c>
      <c r="BV66" s="85" t="str">
        <f aca="false">IF($B66=BV$12,$U66,"")</f>
        <v/>
      </c>
      <c r="BW66" s="85" t="str">
        <f aca="false">IF($B66=BW$12,$U66,"")</f>
        <v/>
      </c>
      <c r="BX66" s="85" t="str">
        <f aca="false">IF($B66=BX$12,$U66,"")</f>
        <v/>
      </c>
      <c r="BY66" s="85" t="str">
        <f aca="false">IF($B66=BY$12,$U66,"")</f>
        <v/>
      </c>
      <c r="BZ66" s="85" t="str">
        <f aca="false">IF($B66=BZ$12,$U66,"")</f>
        <v/>
      </c>
      <c r="CA66" s="85" t="str">
        <f aca="false">IF($B66=CA$12,$U66,"")</f>
        <v/>
      </c>
      <c r="CB66" s="85" t="str">
        <f aca="false">IF($B66=CB$12,$U66,"")</f>
        <v/>
      </c>
      <c r="CC66" s="85" t="str">
        <f aca="false">IF($B66=CC$12,$U66,"")</f>
        <v/>
      </c>
      <c r="CD66" s="85" t="str">
        <f aca="false">IF($B66=CD$12,$U66,"")</f>
        <v/>
      </c>
      <c r="CE66" s="85" t="str">
        <f aca="false">IF($B66=CE$12,$U66,"")</f>
        <v/>
      </c>
      <c r="CF66" s="85" t="str">
        <f aca="false">IF($B66=CF$12,$U66,"")</f>
        <v/>
      </c>
      <c r="CG66" s="85" t="str">
        <f aca="false">IF($B66=CG$12,$U66,"")</f>
        <v/>
      </c>
      <c r="CH66" s="85" t="str">
        <f aca="false">IF($B66=CH$12,$U66,"")</f>
        <v/>
      </c>
      <c r="CI66" s="85" t="str">
        <f aca="false">IF($B66=CI$12,$U66,"")</f>
        <v/>
      </c>
      <c r="CJ66" s="85" t="str">
        <f aca="false">IF($B66=CJ$12,$U66,"")</f>
        <v/>
      </c>
      <c r="CK66" s="85" t="str">
        <f aca="false">IF($B66=CK$12,$U66,"")</f>
        <v/>
      </c>
      <c r="CL66" s="85" t="str">
        <f aca="false">IF($B66=CL$12,$U66,"")</f>
        <v/>
      </c>
      <c r="CM66" s="85" t="str">
        <f aca="false">IF($B66=CM$12,$U66,"")</f>
        <v/>
      </c>
      <c r="CN66" s="85" t="str">
        <f aca="false">IF($B66=CN$12,$U66,"")</f>
        <v/>
      </c>
      <c r="CO66" s="85" t="str">
        <f aca="false">IF($B66=CO$12,$U66,"")</f>
        <v/>
      </c>
      <c r="CP66" s="85" t="str">
        <f aca="false">IF($B66=CP$12,$U66,"")</f>
        <v/>
      </c>
      <c r="CQ66" s="85" t="str">
        <f aca="false">IF($B66=CQ$12,$U66,"")</f>
        <v/>
      </c>
      <c r="CR66" s="85" t="str">
        <f aca="false">IF($B66=CR$12,$U66,"")</f>
        <v/>
      </c>
      <c r="CS66" s="85" t="str">
        <f aca="false">IF($B66=CS$12,$U66,"")</f>
        <v/>
      </c>
      <c r="CT66" s="85" t="str">
        <f aca="false">IF($B66=CT$12,$U66,"")</f>
        <v/>
      </c>
      <c r="CU66" s="85" t="str">
        <f aca="false">IF($B66=CU$12,$U66,"")</f>
        <v/>
      </c>
      <c r="CV66" s="85" t="str">
        <f aca="false">IF($B66=CV$12,$U66,"")</f>
        <v/>
      </c>
      <c r="CW66" s="85" t="str">
        <f aca="false">IF($B66=CW$12,$U66,"")</f>
        <v/>
      </c>
      <c r="CX66" s="85" t="str">
        <f aca="false">IF($B66=CX$12,$U66,"")</f>
        <v/>
      </c>
      <c r="CY66" s="85" t="str">
        <f aca="false">IF($B66=CY$12,$U66,"")</f>
        <v/>
      </c>
      <c r="CZ66" s="85" t="str">
        <f aca="false">IF($B66=CZ$12,$U66,"")</f>
        <v/>
      </c>
      <c r="DA66" s="85" t="str">
        <f aca="false">IF($B66=DA$12,$U66,"")</f>
        <v/>
      </c>
      <c r="DB66" s="85" t="str">
        <f aca="false">IF($B66=DB$12,$U66,"")</f>
        <v/>
      </c>
      <c r="DC66" s="85" t="str">
        <f aca="false">IF($B66=DC$12,$U66,"")</f>
        <v/>
      </c>
      <c r="DD66" s="85" t="str">
        <f aca="false">IF($B66=DD$12,$U66,"")</f>
        <v/>
      </c>
      <c r="DE66" s="85" t="str">
        <f aca="false">IF($B66=DE$12,$U66,"")</f>
        <v/>
      </c>
      <c r="DF66" s="85" t="str">
        <f aca="false">IF($B66=DF$12,$U66,"")</f>
        <v/>
      </c>
      <c r="DG66" s="85" t="str">
        <f aca="false">IF($B66=DG$12,$U66,"")</f>
        <v/>
      </c>
      <c r="DH66" s="85" t="str">
        <f aca="false">IF($B66=DH$12,$U66,"")</f>
        <v/>
      </c>
      <c r="DI66" s="85" t="str">
        <f aca="false">IF($B66=DI$12,$U66,"")</f>
        <v/>
      </c>
      <c r="DJ66" s="85" t="str">
        <f aca="false">IF($B66=DJ$12,$U66,"")</f>
        <v/>
      </c>
      <c r="DK66" s="85" t="str">
        <f aca="false">IF($B66=DK$12,$U66,"")</f>
        <v/>
      </c>
      <c r="DL66" s="85" t="str">
        <f aca="false">IF($B66=DL$12,$U66,"")</f>
        <v/>
      </c>
      <c r="DM66" s="85" t="str">
        <f aca="false">IF($B66=DM$12,$U66,"")</f>
        <v/>
      </c>
      <c r="DN66" s="85" t="str">
        <f aca="false">IF($B66=DN$12,$U66,"")</f>
        <v/>
      </c>
      <c r="DO66" s="85" t="str">
        <f aca="false">IF($B66=DO$12,$U66,"")</f>
        <v/>
      </c>
      <c r="DP66" s="85" t="str">
        <f aca="false">IF($B66=DP$12,$U66,"")</f>
        <v/>
      </c>
      <c r="DQ66" s="85" t="str">
        <f aca="false">IF($B66=DQ$12,$U66,"")</f>
        <v/>
      </c>
      <c r="DR66" s="85" t="str">
        <f aca="false">IF($B66=DR$12,$U66,"")</f>
        <v/>
      </c>
      <c r="DS66" s="85" t="str">
        <f aca="false">IF($B66=DS$12,$U66,"")</f>
        <v/>
      </c>
      <c r="DT66" s="86" t="str">
        <f aca="false">IF($B66=DT$12,$U66,"")</f>
        <v/>
      </c>
      <c r="DU66" s="55"/>
      <c r="DV66" s="83"/>
      <c r="DW66" s="87" t="str">
        <f aca="false">IF($B66=DW$12,$O66,"")</f>
        <v/>
      </c>
      <c r="DX66" s="88" t="str">
        <f aca="false">IF($B66=DX$12,$O66,"")</f>
        <v/>
      </c>
      <c r="DY66" s="88" t="str">
        <f aca="false">IF($B66=DY$12,$O66,"")</f>
        <v/>
      </c>
      <c r="DZ66" s="88" t="str">
        <f aca="false">IF($B66=DZ$12,$O66,"")</f>
        <v/>
      </c>
      <c r="EA66" s="88" t="str">
        <f aca="false">IF($B66=EA$12,$O66,"")</f>
        <v/>
      </c>
      <c r="EB66" s="88" t="str">
        <f aca="false">IF($B66=EB$12,$O66,"")</f>
        <v/>
      </c>
      <c r="EC66" s="88" t="str">
        <f aca="false">IF($B66=EC$12,$O66,"")</f>
        <v/>
      </c>
      <c r="ED66" s="88" t="str">
        <f aca="false">IF($B66=ED$12,$O66,"")</f>
        <v/>
      </c>
      <c r="EE66" s="88" t="str">
        <f aca="false">IF($B66=EE$12,$O66,"")</f>
        <v/>
      </c>
      <c r="EF66" s="88" t="str">
        <f aca="false">IF($B66=EF$12,$O66,"")</f>
        <v/>
      </c>
      <c r="EG66" s="88" t="str">
        <f aca="false">IF($B66=EG$12,$O66,"")</f>
        <v/>
      </c>
      <c r="EH66" s="88" t="str">
        <f aca="false">IF($B66=EH$12,$O66,"")</f>
        <v/>
      </c>
      <c r="EI66" s="88" t="str">
        <f aca="false">IF($B66=EI$12,$O66,"")</f>
        <v/>
      </c>
      <c r="EJ66" s="88" t="str">
        <f aca="false">IF($B66=EJ$12,$O66,"")</f>
        <v/>
      </c>
      <c r="EK66" s="88" t="str">
        <f aca="false">IF($B66=EK$12,$O66,"")</f>
        <v/>
      </c>
      <c r="EL66" s="88" t="str">
        <f aca="false">IF($B66=EL$12,$O66,"")</f>
        <v/>
      </c>
      <c r="EM66" s="88" t="str">
        <f aca="false">IF($B66=EM$12,$O66,"")</f>
        <v/>
      </c>
      <c r="EN66" s="88" t="str">
        <f aca="false">IF($B66=EN$12,$O66,"")</f>
        <v/>
      </c>
      <c r="EO66" s="88" t="str">
        <f aca="false">IF($B66=EO$12,$O66,"")</f>
        <v/>
      </c>
      <c r="EP66" s="88" t="str">
        <f aca="false">IF($B66=EP$12,$O66,"")</f>
        <v/>
      </c>
      <c r="EQ66" s="88" t="str">
        <f aca="false">IF($B66=EQ$12,$O66,"")</f>
        <v/>
      </c>
      <c r="ER66" s="88" t="str">
        <f aca="false">IF($B66=ER$12,$O66,"")</f>
        <v/>
      </c>
      <c r="ES66" s="88" t="str">
        <f aca="false">IF($B66=ES$12,$O66,"")</f>
        <v/>
      </c>
      <c r="ET66" s="88" t="str">
        <f aca="false">IF($B66=ET$12,$O66,"")</f>
        <v/>
      </c>
      <c r="EU66" s="88" t="str">
        <f aca="false">IF($B66=EU$12,$O66,"")</f>
        <v/>
      </c>
      <c r="EV66" s="88" t="str">
        <f aca="false">IF($B66=EV$12,$O66,"")</f>
        <v/>
      </c>
      <c r="EW66" s="88" t="str">
        <f aca="false">IF($B66=EW$12,$O66,"")</f>
        <v/>
      </c>
      <c r="EX66" s="88" t="str">
        <f aca="false">IF($B66=EX$12,$O66,"")</f>
        <v/>
      </c>
      <c r="EY66" s="88" t="str">
        <f aca="false">IF($B66=EY$12,$O66,"")</f>
        <v/>
      </c>
      <c r="EZ66" s="88" t="str">
        <f aca="false">IF($B66=EZ$12,$O66,"")</f>
        <v/>
      </c>
      <c r="FA66" s="88" t="str">
        <f aca="false">IF($B66=FA$12,$O66,"")</f>
        <v/>
      </c>
      <c r="FB66" s="88" t="str">
        <f aca="false">IF($B66=FB$12,$O66,"")</f>
        <v/>
      </c>
      <c r="FC66" s="88" t="str">
        <f aca="false">IF($B66=FC$12,$O66,"")</f>
        <v/>
      </c>
      <c r="FD66" s="88" t="str">
        <f aca="false">IF($B66=FD$12,$O66,"")</f>
        <v/>
      </c>
      <c r="FE66" s="88" t="str">
        <f aca="false">IF($B66=FE$12,$O66,"")</f>
        <v/>
      </c>
      <c r="FF66" s="88" t="str">
        <f aca="false">IF($B66=FF$12,$O66,"")</f>
        <v/>
      </c>
      <c r="FG66" s="88" t="str">
        <f aca="false">IF($B66=FG$12,$O66,"")</f>
        <v/>
      </c>
      <c r="FH66" s="88" t="str">
        <f aca="false">IF($B66=FH$12,$O66,"")</f>
        <v/>
      </c>
      <c r="FI66" s="88" t="str">
        <f aca="false">IF($B66=FI$12,$O66,"")</f>
        <v/>
      </c>
      <c r="FJ66" s="88" t="str">
        <f aca="false">IF($B66=FJ$12,$O66,"")</f>
        <v/>
      </c>
      <c r="FK66" s="88" t="str">
        <f aca="false">IF($B66=FK$12,$O66,"")</f>
        <v/>
      </c>
      <c r="FL66" s="88" t="str">
        <f aca="false">IF($B66=FL$12,$O66,"")</f>
        <v/>
      </c>
      <c r="FM66" s="88" t="str">
        <f aca="false">IF($B66=FM$12,$O66,"")</f>
        <v/>
      </c>
      <c r="FN66" s="88" t="str">
        <f aca="false">IF($B66=FN$12,$O66,"")</f>
        <v/>
      </c>
      <c r="FO66" s="88" t="str">
        <f aca="false">IF($B66=FO$12,$O66,"")</f>
        <v/>
      </c>
      <c r="FP66" s="88" t="str">
        <f aca="false">IF($B66=FP$12,$O66,"")</f>
        <v/>
      </c>
      <c r="FQ66" s="88" t="str">
        <f aca="false">IF($B66=FQ$12,$O66,"")</f>
        <v/>
      </c>
      <c r="FR66" s="88" t="str">
        <f aca="false">IF($B66=FR$12,$O66,"")</f>
        <v/>
      </c>
      <c r="FS66" s="88" t="str">
        <f aca="false">IF($B66=FS$12,$O66,"")</f>
        <v/>
      </c>
      <c r="FT66" s="88" t="str">
        <f aca="false">IF($B66=FT$12,$O66,"")</f>
        <v/>
      </c>
      <c r="FU66" s="88" t="str">
        <f aca="false">IF($B66=FU$12,$O66,"")</f>
        <v/>
      </c>
      <c r="FV66" s="88" t="str">
        <f aca="false">IF($B66=FV$12,$O66,"")</f>
        <v/>
      </c>
      <c r="FW66" s="88" t="str">
        <f aca="false">IF($B66=FW$12,$O66,"")</f>
        <v/>
      </c>
      <c r="FX66" s="88" t="str">
        <f aca="false">IF($B66=FX$12,$O66,"")</f>
        <v/>
      </c>
      <c r="FY66" s="88" t="str">
        <f aca="false">IF($B66=FY$12,$O66,"")</f>
        <v/>
      </c>
      <c r="FZ66" s="88" t="str">
        <f aca="false">IF($B66=FZ$12,$O66,"")</f>
        <v/>
      </c>
      <c r="GA66" s="88" t="str">
        <f aca="false">IF($B66=GA$12,$O66,"")</f>
        <v/>
      </c>
      <c r="GB66" s="88" t="str">
        <f aca="false">IF($B66=GB$12,$O66,"")</f>
        <v/>
      </c>
      <c r="GC66" s="88" t="str">
        <f aca="false">IF($B66=GC$12,$O66,"")</f>
        <v/>
      </c>
      <c r="GD66" s="88" t="str">
        <f aca="false">IF($B66=GD$12,$O66,"")</f>
        <v/>
      </c>
      <c r="GE66" s="88" t="str">
        <f aca="false">IF($B66=GE$12,$O66,"")</f>
        <v/>
      </c>
      <c r="GF66" s="88" t="str">
        <f aca="false">IF($B66=GF$12,$O66,"")</f>
        <v/>
      </c>
      <c r="GG66" s="88" t="str">
        <f aca="false">IF($B66=GG$12,$O66,"")</f>
        <v/>
      </c>
      <c r="GH66" s="88" t="str">
        <f aca="false">IF($B66=GH$12,$O66,"")</f>
        <v/>
      </c>
      <c r="GI66" s="88" t="str">
        <f aca="false">IF($B66=GI$12,$O66,"")</f>
        <v/>
      </c>
      <c r="GJ66" s="88" t="str">
        <f aca="false">IF($B66=GJ$12,$O66,"")</f>
        <v/>
      </c>
      <c r="GK66" s="88" t="str">
        <f aca="false">IF($B66=GK$12,$O66,"")</f>
        <v/>
      </c>
      <c r="GL66" s="88" t="str">
        <f aca="false">IF($B66=GL$12,$O66,"")</f>
        <v/>
      </c>
      <c r="GM66" s="88" t="str">
        <f aca="false">IF($B66=GM$12,$O66,"")</f>
        <v/>
      </c>
      <c r="GN66" s="88" t="str">
        <f aca="false">IF($B66=GN$12,$O66,"")</f>
        <v/>
      </c>
      <c r="GO66" s="88" t="str">
        <f aca="false">IF($B66=GO$12,$O66,"")</f>
        <v/>
      </c>
      <c r="GP66" s="88" t="str">
        <f aca="false">IF($B66=GP$12,$O66,"")</f>
        <v/>
      </c>
      <c r="GQ66" s="88" t="str">
        <f aca="false">IF($B66=GQ$12,$O66,"")</f>
        <v/>
      </c>
      <c r="GR66" s="88" t="str">
        <f aca="false">IF($B66=GR$12,$O66,"")</f>
        <v/>
      </c>
      <c r="GS66" s="88" t="str">
        <f aca="false">IF($B66=GS$12,$O66,"")</f>
        <v/>
      </c>
      <c r="GT66" s="88" t="str">
        <f aca="false">IF($B66=GT$12,$O66,"")</f>
        <v/>
      </c>
      <c r="GU66" s="88" t="str">
        <f aca="false">IF($B66=GU$12,$O66,"")</f>
        <v/>
      </c>
      <c r="GV66" s="88" t="str">
        <f aca="false">IF($B66=GV$12,$O66,"")</f>
        <v/>
      </c>
      <c r="GW66" s="88" t="str">
        <f aca="false">IF($B66=GW$12,$O66,"")</f>
        <v/>
      </c>
      <c r="GX66" s="88" t="str">
        <f aca="false">IF($B66=GX$12,$O66,"")</f>
        <v/>
      </c>
      <c r="GY66" s="88" t="str">
        <f aca="false">IF($B66=GY$12,$O66,"")</f>
        <v/>
      </c>
      <c r="GZ66" s="88" t="str">
        <f aca="false">IF($B66=GZ$12,$O66,"")</f>
        <v/>
      </c>
      <c r="HA66" s="88" t="str">
        <f aca="false">IF($B66=HA$12,$O66,"")</f>
        <v/>
      </c>
      <c r="HB66" s="88" t="str">
        <f aca="false">IF($B66=HB$12,$O66,"")</f>
        <v/>
      </c>
      <c r="HC66" s="88" t="str">
        <f aca="false">IF($B66=HC$12,$O66,"")</f>
        <v/>
      </c>
      <c r="HD66" s="88" t="str">
        <f aca="false">IF($B66=HD$12,$O66,"")</f>
        <v/>
      </c>
      <c r="HE66" s="88" t="str">
        <f aca="false">IF($B66=HE$12,$O66,"")</f>
        <v/>
      </c>
      <c r="HF66" s="88" t="str">
        <f aca="false">IF($B66=HF$12,$O66,"")</f>
        <v/>
      </c>
      <c r="HG66" s="88" t="str">
        <f aca="false">IF($B66=HG$12,$O66,"")</f>
        <v/>
      </c>
      <c r="HH66" s="88" t="str">
        <f aca="false">IF($B66=HH$12,$O66,"")</f>
        <v/>
      </c>
      <c r="HI66" s="88" t="str">
        <f aca="false">IF($B66=HI$12,$O66,"")</f>
        <v/>
      </c>
      <c r="HJ66" s="88" t="str">
        <f aca="false">IF($B66=HJ$12,$O66,"")</f>
        <v/>
      </c>
      <c r="HK66" s="88" t="str">
        <f aca="false">IF($B66=HK$12,$O66,"")</f>
        <v/>
      </c>
      <c r="HL66" s="88" t="str">
        <f aca="false">IF($B66=HL$12,$O66,"")</f>
        <v/>
      </c>
      <c r="HM66" s="88" t="str">
        <f aca="false">IF($B66=HM$12,$O66,"")</f>
        <v/>
      </c>
      <c r="HN66" s="88" t="str">
        <f aca="false">IF($B66=HN$12,$O66,"")</f>
        <v/>
      </c>
      <c r="HO66" s="88" t="str">
        <f aca="false">IF($B66=HO$12,$O66,"")</f>
        <v/>
      </c>
      <c r="HP66" s="88" t="str">
        <f aca="false">IF($B66=HP$12,$O66,"")</f>
        <v/>
      </c>
      <c r="HQ66" s="88" t="str">
        <f aca="false">IF($B66=HQ$12,$O66,"")</f>
        <v/>
      </c>
      <c r="HR66" s="89" t="str">
        <f aca="false">IF($B66=HR$12,$O66,"")</f>
        <v/>
      </c>
    </row>
    <row r="67" customFormat="false" ht="10.5" hidden="false" customHeight="true" outlineLevel="0" collapsed="false">
      <c r="A67" s="73"/>
      <c r="B67" s="74"/>
      <c r="C67" s="75" t="str">
        <f aca="false">IF(A67=0,"",VLOOKUP(A67,[3]CO!$A$3:$F$5311,2,0))</f>
        <v/>
      </c>
      <c r="D67" s="76"/>
      <c r="E67" s="76"/>
      <c r="F67" s="76"/>
      <c r="G67" s="77" t="str">
        <f aca="false">IF(A67=0,"",VLOOKUP(A67,[3]CO!$A$3:$F$5311,3,0))</f>
        <v/>
      </c>
      <c r="H67" s="76"/>
      <c r="I67" s="78"/>
      <c r="J67" s="78"/>
      <c r="K67" s="78"/>
      <c r="L67" s="78"/>
      <c r="M67" s="79" t="str">
        <f aca="false">IF(L67=0,"",PRODUCT(I67:L67))</f>
        <v/>
      </c>
      <c r="N67" s="79" t="str">
        <f aca="false">IF(B67=0,"",IF(H67="M",HLOOKUP(B67,$Y$12:$DT$13,2),IF(A67=0,"",VLOOKUP(A67,[3]CO!$A$3:$F$5311,4,0))))</f>
        <v/>
      </c>
      <c r="O67" s="79" t="str">
        <f aca="false">IF(L67=0,"",PRODUCT(M67:N67))</f>
        <v/>
      </c>
      <c r="P67" s="80"/>
      <c r="Q67" s="81" t="str">
        <f aca="false">IF(P67=0,"",(HLOOKUP(P67,$DW$12:$HR$13,2)))</f>
        <v/>
      </c>
      <c r="R67" s="82" t="str">
        <f aca="false">IF(S67=0,"",IF(OR(G67="PEON",G67="OF",G67="JARD",G67="CARP",G67="MAESTRO",G67="SOLD",G67="BGRO",G67="CHOFER",G67="AYTE",G67="S.INTTE.",G67="ASEO",G67="P.PISOS",G67="VELADOR",G67="RESID",G67="PINTOR",G67="ELECT",G67="AZULE",G67="AUX CONT.",G67="SECRETARIA",G67="AUXILIAR ADMTVO.",G67="ARQUITECTO",G67="DIBUJANTE",G67="AUX. DE RESIDENTE"),VLOOKUP(B67,P$14:Q$131,2),"")*S67)</f>
        <v/>
      </c>
      <c r="S67" s="5"/>
      <c r="T67" s="65" t="str">
        <f aca="false">IF(A67=0,"",VLOOKUP(A67,[3]CO!$A$3:$F$5302,5,0))</f>
        <v/>
      </c>
      <c r="U67" s="55" t="n">
        <f aca="false">IF(T67=1,O67*0.1,)</f>
        <v>0</v>
      </c>
      <c r="V67" s="66"/>
      <c r="W67" s="83"/>
      <c r="X67" s="83"/>
      <c r="Y67" s="84" t="str">
        <f aca="false">IF($B67=Y$12,$U67,"")</f>
        <v/>
      </c>
      <c r="Z67" s="85" t="str">
        <f aca="false">IF($B67=Z$12,$U67,"")</f>
        <v/>
      </c>
      <c r="AA67" s="85" t="str">
        <f aca="false">IF($B67=AA$12,$U67,"")</f>
        <v/>
      </c>
      <c r="AB67" s="85" t="str">
        <f aca="false">IF($B67=AB$12,$U67,"")</f>
        <v/>
      </c>
      <c r="AC67" s="85" t="str">
        <f aca="false">IF($B67=AC$12,$U67,"")</f>
        <v/>
      </c>
      <c r="AD67" s="85" t="str">
        <f aca="false">IF($B67=AD$12,$U67,"")</f>
        <v/>
      </c>
      <c r="AE67" s="85" t="str">
        <f aca="false">IF($B67=AE$12,$U67,"")</f>
        <v/>
      </c>
      <c r="AF67" s="85" t="str">
        <f aca="false">IF($B67=AF$12,$U67,"")</f>
        <v/>
      </c>
      <c r="AG67" s="85" t="str">
        <f aca="false">IF($B67=AG$12,$U67,"")</f>
        <v/>
      </c>
      <c r="AH67" s="85" t="str">
        <f aca="false">IF($B67=AH$12,$U67,"")</f>
        <v/>
      </c>
      <c r="AI67" s="85" t="str">
        <f aca="false">IF($B67=AI$12,$U67,"")</f>
        <v/>
      </c>
      <c r="AJ67" s="85" t="str">
        <f aca="false">IF($B67=AJ$12,$U67,"")</f>
        <v/>
      </c>
      <c r="AK67" s="85" t="str">
        <f aca="false">IF($B67=AK$12,$U67,"")</f>
        <v/>
      </c>
      <c r="AL67" s="85" t="str">
        <f aca="false">IF($B67=AL$12,$U67,"")</f>
        <v/>
      </c>
      <c r="AM67" s="85" t="str">
        <f aca="false">IF($B67=AM$12,$U67,"")</f>
        <v/>
      </c>
      <c r="AN67" s="85" t="str">
        <f aca="false">IF($B67=AN$12,$U67,"")</f>
        <v/>
      </c>
      <c r="AO67" s="85" t="str">
        <f aca="false">IF($B67=AO$12,$U67,"")</f>
        <v/>
      </c>
      <c r="AP67" s="85" t="str">
        <f aca="false">IF($B67=AP$12,$U67,"")</f>
        <v/>
      </c>
      <c r="AQ67" s="85" t="str">
        <f aca="false">IF($B67=AQ$12,$U67,"")</f>
        <v/>
      </c>
      <c r="AR67" s="85" t="str">
        <f aca="false">IF($B67=AR$12,$U67,"")</f>
        <v/>
      </c>
      <c r="AS67" s="85" t="str">
        <f aca="false">IF($B67=AS$12,$U67,"")</f>
        <v/>
      </c>
      <c r="AT67" s="85" t="str">
        <f aca="false">IF($B67=AT$12,$U67,"")</f>
        <v/>
      </c>
      <c r="AU67" s="85" t="str">
        <f aca="false">IF($B67=AU$12,$U67,"")</f>
        <v/>
      </c>
      <c r="AV67" s="85" t="str">
        <f aca="false">IF($B67=AV$12,$U67,"")</f>
        <v/>
      </c>
      <c r="AW67" s="85" t="str">
        <f aca="false">IF($B67=AW$12,$U67,"")</f>
        <v/>
      </c>
      <c r="AX67" s="85" t="str">
        <f aca="false">IF($B67=AX$12,$U67,"")</f>
        <v/>
      </c>
      <c r="AY67" s="85" t="str">
        <f aca="false">IF($B67=AY$12,$U67,"")</f>
        <v/>
      </c>
      <c r="AZ67" s="85" t="str">
        <f aca="false">IF($B67=AZ$12,$U67,"")</f>
        <v/>
      </c>
      <c r="BA67" s="85" t="str">
        <f aca="false">IF($B67=BA$12,$U67,"")</f>
        <v/>
      </c>
      <c r="BB67" s="85" t="str">
        <f aca="false">IF($B67=BB$12,$U67,"")</f>
        <v/>
      </c>
      <c r="BC67" s="85" t="str">
        <f aca="false">IF($B67=BC$12,$U67,"")</f>
        <v/>
      </c>
      <c r="BD67" s="85" t="str">
        <f aca="false">IF($B67=BD$12,$U67,"")</f>
        <v/>
      </c>
      <c r="BE67" s="85" t="str">
        <f aca="false">IF($B67=BE$12,$U67,"")</f>
        <v/>
      </c>
      <c r="BF67" s="85" t="str">
        <f aca="false">IF($B67=BF$12,$U67,"")</f>
        <v/>
      </c>
      <c r="BG67" s="85" t="str">
        <f aca="false">IF($B67=BG$12,$U67,"")</f>
        <v/>
      </c>
      <c r="BH67" s="85" t="str">
        <f aca="false">IF($B67=BH$12,$U67,"")</f>
        <v/>
      </c>
      <c r="BI67" s="85" t="str">
        <f aca="false">IF($B67=BI$12,$U67,"")</f>
        <v/>
      </c>
      <c r="BJ67" s="85" t="str">
        <f aca="false">IF($B67=BJ$12,$U67,"")</f>
        <v/>
      </c>
      <c r="BK67" s="85" t="str">
        <f aca="false">IF($B67=BK$12,$U67,"")</f>
        <v/>
      </c>
      <c r="BL67" s="85" t="str">
        <f aca="false">IF($B67=BL$12,$U67,"")</f>
        <v/>
      </c>
      <c r="BM67" s="85" t="str">
        <f aca="false">IF($B67=BM$12,$U67,"")</f>
        <v/>
      </c>
      <c r="BN67" s="85" t="str">
        <f aca="false">IF($B67=BN$12,$U67,"")</f>
        <v/>
      </c>
      <c r="BO67" s="85" t="str">
        <f aca="false">IF($B67=BO$12,$U67,"")</f>
        <v/>
      </c>
      <c r="BP67" s="85" t="str">
        <f aca="false">IF($B67=BP$12,$U67,"")</f>
        <v/>
      </c>
      <c r="BQ67" s="85" t="str">
        <f aca="false">IF($B67=BQ$12,$U67,"")</f>
        <v/>
      </c>
      <c r="BR67" s="85" t="str">
        <f aca="false">IF($B67=BR$12,$U67,"")</f>
        <v/>
      </c>
      <c r="BS67" s="85" t="str">
        <f aca="false">IF($B67=BS$12,$U67,"")</f>
        <v/>
      </c>
      <c r="BT67" s="85" t="str">
        <f aca="false">IF($B67=BT$12,$U67,"")</f>
        <v/>
      </c>
      <c r="BU67" s="85" t="str">
        <f aca="false">IF($B67=BU$12,$U67,"")</f>
        <v/>
      </c>
      <c r="BV67" s="85" t="str">
        <f aca="false">IF($B67=BV$12,$U67,"")</f>
        <v/>
      </c>
      <c r="BW67" s="85" t="str">
        <f aca="false">IF($B67=BW$12,$U67,"")</f>
        <v/>
      </c>
      <c r="BX67" s="85" t="str">
        <f aca="false">IF($B67=BX$12,$U67,"")</f>
        <v/>
      </c>
      <c r="BY67" s="85" t="str">
        <f aca="false">IF($B67=BY$12,$U67,"")</f>
        <v/>
      </c>
      <c r="BZ67" s="85" t="str">
        <f aca="false">IF($B67=BZ$12,$U67,"")</f>
        <v/>
      </c>
      <c r="CA67" s="85" t="str">
        <f aca="false">IF($B67=CA$12,$U67,"")</f>
        <v/>
      </c>
      <c r="CB67" s="85" t="str">
        <f aca="false">IF($B67=CB$12,$U67,"")</f>
        <v/>
      </c>
      <c r="CC67" s="85" t="str">
        <f aca="false">IF($B67=CC$12,$U67,"")</f>
        <v/>
      </c>
      <c r="CD67" s="85" t="str">
        <f aca="false">IF($B67=CD$12,$U67,"")</f>
        <v/>
      </c>
      <c r="CE67" s="85" t="str">
        <f aca="false">IF($B67=CE$12,$U67,"")</f>
        <v/>
      </c>
      <c r="CF67" s="85" t="str">
        <f aca="false">IF($B67=CF$12,$U67,"")</f>
        <v/>
      </c>
      <c r="CG67" s="85" t="str">
        <f aca="false">IF($B67=CG$12,$U67,"")</f>
        <v/>
      </c>
      <c r="CH67" s="85" t="str">
        <f aca="false">IF($B67=CH$12,$U67,"")</f>
        <v/>
      </c>
      <c r="CI67" s="85" t="str">
        <f aca="false">IF($B67=CI$12,$U67,"")</f>
        <v/>
      </c>
      <c r="CJ67" s="85" t="str">
        <f aca="false">IF($B67=CJ$12,$U67,"")</f>
        <v/>
      </c>
      <c r="CK67" s="85" t="str">
        <f aca="false">IF($B67=CK$12,$U67,"")</f>
        <v/>
      </c>
      <c r="CL67" s="85" t="str">
        <f aca="false">IF($B67=CL$12,$U67,"")</f>
        <v/>
      </c>
      <c r="CM67" s="85" t="str">
        <f aca="false">IF($B67=CM$12,$U67,"")</f>
        <v/>
      </c>
      <c r="CN67" s="85" t="str">
        <f aca="false">IF($B67=CN$12,$U67,"")</f>
        <v/>
      </c>
      <c r="CO67" s="85" t="str">
        <f aca="false">IF($B67=CO$12,$U67,"")</f>
        <v/>
      </c>
      <c r="CP67" s="85" t="str">
        <f aca="false">IF($B67=CP$12,$U67,"")</f>
        <v/>
      </c>
      <c r="CQ67" s="85" t="str">
        <f aca="false">IF($B67=CQ$12,$U67,"")</f>
        <v/>
      </c>
      <c r="CR67" s="85" t="str">
        <f aca="false">IF($B67=CR$12,$U67,"")</f>
        <v/>
      </c>
      <c r="CS67" s="85" t="str">
        <f aca="false">IF($B67=CS$12,$U67,"")</f>
        <v/>
      </c>
      <c r="CT67" s="85" t="str">
        <f aca="false">IF($B67=CT$12,$U67,"")</f>
        <v/>
      </c>
      <c r="CU67" s="85" t="str">
        <f aca="false">IF($B67=CU$12,$U67,"")</f>
        <v/>
      </c>
      <c r="CV67" s="85" t="str">
        <f aca="false">IF($B67=CV$12,$U67,"")</f>
        <v/>
      </c>
      <c r="CW67" s="85" t="str">
        <f aca="false">IF($B67=CW$12,$U67,"")</f>
        <v/>
      </c>
      <c r="CX67" s="85" t="str">
        <f aca="false">IF($B67=CX$12,$U67,"")</f>
        <v/>
      </c>
      <c r="CY67" s="85" t="str">
        <f aca="false">IF($B67=CY$12,$U67,"")</f>
        <v/>
      </c>
      <c r="CZ67" s="85" t="str">
        <f aca="false">IF($B67=CZ$12,$U67,"")</f>
        <v/>
      </c>
      <c r="DA67" s="85" t="str">
        <f aca="false">IF($B67=DA$12,$U67,"")</f>
        <v/>
      </c>
      <c r="DB67" s="85" t="str">
        <f aca="false">IF($B67=DB$12,$U67,"")</f>
        <v/>
      </c>
      <c r="DC67" s="85" t="str">
        <f aca="false">IF($B67=DC$12,$U67,"")</f>
        <v/>
      </c>
      <c r="DD67" s="85" t="str">
        <f aca="false">IF($B67=DD$12,$U67,"")</f>
        <v/>
      </c>
      <c r="DE67" s="85" t="str">
        <f aca="false">IF($B67=DE$12,$U67,"")</f>
        <v/>
      </c>
      <c r="DF67" s="85" t="str">
        <f aca="false">IF($B67=DF$12,$U67,"")</f>
        <v/>
      </c>
      <c r="DG67" s="85" t="str">
        <f aca="false">IF($B67=DG$12,$U67,"")</f>
        <v/>
      </c>
      <c r="DH67" s="85" t="str">
        <f aca="false">IF($B67=DH$12,$U67,"")</f>
        <v/>
      </c>
      <c r="DI67" s="85" t="str">
        <f aca="false">IF($B67=DI$12,$U67,"")</f>
        <v/>
      </c>
      <c r="DJ67" s="85" t="str">
        <f aca="false">IF($B67=DJ$12,$U67,"")</f>
        <v/>
      </c>
      <c r="DK67" s="85" t="str">
        <f aca="false">IF($B67=DK$12,$U67,"")</f>
        <v/>
      </c>
      <c r="DL67" s="85" t="str">
        <f aca="false">IF($B67=DL$12,$U67,"")</f>
        <v/>
      </c>
      <c r="DM67" s="85" t="str">
        <f aca="false">IF($B67=DM$12,$U67,"")</f>
        <v/>
      </c>
      <c r="DN67" s="85" t="str">
        <f aca="false">IF($B67=DN$12,$U67,"")</f>
        <v/>
      </c>
      <c r="DO67" s="85" t="str">
        <f aca="false">IF($B67=DO$12,$U67,"")</f>
        <v/>
      </c>
      <c r="DP67" s="85" t="str">
        <f aca="false">IF($B67=DP$12,$U67,"")</f>
        <v/>
      </c>
      <c r="DQ67" s="85" t="str">
        <f aca="false">IF($B67=DQ$12,$U67,"")</f>
        <v/>
      </c>
      <c r="DR67" s="85" t="str">
        <f aca="false">IF($B67=DR$12,$U67,"")</f>
        <v/>
      </c>
      <c r="DS67" s="85" t="str">
        <f aca="false">IF($B67=DS$12,$U67,"")</f>
        <v/>
      </c>
      <c r="DT67" s="86" t="str">
        <f aca="false">IF($B67=DT$12,$U67,"")</f>
        <v/>
      </c>
      <c r="DU67" s="55"/>
      <c r="DV67" s="83"/>
      <c r="DW67" s="87" t="str">
        <f aca="false">IF($B67=DW$12,$O67,"")</f>
        <v/>
      </c>
      <c r="DX67" s="88" t="str">
        <f aca="false">IF($B67=DX$12,$O67,"")</f>
        <v/>
      </c>
      <c r="DY67" s="88" t="str">
        <f aca="false">IF($B67=DY$12,$O67,"")</f>
        <v/>
      </c>
      <c r="DZ67" s="88" t="str">
        <f aca="false">IF($B67=DZ$12,$O67,"")</f>
        <v/>
      </c>
      <c r="EA67" s="88" t="str">
        <f aca="false">IF($B67=EA$12,$O67,"")</f>
        <v/>
      </c>
      <c r="EB67" s="88" t="str">
        <f aca="false">IF($B67=EB$12,$O67,"")</f>
        <v/>
      </c>
      <c r="EC67" s="88" t="str">
        <f aca="false">IF($B67=EC$12,$O67,"")</f>
        <v/>
      </c>
      <c r="ED67" s="88" t="str">
        <f aca="false">IF($B67=ED$12,$O67,"")</f>
        <v/>
      </c>
      <c r="EE67" s="88" t="str">
        <f aca="false">IF($B67=EE$12,$O67,"")</f>
        <v/>
      </c>
      <c r="EF67" s="88" t="str">
        <f aca="false">IF($B67=EF$12,$O67,"")</f>
        <v/>
      </c>
      <c r="EG67" s="88" t="str">
        <f aca="false">IF($B67=EG$12,$O67,"")</f>
        <v/>
      </c>
      <c r="EH67" s="88" t="str">
        <f aca="false">IF($B67=EH$12,$O67,"")</f>
        <v/>
      </c>
      <c r="EI67" s="88" t="str">
        <f aca="false">IF($B67=EI$12,$O67,"")</f>
        <v/>
      </c>
      <c r="EJ67" s="88" t="str">
        <f aca="false">IF($B67=EJ$12,$O67,"")</f>
        <v/>
      </c>
      <c r="EK67" s="88" t="str">
        <f aca="false">IF($B67=EK$12,$O67,"")</f>
        <v/>
      </c>
      <c r="EL67" s="88" t="str">
        <f aca="false">IF($B67=EL$12,$O67,"")</f>
        <v/>
      </c>
      <c r="EM67" s="88" t="str">
        <f aca="false">IF($B67=EM$12,$O67,"")</f>
        <v/>
      </c>
      <c r="EN67" s="88" t="str">
        <f aca="false">IF($B67=EN$12,$O67,"")</f>
        <v/>
      </c>
      <c r="EO67" s="88" t="str">
        <f aca="false">IF($B67=EO$12,$O67,"")</f>
        <v/>
      </c>
      <c r="EP67" s="88" t="str">
        <f aca="false">IF($B67=EP$12,$O67,"")</f>
        <v/>
      </c>
      <c r="EQ67" s="88" t="str">
        <f aca="false">IF($B67=EQ$12,$O67,"")</f>
        <v/>
      </c>
      <c r="ER67" s="88" t="str">
        <f aca="false">IF($B67=ER$12,$O67,"")</f>
        <v/>
      </c>
      <c r="ES67" s="88" t="str">
        <f aca="false">IF($B67=ES$12,$O67,"")</f>
        <v/>
      </c>
      <c r="ET67" s="88" t="str">
        <f aca="false">IF($B67=ET$12,$O67,"")</f>
        <v/>
      </c>
      <c r="EU67" s="88" t="str">
        <f aca="false">IF($B67=EU$12,$O67,"")</f>
        <v/>
      </c>
      <c r="EV67" s="88" t="str">
        <f aca="false">IF($B67=EV$12,$O67,"")</f>
        <v/>
      </c>
      <c r="EW67" s="88" t="str">
        <f aca="false">IF($B67=EW$12,$O67,"")</f>
        <v/>
      </c>
      <c r="EX67" s="88" t="str">
        <f aca="false">IF($B67=EX$12,$O67,"")</f>
        <v/>
      </c>
      <c r="EY67" s="88" t="str">
        <f aca="false">IF($B67=EY$12,$O67,"")</f>
        <v/>
      </c>
      <c r="EZ67" s="88" t="str">
        <f aca="false">IF($B67=EZ$12,$O67,"")</f>
        <v/>
      </c>
      <c r="FA67" s="88" t="str">
        <f aca="false">IF($B67=FA$12,$O67,"")</f>
        <v/>
      </c>
      <c r="FB67" s="88" t="str">
        <f aca="false">IF($B67=FB$12,$O67,"")</f>
        <v/>
      </c>
      <c r="FC67" s="88" t="str">
        <f aca="false">IF($B67=FC$12,$O67,"")</f>
        <v/>
      </c>
      <c r="FD67" s="88" t="str">
        <f aca="false">IF($B67=FD$12,$O67,"")</f>
        <v/>
      </c>
      <c r="FE67" s="88" t="str">
        <f aca="false">IF($B67=FE$12,$O67,"")</f>
        <v/>
      </c>
      <c r="FF67" s="88" t="str">
        <f aca="false">IF($B67=FF$12,$O67,"")</f>
        <v/>
      </c>
      <c r="FG67" s="88" t="str">
        <f aca="false">IF($B67=FG$12,$O67,"")</f>
        <v/>
      </c>
      <c r="FH67" s="88" t="str">
        <f aca="false">IF($B67=FH$12,$O67,"")</f>
        <v/>
      </c>
      <c r="FI67" s="88" t="str">
        <f aca="false">IF($B67=FI$12,$O67,"")</f>
        <v/>
      </c>
      <c r="FJ67" s="88" t="str">
        <f aca="false">IF($B67=FJ$12,$O67,"")</f>
        <v/>
      </c>
      <c r="FK67" s="88" t="str">
        <f aca="false">IF($B67=FK$12,$O67,"")</f>
        <v/>
      </c>
      <c r="FL67" s="88" t="str">
        <f aca="false">IF($B67=FL$12,$O67,"")</f>
        <v/>
      </c>
      <c r="FM67" s="88" t="str">
        <f aca="false">IF($B67=FM$12,$O67,"")</f>
        <v/>
      </c>
      <c r="FN67" s="88" t="str">
        <f aca="false">IF($B67=FN$12,$O67,"")</f>
        <v/>
      </c>
      <c r="FO67" s="88" t="str">
        <f aca="false">IF($B67=FO$12,$O67,"")</f>
        <v/>
      </c>
      <c r="FP67" s="88" t="str">
        <f aca="false">IF($B67=FP$12,$O67,"")</f>
        <v/>
      </c>
      <c r="FQ67" s="88" t="str">
        <f aca="false">IF($B67=FQ$12,$O67,"")</f>
        <v/>
      </c>
      <c r="FR67" s="88" t="str">
        <f aca="false">IF($B67=FR$12,$O67,"")</f>
        <v/>
      </c>
      <c r="FS67" s="88" t="str">
        <f aca="false">IF($B67=FS$12,$O67,"")</f>
        <v/>
      </c>
      <c r="FT67" s="88" t="str">
        <f aca="false">IF($B67=FT$12,$O67,"")</f>
        <v/>
      </c>
      <c r="FU67" s="88" t="str">
        <f aca="false">IF($B67=FU$12,$O67,"")</f>
        <v/>
      </c>
      <c r="FV67" s="88" t="str">
        <f aca="false">IF($B67=FV$12,$O67,"")</f>
        <v/>
      </c>
      <c r="FW67" s="88" t="str">
        <f aca="false">IF($B67=FW$12,$O67,"")</f>
        <v/>
      </c>
      <c r="FX67" s="88" t="str">
        <f aca="false">IF($B67=FX$12,$O67,"")</f>
        <v/>
      </c>
      <c r="FY67" s="88" t="str">
        <f aca="false">IF($B67=FY$12,$O67,"")</f>
        <v/>
      </c>
      <c r="FZ67" s="88" t="str">
        <f aca="false">IF($B67=FZ$12,$O67,"")</f>
        <v/>
      </c>
      <c r="GA67" s="88" t="str">
        <f aca="false">IF($B67=GA$12,$O67,"")</f>
        <v/>
      </c>
      <c r="GB67" s="88" t="str">
        <f aca="false">IF($B67=GB$12,$O67,"")</f>
        <v/>
      </c>
      <c r="GC67" s="88" t="str">
        <f aca="false">IF($B67=GC$12,$O67,"")</f>
        <v/>
      </c>
      <c r="GD67" s="88" t="str">
        <f aca="false">IF($B67=GD$12,$O67,"")</f>
        <v/>
      </c>
      <c r="GE67" s="88" t="str">
        <f aca="false">IF($B67=GE$12,$O67,"")</f>
        <v/>
      </c>
      <c r="GF67" s="88" t="str">
        <f aca="false">IF($B67=GF$12,$O67,"")</f>
        <v/>
      </c>
      <c r="GG67" s="88" t="str">
        <f aca="false">IF($B67=GG$12,$O67,"")</f>
        <v/>
      </c>
      <c r="GH67" s="88" t="str">
        <f aca="false">IF($B67=GH$12,$O67,"")</f>
        <v/>
      </c>
      <c r="GI67" s="88" t="str">
        <f aca="false">IF($B67=GI$12,$O67,"")</f>
        <v/>
      </c>
      <c r="GJ67" s="88" t="str">
        <f aca="false">IF($B67=GJ$12,$O67,"")</f>
        <v/>
      </c>
      <c r="GK67" s="88" t="str">
        <f aca="false">IF($B67=GK$12,$O67,"")</f>
        <v/>
      </c>
      <c r="GL67" s="88" t="str">
        <f aca="false">IF($B67=GL$12,$O67,"")</f>
        <v/>
      </c>
      <c r="GM67" s="88" t="str">
        <f aca="false">IF($B67=GM$12,$O67,"")</f>
        <v/>
      </c>
      <c r="GN67" s="88" t="str">
        <f aca="false">IF($B67=GN$12,$O67,"")</f>
        <v/>
      </c>
      <c r="GO67" s="88" t="str">
        <f aca="false">IF($B67=GO$12,$O67,"")</f>
        <v/>
      </c>
      <c r="GP67" s="88" t="str">
        <f aca="false">IF($B67=GP$12,$O67,"")</f>
        <v/>
      </c>
      <c r="GQ67" s="88" t="str">
        <f aca="false">IF($B67=GQ$12,$O67,"")</f>
        <v/>
      </c>
      <c r="GR67" s="88" t="str">
        <f aca="false">IF($B67=GR$12,$O67,"")</f>
        <v/>
      </c>
      <c r="GS67" s="88" t="str">
        <f aca="false">IF($B67=GS$12,$O67,"")</f>
        <v/>
      </c>
      <c r="GT67" s="88" t="str">
        <f aca="false">IF($B67=GT$12,$O67,"")</f>
        <v/>
      </c>
      <c r="GU67" s="88" t="str">
        <f aca="false">IF($B67=GU$12,$O67,"")</f>
        <v/>
      </c>
      <c r="GV67" s="88" t="str">
        <f aca="false">IF($B67=GV$12,$O67,"")</f>
        <v/>
      </c>
      <c r="GW67" s="88" t="str">
        <f aca="false">IF($B67=GW$12,$O67,"")</f>
        <v/>
      </c>
      <c r="GX67" s="88" t="str">
        <f aca="false">IF($B67=GX$12,$O67,"")</f>
        <v/>
      </c>
      <c r="GY67" s="88" t="str">
        <f aca="false">IF($B67=GY$12,$O67,"")</f>
        <v/>
      </c>
      <c r="GZ67" s="88" t="str">
        <f aca="false">IF($B67=GZ$12,$O67,"")</f>
        <v/>
      </c>
      <c r="HA67" s="88" t="str">
        <f aca="false">IF($B67=HA$12,$O67,"")</f>
        <v/>
      </c>
      <c r="HB67" s="88" t="str">
        <f aca="false">IF($B67=HB$12,$O67,"")</f>
        <v/>
      </c>
      <c r="HC67" s="88" t="str">
        <f aca="false">IF($B67=HC$12,$O67,"")</f>
        <v/>
      </c>
      <c r="HD67" s="88" t="str">
        <f aca="false">IF($B67=HD$12,$O67,"")</f>
        <v/>
      </c>
      <c r="HE67" s="88" t="str">
        <f aca="false">IF($B67=HE$12,$O67,"")</f>
        <v/>
      </c>
      <c r="HF67" s="88" t="str">
        <f aca="false">IF($B67=HF$12,$O67,"")</f>
        <v/>
      </c>
      <c r="HG67" s="88" t="str">
        <f aca="false">IF($B67=HG$12,$O67,"")</f>
        <v/>
      </c>
      <c r="HH67" s="88" t="str">
        <f aca="false">IF($B67=HH$12,$O67,"")</f>
        <v/>
      </c>
      <c r="HI67" s="88" t="str">
        <f aca="false">IF($B67=HI$12,$O67,"")</f>
        <v/>
      </c>
      <c r="HJ67" s="88" t="str">
        <f aca="false">IF($B67=HJ$12,$O67,"")</f>
        <v/>
      </c>
      <c r="HK67" s="88" t="str">
        <f aca="false">IF($B67=HK$12,$O67,"")</f>
        <v/>
      </c>
      <c r="HL67" s="88" t="str">
        <f aca="false">IF($B67=HL$12,$O67,"")</f>
        <v/>
      </c>
      <c r="HM67" s="88" t="str">
        <f aca="false">IF($B67=HM$12,$O67,"")</f>
        <v/>
      </c>
      <c r="HN67" s="88" t="str">
        <f aca="false">IF($B67=HN$12,$O67,"")</f>
        <v/>
      </c>
      <c r="HO67" s="88" t="str">
        <f aca="false">IF($B67=HO$12,$O67,"")</f>
        <v/>
      </c>
      <c r="HP67" s="88" t="str">
        <f aca="false">IF($B67=HP$12,$O67,"")</f>
        <v/>
      </c>
      <c r="HQ67" s="88" t="str">
        <f aca="false">IF($B67=HQ$12,$O67,"")</f>
        <v/>
      </c>
      <c r="HR67" s="89" t="str">
        <f aca="false">IF($B67=HR$12,$O67,"")</f>
        <v/>
      </c>
    </row>
    <row r="68" customFormat="false" ht="10.5" hidden="false" customHeight="true" outlineLevel="0" collapsed="false">
      <c r="A68" s="73"/>
      <c r="B68" s="74"/>
      <c r="C68" s="75" t="str">
        <f aca="false">IF(A68=0,"",VLOOKUP(A68,[3]CO!$A$3:$F$5311,2,0))</f>
        <v/>
      </c>
      <c r="D68" s="76"/>
      <c r="E68" s="76"/>
      <c r="F68" s="76"/>
      <c r="G68" s="77" t="str">
        <f aca="false">IF(A68=0,"",VLOOKUP(A68,[3]CO!$A$3:$F$5311,3,0))</f>
        <v/>
      </c>
      <c r="H68" s="76"/>
      <c r="I68" s="78"/>
      <c r="J68" s="78"/>
      <c r="K68" s="78"/>
      <c r="L68" s="78"/>
      <c r="M68" s="79" t="str">
        <f aca="false">IF(L68=0,"",PRODUCT(I68:L68))</f>
        <v/>
      </c>
      <c r="N68" s="79" t="str">
        <f aca="false">IF(B68=0,"",IF(H68="M",HLOOKUP(B68,$Y$12:$DT$13,2),IF(A68=0,"",VLOOKUP(A68,[3]CO!$A$3:$F$5311,4,0))))</f>
        <v/>
      </c>
      <c r="O68" s="79" t="str">
        <f aca="false">IF(L68=0,"",PRODUCT(M68:N68))</f>
        <v/>
      </c>
      <c r="P68" s="80"/>
      <c r="Q68" s="81" t="str">
        <f aca="false">IF(P68=0,"",(HLOOKUP(P68,$DW$12:$HR$13,2)))</f>
        <v/>
      </c>
      <c r="R68" s="82" t="str">
        <f aca="false">IF(S68=0,"",IF(OR(G68="PEON",G68="OF",G68="JARD",G68="CARP",G68="MAESTRO",G68="SOLD",G68="BGRO",G68="CHOFER",G68="AYTE",G68="S.INTTE.",G68="ASEO",G68="P.PISOS",G68="VELADOR",G68="RESID",G68="PINTOR",G68="ELECT",G68="AZULE",G68="AUX CONT.",G68="SECRETARIA",G68="AUXILIAR ADMTVO.",G68="ARQUITECTO",G68="DIBUJANTE",G68="AUX. DE RESIDENTE"),VLOOKUP(B68,P$14:Q$131,2),"")*S68)</f>
        <v/>
      </c>
      <c r="S68" s="5"/>
      <c r="T68" s="65" t="str">
        <f aca="false">IF(A68=0,"",VLOOKUP(A68,[3]CO!$A$3:$F$5302,5,0))</f>
        <v/>
      </c>
      <c r="U68" s="55" t="n">
        <f aca="false">IF(T68=1,O68*0.1,)</f>
        <v>0</v>
      </c>
      <c r="V68" s="66"/>
      <c r="W68" s="83"/>
      <c r="X68" s="83"/>
      <c r="Y68" s="84" t="str">
        <f aca="false">IF($B68=Y$12,$U68,"")</f>
        <v/>
      </c>
      <c r="Z68" s="85" t="str">
        <f aca="false">IF($B68=Z$12,$U68,"")</f>
        <v/>
      </c>
      <c r="AA68" s="85" t="str">
        <f aca="false">IF($B68=AA$12,$U68,"")</f>
        <v/>
      </c>
      <c r="AB68" s="85" t="str">
        <f aca="false">IF($B68=AB$12,$U68,"")</f>
        <v/>
      </c>
      <c r="AC68" s="85" t="str">
        <f aca="false">IF($B68=AC$12,$U68,"")</f>
        <v/>
      </c>
      <c r="AD68" s="85" t="str">
        <f aca="false">IF($B68=AD$12,$U68,"")</f>
        <v/>
      </c>
      <c r="AE68" s="85" t="str">
        <f aca="false">IF($B68=AE$12,$U68,"")</f>
        <v/>
      </c>
      <c r="AF68" s="85" t="str">
        <f aca="false">IF($B68=AF$12,$U68,"")</f>
        <v/>
      </c>
      <c r="AG68" s="85" t="str">
        <f aca="false">IF($B68=AG$12,$U68,"")</f>
        <v/>
      </c>
      <c r="AH68" s="85" t="str">
        <f aca="false">IF($B68=AH$12,$U68,"")</f>
        <v/>
      </c>
      <c r="AI68" s="85" t="str">
        <f aca="false">IF($B68=AI$12,$U68,"")</f>
        <v/>
      </c>
      <c r="AJ68" s="85" t="str">
        <f aca="false">IF($B68=AJ$12,$U68,"")</f>
        <v/>
      </c>
      <c r="AK68" s="85" t="str">
        <f aca="false">IF($B68=AK$12,$U68,"")</f>
        <v/>
      </c>
      <c r="AL68" s="85" t="str">
        <f aca="false">IF($B68=AL$12,$U68,"")</f>
        <v/>
      </c>
      <c r="AM68" s="85" t="str">
        <f aca="false">IF($B68=AM$12,$U68,"")</f>
        <v/>
      </c>
      <c r="AN68" s="85" t="str">
        <f aca="false">IF($B68=AN$12,$U68,"")</f>
        <v/>
      </c>
      <c r="AO68" s="85" t="str">
        <f aca="false">IF($B68=AO$12,$U68,"")</f>
        <v/>
      </c>
      <c r="AP68" s="85" t="str">
        <f aca="false">IF($B68=AP$12,$U68,"")</f>
        <v/>
      </c>
      <c r="AQ68" s="85" t="str">
        <f aca="false">IF($B68=AQ$12,$U68,"")</f>
        <v/>
      </c>
      <c r="AR68" s="85" t="str">
        <f aca="false">IF($B68=AR$12,$U68,"")</f>
        <v/>
      </c>
      <c r="AS68" s="85" t="str">
        <f aca="false">IF($B68=AS$12,$U68,"")</f>
        <v/>
      </c>
      <c r="AT68" s="85" t="str">
        <f aca="false">IF($B68=AT$12,$U68,"")</f>
        <v/>
      </c>
      <c r="AU68" s="85" t="str">
        <f aca="false">IF($B68=AU$12,$U68,"")</f>
        <v/>
      </c>
      <c r="AV68" s="85" t="str">
        <f aca="false">IF($B68=AV$12,$U68,"")</f>
        <v/>
      </c>
      <c r="AW68" s="85" t="str">
        <f aca="false">IF($B68=AW$12,$U68,"")</f>
        <v/>
      </c>
      <c r="AX68" s="85" t="str">
        <f aca="false">IF($B68=AX$12,$U68,"")</f>
        <v/>
      </c>
      <c r="AY68" s="85" t="str">
        <f aca="false">IF($B68=AY$12,$U68,"")</f>
        <v/>
      </c>
      <c r="AZ68" s="85" t="str">
        <f aca="false">IF($B68=AZ$12,$U68,"")</f>
        <v/>
      </c>
      <c r="BA68" s="85" t="str">
        <f aca="false">IF($B68=BA$12,$U68,"")</f>
        <v/>
      </c>
      <c r="BB68" s="85" t="str">
        <f aca="false">IF($B68=BB$12,$U68,"")</f>
        <v/>
      </c>
      <c r="BC68" s="85" t="str">
        <f aca="false">IF($B68=BC$12,$U68,"")</f>
        <v/>
      </c>
      <c r="BD68" s="85" t="str">
        <f aca="false">IF($B68=BD$12,$U68,"")</f>
        <v/>
      </c>
      <c r="BE68" s="85" t="str">
        <f aca="false">IF($B68=BE$12,$U68,"")</f>
        <v/>
      </c>
      <c r="BF68" s="85" t="str">
        <f aca="false">IF($B68=BF$12,$U68,"")</f>
        <v/>
      </c>
      <c r="BG68" s="85" t="str">
        <f aca="false">IF($B68=BG$12,$U68,"")</f>
        <v/>
      </c>
      <c r="BH68" s="85" t="str">
        <f aca="false">IF($B68=BH$12,$U68,"")</f>
        <v/>
      </c>
      <c r="BI68" s="85" t="str">
        <f aca="false">IF($B68=BI$12,$U68,"")</f>
        <v/>
      </c>
      <c r="BJ68" s="85" t="str">
        <f aca="false">IF($B68=BJ$12,$U68,"")</f>
        <v/>
      </c>
      <c r="BK68" s="85" t="str">
        <f aca="false">IF($B68=BK$12,$U68,"")</f>
        <v/>
      </c>
      <c r="BL68" s="85" t="str">
        <f aca="false">IF($B68=BL$12,$U68,"")</f>
        <v/>
      </c>
      <c r="BM68" s="85" t="str">
        <f aca="false">IF($B68=BM$12,$U68,"")</f>
        <v/>
      </c>
      <c r="BN68" s="85" t="str">
        <f aca="false">IF($B68=BN$12,$U68,"")</f>
        <v/>
      </c>
      <c r="BO68" s="85" t="str">
        <f aca="false">IF($B68=BO$12,$U68,"")</f>
        <v/>
      </c>
      <c r="BP68" s="85" t="str">
        <f aca="false">IF($B68=BP$12,$U68,"")</f>
        <v/>
      </c>
      <c r="BQ68" s="85" t="str">
        <f aca="false">IF($B68=BQ$12,$U68,"")</f>
        <v/>
      </c>
      <c r="BR68" s="85" t="str">
        <f aca="false">IF($B68=BR$12,$U68,"")</f>
        <v/>
      </c>
      <c r="BS68" s="85" t="str">
        <f aca="false">IF($B68=BS$12,$U68,"")</f>
        <v/>
      </c>
      <c r="BT68" s="85" t="str">
        <f aca="false">IF($B68=BT$12,$U68,"")</f>
        <v/>
      </c>
      <c r="BU68" s="85" t="str">
        <f aca="false">IF($B68=BU$12,$U68,"")</f>
        <v/>
      </c>
      <c r="BV68" s="85" t="str">
        <f aca="false">IF($B68=BV$12,$U68,"")</f>
        <v/>
      </c>
      <c r="BW68" s="85" t="str">
        <f aca="false">IF($B68=BW$12,$U68,"")</f>
        <v/>
      </c>
      <c r="BX68" s="85" t="str">
        <f aca="false">IF($B68=BX$12,$U68,"")</f>
        <v/>
      </c>
      <c r="BY68" s="85" t="str">
        <f aca="false">IF($B68=BY$12,$U68,"")</f>
        <v/>
      </c>
      <c r="BZ68" s="85" t="str">
        <f aca="false">IF($B68=BZ$12,$U68,"")</f>
        <v/>
      </c>
      <c r="CA68" s="85" t="str">
        <f aca="false">IF($B68=CA$12,$U68,"")</f>
        <v/>
      </c>
      <c r="CB68" s="85" t="str">
        <f aca="false">IF($B68=CB$12,$U68,"")</f>
        <v/>
      </c>
      <c r="CC68" s="85" t="str">
        <f aca="false">IF($B68=CC$12,$U68,"")</f>
        <v/>
      </c>
      <c r="CD68" s="85" t="str">
        <f aca="false">IF($B68=CD$12,$U68,"")</f>
        <v/>
      </c>
      <c r="CE68" s="85" t="str">
        <f aca="false">IF($B68=CE$12,$U68,"")</f>
        <v/>
      </c>
      <c r="CF68" s="85" t="str">
        <f aca="false">IF($B68=CF$12,$U68,"")</f>
        <v/>
      </c>
      <c r="CG68" s="85" t="str">
        <f aca="false">IF($B68=CG$12,$U68,"")</f>
        <v/>
      </c>
      <c r="CH68" s="85" t="str">
        <f aca="false">IF($B68=CH$12,$U68,"")</f>
        <v/>
      </c>
      <c r="CI68" s="85" t="str">
        <f aca="false">IF($B68=CI$12,$U68,"")</f>
        <v/>
      </c>
      <c r="CJ68" s="85" t="str">
        <f aca="false">IF($B68=CJ$12,$U68,"")</f>
        <v/>
      </c>
      <c r="CK68" s="85" t="str">
        <f aca="false">IF($B68=CK$12,$U68,"")</f>
        <v/>
      </c>
      <c r="CL68" s="85" t="str">
        <f aca="false">IF($B68=CL$12,$U68,"")</f>
        <v/>
      </c>
      <c r="CM68" s="85" t="str">
        <f aca="false">IF($B68=CM$12,$U68,"")</f>
        <v/>
      </c>
      <c r="CN68" s="85" t="str">
        <f aca="false">IF($B68=CN$12,$U68,"")</f>
        <v/>
      </c>
      <c r="CO68" s="85" t="str">
        <f aca="false">IF($B68=CO$12,$U68,"")</f>
        <v/>
      </c>
      <c r="CP68" s="85" t="str">
        <f aca="false">IF($B68=CP$12,$U68,"")</f>
        <v/>
      </c>
      <c r="CQ68" s="85" t="str">
        <f aca="false">IF($B68=CQ$12,$U68,"")</f>
        <v/>
      </c>
      <c r="CR68" s="85" t="str">
        <f aca="false">IF($B68=CR$12,$U68,"")</f>
        <v/>
      </c>
      <c r="CS68" s="85" t="str">
        <f aca="false">IF($B68=CS$12,$U68,"")</f>
        <v/>
      </c>
      <c r="CT68" s="85" t="str">
        <f aca="false">IF($B68=CT$12,$U68,"")</f>
        <v/>
      </c>
      <c r="CU68" s="85" t="str">
        <f aca="false">IF($B68=CU$12,$U68,"")</f>
        <v/>
      </c>
      <c r="CV68" s="85" t="str">
        <f aca="false">IF($B68=CV$12,$U68,"")</f>
        <v/>
      </c>
      <c r="CW68" s="85" t="str">
        <f aca="false">IF($B68=CW$12,$U68,"")</f>
        <v/>
      </c>
      <c r="CX68" s="85" t="str">
        <f aca="false">IF($B68=CX$12,$U68,"")</f>
        <v/>
      </c>
      <c r="CY68" s="85" t="str">
        <f aca="false">IF($B68=CY$12,$U68,"")</f>
        <v/>
      </c>
      <c r="CZ68" s="85" t="str">
        <f aca="false">IF($B68=CZ$12,$U68,"")</f>
        <v/>
      </c>
      <c r="DA68" s="85" t="str">
        <f aca="false">IF($B68=DA$12,$U68,"")</f>
        <v/>
      </c>
      <c r="DB68" s="85" t="str">
        <f aca="false">IF($B68=DB$12,$U68,"")</f>
        <v/>
      </c>
      <c r="DC68" s="85" t="str">
        <f aca="false">IF($B68=DC$12,$U68,"")</f>
        <v/>
      </c>
      <c r="DD68" s="85" t="str">
        <f aca="false">IF($B68=DD$12,$U68,"")</f>
        <v/>
      </c>
      <c r="DE68" s="85" t="str">
        <f aca="false">IF($B68=DE$12,$U68,"")</f>
        <v/>
      </c>
      <c r="DF68" s="85" t="str">
        <f aca="false">IF($B68=DF$12,$U68,"")</f>
        <v/>
      </c>
      <c r="DG68" s="85" t="str">
        <f aca="false">IF($B68=DG$12,$U68,"")</f>
        <v/>
      </c>
      <c r="DH68" s="85" t="str">
        <f aca="false">IF($B68=DH$12,$U68,"")</f>
        <v/>
      </c>
      <c r="DI68" s="85" t="str">
        <f aca="false">IF($B68=DI$12,$U68,"")</f>
        <v/>
      </c>
      <c r="DJ68" s="85" t="str">
        <f aca="false">IF($B68=DJ$12,$U68,"")</f>
        <v/>
      </c>
      <c r="DK68" s="85" t="str">
        <f aca="false">IF($B68=DK$12,$U68,"")</f>
        <v/>
      </c>
      <c r="DL68" s="85" t="str">
        <f aca="false">IF($B68=DL$12,$U68,"")</f>
        <v/>
      </c>
      <c r="DM68" s="85" t="str">
        <f aca="false">IF($B68=DM$12,$U68,"")</f>
        <v/>
      </c>
      <c r="DN68" s="85" t="str">
        <f aca="false">IF($B68=DN$12,$U68,"")</f>
        <v/>
      </c>
      <c r="DO68" s="85" t="str">
        <f aca="false">IF($B68=DO$12,$U68,"")</f>
        <v/>
      </c>
      <c r="DP68" s="85" t="str">
        <f aca="false">IF($B68=DP$12,$U68,"")</f>
        <v/>
      </c>
      <c r="DQ68" s="85" t="str">
        <f aca="false">IF($B68=DQ$12,$U68,"")</f>
        <v/>
      </c>
      <c r="DR68" s="85" t="str">
        <f aca="false">IF($B68=DR$12,$U68,"")</f>
        <v/>
      </c>
      <c r="DS68" s="85" t="str">
        <f aca="false">IF($B68=DS$12,$U68,"")</f>
        <v/>
      </c>
      <c r="DT68" s="86" t="str">
        <f aca="false">IF($B68=DT$12,$U68,"")</f>
        <v/>
      </c>
      <c r="DU68" s="55"/>
      <c r="DV68" s="83"/>
      <c r="DW68" s="87" t="str">
        <f aca="false">IF($B68=DW$12,$O68,"")</f>
        <v/>
      </c>
      <c r="DX68" s="88" t="str">
        <f aca="false">IF($B68=DX$12,$O68,"")</f>
        <v/>
      </c>
      <c r="DY68" s="88" t="str">
        <f aca="false">IF($B68=DY$12,$O68,"")</f>
        <v/>
      </c>
      <c r="DZ68" s="88" t="str">
        <f aca="false">IF($B68=DZ$12,$O68,"")</f>
        <v/>
      </c>
      <c r="EA68" s="88" t="str">
        <f aca="false">IF($B68=EA$12,$O68,"")</f>
        <v/>
      </c>
      <c r="EB68" s="88" t="str">
        <f aca="false">IF($B68=EB$12,$O68,"")</f>
        <v/>
      </c>
      <c r="EC68" s="88" t="str">
        <f aca="false">IF($B68=EC$12,$O68,"")</f>
        <v/>
      </c>
      <c r="ED68" s="88" t="str">
        <f aca="false">IF($B68=ED$12,$O68,"")</f>
        <v/>
      </c>
      <c r="EE68" s="88" t="str">
        <f aca="false">IF($B68=EE$12,$O68,"")</f>
        <v/>
      </c>
      <c r="EF68" s="88" t="str">
        <f aca="false">IF($B68=EF$12,$O68,"")</f>
        <v/>
      </c>
      <c r="EG68" s="88" t="str">
        <f aca="false">IF($B68=EG$12,$O68,"")</f>
        <v/>
      </c>
      <c r="EH68" s="88" t="str">
        <f aca="false">IF($B68=EH$12,$O68,"")</f>
        <v/>
      </c>
      <c r="EI68" s="88" t="str">
        <f aca="false">IF($B68=EI$12,$O68,"")</f>
        <v/>
      </c>
      <c r="EJ68" s="88" t="str">
        <f aca="false">IF($B68=EJ$12,$O68,"")</f>
        <v/>
      </c>
      <c r="EK68" s="88" t="str">
        <f aca="false">IF($B68=EK$12,$O68,"")</f>
        <v/>
      </c>
      <c r="EL68" s="88" t="str">
        <f aca="false">IF($B68=EL$12,$O68,"")</f>
        <v/>
      </c>
      <c r="EM68" s="88" t="str">
        <f aca="false">IF($B68=EM$12,$O68,"")</f>
        <v/>
      </c>
      <c r="EN68" s="88" t="str">
        <f aca="false">IF($B68=EN$12,$O68,"")</f>
        <v/>
      </c>
      <c r="EO68" s="88" t="str">
        <f aca="false">IF($B68=EO$12,$O68,"")</f>
        <v/>
      </c>
      <c r="EP68" s="88" t="str">
        <f aca="false">IF($B68=EP$12,$O68,"")</f>
        <v/>
      </c>
      <c r="EQ68" s="88" t="str">
        <f aca="false">IF($B68=EQ$12,$O68,"")</f>
        <v/>
      </c>
      <c r="ER68" s="88" t="str">
        <f aca="false">IF($B68=ER$12,$O68,"")</f>
        <v/>
      </c>
      <c r="ES68" s="88" t="str">
        <f aca="false">IF($B68=ES$12,$O68,"")</f>
        <v/>
      </c>
      <c r="ET68" s="88" t="str">
        <f aca="false">IF($B68=ET$12,$O68,"")</f>
        <v/>
      </c>
      <c r="EU68" s="88" t="str">
        <f aca="false">IF($B68=EU$12,$O68,"")</f>
        <v/>
      </c>
      <c r="EV68" s="88" t="str">
        <f aca="false">IF($B68=EV$12,$O68,"")</f>
        <v/>
      </c>
      <c r="EW68" s="88" t="str">
        <f aca="false">IF($B68=EW$12,$O68,"")</f>
        <v/>
      </c>
      <c r="EX68" s="88" t="str">
        <f aca="false">IF($B68=EX$12,$O68,"")</f>
        <v/>
      </c>
      <c r="EY68" s="88" t="str">
        <f aca="false">IF($B68=EY$12,$O68,"")</f>
        <v/>
      </c>
      <c r="EZ68" s="88" t="str">
        <f aca="false">IF($B68=EZ$12,$O68,"")</f>
        <v/>
      </c>
      <c r="FA68" s="88" t="str">
        <f aca="false">IF($B68=FA$12,$O68,"")</f>
        <v/>
      </c>
      <c r="FB68" s="88" t="str">
        <f aca="false">IF($B68=FB$12,$O68,"")</f>
        <v/>
      </c>
      <c r="FC68" s="88" t="str">
        <f aca="false">IF($B68=FC$12,$O68,"")</f>
        <v/>
      </c>
      <c r="FD68" s="88" t="str">
        <f aca="false">IF($B68=FD$12,$O68,"")</f>
        <v/>
      </c>
      <c r="FE68" s="88" t="str">
        <f aca="false">IF($B68=FE$12,$O68,"")</f>
        <v/>
      </c>
      <c r="FF68" s="88" t="str">
        <f aca="false">IF($B68=FF$12,$O68,"")</f>
        <v/>
      </c>
      <c r="FG68" s="88" t="str">
        <f aca="false">IF($B68=FG$12,$O68,"")</f>
        <v/>
      </c>
      <c r="FH68" s="88" t="str">
        <f aca="false">IF($B68=FH$12,$O68,"")</f>
        <v/>
      </c>
      <c r="FI68" s="88" t="str">
        <f aca="false">IF($B68=FI$12,$O68,"")</f>
        <v/>
      </c>
      <c r="FJ68" s="88" t="str">
        <f aca="false">IF($B68=FJ$12,$O68,"")</f>
        <v/>
      </c>
      <c r="FK68" s="88" t="str">
        <f aca="false">IF($B68=FK$12,$O68,"")</f>
        <v/>
      </c>
      <c r="FL68" s="88" t="str">
        <f aca="false">IF($B68=FL$12,$O68,"")</f>
        <v/>
      </c>
      <c r="FM68" s="88" t="str">
        <f aca="false">IF($B68=FM$12,$O68,"")</f>
        <v/>
      </c>
      <c r="FN68" s="88" t="str">
        <f aca="false">IF($B68=FN$12,$O68,"")</f>
        <v/>
      </c>
      <c r="FO68" s="88" t="str">
        <f aca="false">IF($B68=FO$12,$O68,"")</f>
        <v/>
      </c>
      <c r="FP68" s="88" t="str">
        <f aca="false">IF($B68=FP$12,$O68,"")</f>
        <v/>
      </c>
      <c r="FQ68" s="88" t="str">
        <f aca="false">IF($B68=FQ$12,$O68,"")</f>
        <v/>
      </c>
      <c r="FR68" s="88" t="str">
        <f aca="false">IF($B68=FR$12,$O68,"")</f>
        <v/>
      </c>
      <c r="FS68" s="88" t="str">
        <f aca="false">IF($B68=FS$12,$O68,"")</f>
        <v/>
      </c>
      <c r="FT68" s="88" t="str">
        <f aca="false">IF($B68=FT$12,$O68,"")</f>
        <v/>
      </c>
      <c r="FU68" s="88" t="str">
        <f aca="false">IF($B68=FU$12,$O68,"")</f>
        <v/>
      </c>
      <c r="FV68" s="88" t="str">
        <f aca="false">IF($B68=FV$12,$O68,"")</f>
        <v/>
      </c>
      <c r="FW68" s="88" t="str">
        <f aca="false">IF($B68=FW$12,$O68,"")</f>
        <v/>
      </c>
      <c r="FX68" s="88" t="str">
        <f aca="false">IF($B68=FX$12,$O68,"")</f>
        <v/>
      </c>
      <c r="FY68" s="88" t="str">
        <f aca="false">IF($B68=FY$12,$O68,"")</f>
        <v/>
      </c>
      <c r="FZ68" s="88" t="str">
        <f aca="false">IF($B68=FZ$12,$O68,"")</f>
        <v/>
      </c>
      <c r="GA68" s="88" t="str">
        <f aca="false">IF($B68=GA$12,$O68,"")</f>
        <v/>
      </c>
      <c r="GB68" s="88" t="str">
        <f aca="false">IF($B68=GB$12,$O68,"")</f>
        <v/>
      </c>
      <c r="GC68" s="88" t="str">
        <f aca="false">IF($B68=GC$12,$O68,"")</f>
        <v/>
      </c>
      <c r="GD68" s="88" t="str">
        <f aca="false">IF($B68=GD$12,$O68,"")</f>
        <v/>
      </c>
      <c r="GE68" s="88" t="str">
        <f aca="false">IF($B68=GE$12,$O68,"")</f>
        <v/>
      </c>
      <c r="GF68" s="88" t="str">
        <f aca="false">IF($B68=GF$12,$O68,"")</f>
        <v/>
      </c>
      <c r="GG68" s="88" t="str">
        <f aca="false">IF($B68=GG$12,$O68,"")</f>
        <v/>
      </c>
      <c r="GH68" s="88" t="str">
        <f aca="false">IF($B68=GH$12,$O68,"")</f>
        <v/>
      </c>
      <c r="GI68" s="88" t="str">
        <f aca="false">IF($B68=GI$12,$O68,"")</f>
        <v/>
      </c>
      <c r="GJ68" s="88" t="str">
        <f aca="false">IF($B68=GJ$12,$O68,"")</f>
        <v/>
      </c>
      <c r="GK68" s="88" t="str">
        <f aca="false">IF($B68=GK$12,$O68,"")</f>
        <v/>
      </c>
      <c r="GL68" s="88" t="str">
        <f aca="false">IF($B68=GL$12,$O68,"")</f>
        <v/>
      </c>
      <c r="GM68" s="88" t="str">
        <f aca="false">IF($B68=GM$12,$O68,"")</f>
        <v/>
      </c>
      <c r="GN68" s="88" t="str">
        <f aca="false">IF($B68=GN$12,$O68,"")</f>
        <v/>
      </c>
      <c r="GO68" s="88" t="str">
        <f aca="false">IF($B68=GO$12,$O68,"")</f>
        <v/>
      </c>
      <c r="GP68" s="88" t="str">
        <f aca="false">IF($B68=GP$12,$O68,"")</f>
        <v/>
      </c>
      <c r="GQ68" s="88" t="str">
        <f aca="false">IF($B68=GQ$12,$O68,"")</f>
        <v/>
      </c>
      <c r="GR68" s="88" t="str">
        <f aca="false">IF($B68=GR$12,$O68,"")</f>
        <v/>
      </c>
      <c r="GS68" s="88" t="str">
        <f aca="false">IF($B68=GS$12,$O68,"")</f>
        <v/>
      </c>
      <c r="GT68" s="88" t="str">
        <f aca="false">IF($B68=GT$12,$O68,"")</f>
        <v/>
      </c>
      <c r="GU68" s="88" t="str">
        <f aca="false">IF($B68=GU$12,$O68,"")</f>
        <v/>
      </c>
      <c r="GV68" s="88" t="str">
        <f aca="false">IF($B68=GV$12,$O68,"")</f>
        <v/>
      </c>
      <c r="GW68" s="88" t="str">
        <f aca="false">IF($B68=GW$12,$O68,"")</f>
        <v/>
      </c>
      <c r="GX68" s="88" t="str">
        <f aca="false">IF($B68=GX$12,$O68,"")</f>
        <v/>
      </c>
      <c r="GY68" s="88" t="str">
        <f aca="false">IF($B68=GY$12,$O68,"")</f>
        <v/>
      </c>
      <c r="GZ68" s="88" t="str">
        <f aca="false">IF($B68=GZ$12,$O68,"")</f>
        <v/>
      </c>
      <c r="HA68" s="88" t="str">
        <f aca="false">IF($B68=HA$12,$O68,"")</f>
        <v/>
      </c>
      <c r="HB68" s="88" t="str">
        <f aca="false">IF($B68=HB$12,$O68,"")</f>
        <v/>
      </c>
      <c r="HC68" s="88" t="str">
        <f aca="false">IF($B68=HC$12,$O68,"")</f>
        <v/>
      </c>
      <c r="HD68" s="88" t="str">
        <f aca="false">IF($B68=HD$12,$O68,"")</f>
        <v/>
      </c>
      <c r="HE68" s="88" t="str">
        <f aca="false">IF($B68=HE$12,$O68,"")</f>
        <v/>
      </c>
      <c r="HF68" s="88" t="str">
        <f aca="false">IF($B68=HF$12,$O68,"")</f>
        <v/>
      </c>
      <c r="HG68" s="88" t="str">
        <f aca="false">IF($B68=HG$12,$O68,"")</f>
        <v/>
      </c>
      <c r="HH68" s="88" t="str">
        <f aca="false">IF($B68=HH$12,$O68,"")</f>
        <v/>
      </c>
      <c r="HI68" s="88" t="str">
        <f aca="false">IF($B68=HI$12,$O68,"")</f>
        <v/>
      </c>
      <c r="HJ68" s="88" t="str">
        <f aca="false">IF($B68=HJ$12,$O68,"")</f>
        <v/>
      </c>
      <c r="HK68" s="88" t="str">
        <f aca="false">IF($B68=HK$12,$O68,"")</f>
        <v/>
      </c>
      <c r="HL68" s="88" t="str">
        <f aca="false">IF($B68=HL$12,$O68,"")</f>
        <v/>
      </c>
      <c r="HM68" s="88" t="str">
        <f aca="false">IF($B68=HM$12,$O68,"")</f>
        <v/>
      </c>
      <c r="HN68" s="88" t="str">
        <f aca="false">IF($B68=HN$12,$O68,"")</f>
        <v/>
      </c>
      <c r="HO68" s="88" t="str">
        <f aca="false">IF($B68=HO$12,$O68,"")</f>
        <v/>
      </c>
      <c r="HP68" s="88" t="str">
        <f aca="false">IF($B68=HP$12,$O68,"")</f>
        <v/>
      </c>
      <c r="HQ68" s="88" t="str">
        <f aca="false">IF($B68=HQ$12,$O68,"")</f>
        <v/>
      </c>
      <c r="HR68" s="89" t="str">
        <f aca="false">IF($B68=HR$12,$O68,"")</f>
        <v/>
      </c>
    </row>
    <row r="69" customFormat="false" ht="10.5" hidden="false" customHeight="true" outlineLevel="0" collapsed="false">
      <c r="A69" s="73"/>
      <c r="B69" s="74"/>
      <c r="C69" s="75" t="str">
        <f aca="false">IF(A69=0,"",VLOOKUP(A69,[3]CO!$A$3:$F$5311,2,0))</f>
        <v/>
      </c>
      <c r="D69" s="76"/>
      <c r="E69" s="76"/>
      <c r="F69" s="76"/>
      <c r="G69" s="77" t="str">
        <f aca="false">IF(A69=0,"",VLOOKUP(A69,[3]CO!$A$3:$F$5311,3,0))</f>
        <v/>
      </c>
      <c r="H69" s="76"/>
      <c r="I69" s="78"/>
      <c r="J69" s="78"/>
      <c r="K69" s="78"/>
      <c r="L69" s="78"/>
      <c r="M69" s="79" t="str">
        <f aca="false">IF(L69=0,"",PRODUCT(I69:L69))</f>
        <v/>
      </c>
      <c r="N69" s="79" t="str">
        <f aca="false">IF(B69=0,"",IF(H69="M",HLOOKUP(B69,$Y$12:$DT$13,2),IF(A69=0,"",VLOOKUP(A69,[3]CO!$A$3:$F$5311,4,0))))</f>
        <v/>
      </c>
      <c r="O69" s="79" t="str">
        <f aca="false">IF(L69=0,"",PRODUCT(M69:N69))</f>
        <v/>
      </c>
      <c r="P69" s="80"/>
      <c r="Q69" s="81" t="str">
        <f aca="false">IF(P69=0,"",(HLOOKUP(P69,$DW$12:$HR$13,2)))</f>
        <v/>
      </c>
      <c r="R69" s="82" t="str">
        <f aca="false">IF(S69=0,"",IF(OR(G69="PEON",G69="OF",G69="JARD",G69="CARP",G69="MAESTRO",G69="SOLD",G69="BGRO",G69="CHOFER",G69="AYTE",G69="S.INTTE.",G69="ASEO",G69="P.PISOS",G69="VELADOR",G69="RESID",G69="PINTOR",G69="ELECT",G69="AZULE",G69="AUX CONT.",G69="SECRETARIA",G69="AUXILIAR ADMTVO.",G69="ARQUITECTO",G69="DIBUJANTE",G69="AUX. DE RESIDENTE"),VLOOKUP(B69,P$14:Q$131,2),"")*S69)</f>
        <v/>
      </c>
      <c r="S69" s="5"/>
      <c r="T69" s="65" t="str">
        <f aca="false">IF(A69=0,"",VLOOKUP(A69,[3]CO!$A$3:$F$5302,5,0))</f>
        <v/>
      </c>
      <c r="U69" s="55" t="n">
        <f aca="false">IF(T69=1,O69*0.1,)</f>
        <v>0</v>
      </c>
      <c r="V69" s="66"/>
      <c r="W69" s="83"/>
      <c r="X69" s="83"/>
      <c r="Y69" s="84" t="str">
        <f aca="false">IF($B69=Y$12,$U69,"")</f>
        <v/>
      </c>
      <c r="Z69" s="85" t="str">
        <f aca="false">IF($B69=Z$12,$U69,"")</f>
        <v/>
      </c>
      <c r="AA69" s="85" t="str">
        <f aca="false">IF($B69=AA$12,$U69,"")</f>
        <v/>
      </c>
      <c r="AB69" s="85" t="str">
        <f aca="false">IF($B69=AB$12,$U69,"")</f>
        <v/>
      </c>
      <c r="AC69" s="85" t="str">
        <f aca="false">IF($B69=AC$12,$U69,"")</f>
        <v/>
      </c>
      <c r="AD69" s="85" t="str">
        <f aca="false">IF($B69=AD$12,$U69,"")</f>
        <v/>
      </c>
      <c r="AE69" s="85" t="str">
        <f aca="false">IF($B69=AE$12,$U69,"")</f>
        <v/>
      </c>
      <c r="AF69" s="85" t="str">
        <f aca="false">IF($B69=AF$12,$U69,"")</f>
        <v/>
      </c>
      <c r="AG69" s="85" t="str">
        <f aca="false">IF($B69=AG$12,$U69,"")</f>
        <v/>
      </c>
      <c r="AH69" s="85" t="str">
        <f aca="false">IF($B69=AH$12,$U69,"")</f>
        <v/>
      </c>
      <c r="AI69" s="85" t="str">
        <f aca="false">IF($B69=AI$12,$U69,"")</f>
        <v/>
      </c>
      <c r="AJ69" s="85" t="str">
        <f aca="false">IF($B69=AJ$12,$U69,"")</f>
        <v/>
      </c>
      <c r="AK69" s="85" t="str">
        <f aca="false">IF($B69=AK$12,$U69,"")</f>
        <v/>
      </c>
      <c r="AL69" s="85" t="str">
        <f aca="false">IF($B69=AL$12,$U69,"")</f>
        <v/>
      </c>
      <c r="AM69" s="85" t="str">
        <f aca="false">IF($B69=AM$12,$U69,"")</f>
        <v/>
      </c>
      <c r="AN69" s="85" t="str">
        <f aca="false">IF($B69=AN$12,$U69,"")</f>
        <v/>
      </c>
      <c r="AO69" s="85" t="str">
        <f aca="false">IF($B69=AO$12,$U69,"")</f>
        <v/>
      </c>
      <c r="AP69" s="85" t="str">
        <f aca="false">IF($B69=AP$12,$U69,"")</f>
        <v/>
      </c>
      <c r="AQ69" s="85" t="str">
        <f aca="false">IF($B69=AQ$12,$U69,"")</f>
        <v/>
      </c>
      <c r="AR69" s="85" t="str">
        <f aca="false">IF($B69=AR$12,$U69,"")</f>
        <v/>
      </c>
      <c r="AS69" s="85" t="str">
        <f aca="false">IF($B69=AS$12,$U69,"")</f>
        <v/>
      </c>
      <c r="AT69" s="85" t="str">
        <f aca="false">IF($B69=AT$12,$U69,"")</f>
        <v/>
      </c>
      <c r="AU69" s="85" t="str">
        <f aca="false">IF($B69=AU$12,$U69,"")</f>
        <v/>
      </c>
      <c r="AV69" s="85" t="str">
        <f aca="false">IF($B69=AV$12,$U69,"")</f>
        <v/>
      </c>
      <c r="AW69" s="85" t="str">
        <f aca="false">IF($B69=AW$12,$U69,"")</f>
        <v/>
      </c>
      <c r="AX69" s="85" t="str">
        <f aca="false">IF($B69=AX$12,$U69,"")</f>
        <v/>
      </c>
      <c r="AY69" s="85" t="str">
        <f aca="false">IF($B69=AY$12,$U69,"")</f>
        <v/>
      </c>
      <c r="AZ69" s="85" t="str">
        <f aca="false">IF($B69=AZ$12,$U69,"")</f>
        <v/>
      </c>
      <c r="BA69" s="85" t="str">
        <f aca="false">IF($B69=BA$12,$U69,"")</f>
        <v/>
      </c>
      <c r="BB69" s="85" t="str">
        <f aca="false">IF($B69=BB$12,$U69,"")</f>
        <v/>
      </c>
      <c r="BC69" s="85" t="str">
        <f aca="false">IF($B69=BC$12,$U69,"")</f>
        <v/>
      </c>
      <c r="BD69" s="85" t="str">
        <f aca="false">IF($B69=BD$12,$U69,"")</f>
        <v/>
      </c>
      <c r="BE69" s="85" t="str">
        <f aca="false">IF($B69=BE$12,$U69,"")</f>
        <v/>
      </c>
      <c r="BF69" s="85" t="str">
        <f aca="false">IF($B69=BF$12,$U69,"")</f>
        <v/>
      </c>
      <c r="BG69" s="85" t="str">
        <f aca="false">IF($B69=BG$12,$U69,"")</f>
        <v/>
      </c>
      <c r="BH69" s="85" t="str">
        <f aca="false">IF($B69=BH$12,$U69,"")</f>
        <v/>
      </c>
      <c r="BI69" s="85" t="str">
        <f aca="false">IF($B69=BI$12,$U69,"")</f>
        <v/>
      </c>
      <c r="BJ69" s="85" t="str">
        <f aca="false">IF($B69=BJ$12,$U69,"")</f>
        <v/>
      </c>
      <c r="BK69" s="85" t="str">
        <f aca="false">IF($B69=BK$12,$U69,"")</f>
        <v/>
      </c>
      <c r="BL69" s="85" t="str">
        <f aca="false">IF($B69=BL$12,$U69,"")</f>
        <v/>
      </c>
      <c r="BM69" s="85" t="str">
        <f aca="false">IF($B69=BM$12,$U69,"")</f>
        <v/>
      </c>
      <c r="BN69" s="85" t="str">
        <f aca="false">IF($B69=BN$12,$U69,"")</f>
        <v/>
      </c>
      <c r="BO69" s="85" t="str">
        <f aca="false">IF($B69=BO$12,$U69,"")</f>
        <v/>
      </c>
      <c r="BP69" s="85" t="str">
        <f aca="false">IF($B69=BP$12,$U69,"")</f>
        <v/>
      </c>
      <c r="BQ69" s="85" t="str">
        <f aca="false">IF($B69=BQ$12,$U69,"")</f>
        <v/>
      </c>
      <c r="BR69" s="85" t="str">
        <f aca="false">IF($B69=BR$12,$U69,"")</f>
        <v/>
      </c>
      <c r="BS69" s="85" t="str">
        <f aca="false">IF($B69=BS$12,$U69,"")</f>
        <v/>
      </c>
      <c r="BT69" s="85" t="str">
        <f aca="false">IF($B69=BT$12,$U69,"")</f>
        <v/>
      </c>
      <c r="BU69" s="85" t="str">
        <f aca="false">IF($B69=BU$12,$U69,"")</f>
        <v/>
      </c>
      <c r="BV69" s="85" t="str">
        <f aca="false">IF($B69=BV$12,$U69,"")</f>
        <v/>
      </c>
      <c r="BW69" s="85" t="str">
        <f aca="false">IF($B69=BW$12,$U69,"")</f>
        <v/>
      </c>
      <c r="BX69" s="85" t="str">
        <f aca="false">IF($B69=BX$12,$U69,"")</f>
        <v/>
      </c>
      <c r="BY69" s="85" t="str">
        <f aca="false">IF($B69=BY$12,$U69,"")</f>
        <v/>
      </c>
      <c r="BZ69" s="85" t="str">
        <f aca="false">IF($B69=BZ$12,$U69,"")</f>
        <v/>
      </c>
      <c r="CA69" s="85" t="str">
        <f aca="false">IF($B69=CA$12,$U69,"")</f>
        <v/>
      </c>
      <c r="CB69" s="85" t="str">
        <f aca="false">IF($B69=CB$12,$U69,"")</f>
        <v/>
      </c>
      <c r="CC69" s="85" t="str">
        <f aca="false">IF($B69=CC$12,$U69,"")</f>
        <v/>
      </c>
      <c r="CD69" s="85" t="str">
        <f aca="false">IF($B69=CD$12,$U69,"")</f>
        <v/>
      </c>
      <c r="CE69" s="85" t="str">
        <f aca="false">IF($B69=CE$12,$U69,"")</f>
        <v/>
      </c>
      <c r="CF69" s="85" t="str">
        <f aca="false">IF($B69=CF$12,$U69,"")</f>
        <v/>
      </c>
      <c r="CG69" s="85" t="str">
        <f aca="false">IF($B69=CG$12,$U69,"")</f>
        <v/>
      </c>
      <c r="CH69" s="85" t="str">
        <f aca="false">IF($B69=CH$12,$U69,"")</f>
        <v/>
      </c>
      <c r="CI69" s="85" t="str">
        <f aca="false">IF($B69=CI$12,$U69,"")</f>
        <v/>
      </c>
      <c r="CJ69" s="85" t="str">
        <f aca="false">IF($B69=CJ$12,$U69,"")</f>
        <v/>
      </c>
      <c r="CK69" s="85" t="str">
        <f aca="false">IF($B69=CK$12,$U69,"")</f>
        <v/>
      </c>
      <c r="CL69" s="85" t="str">
        <f aca="false">IF($B69=CL$12,$U69,"")</f>
        <v/>
      </c>
      <c r="CM69" s="85" t="str">
        <f aca="false">IF($B69=CM$12,$U69,"")</f>
        <v/>
      </c>
      <c r="CN69" s="85" t="str">
        <f aca="false">IF($B69=CN$12,$U69,"")</f>
        <v/>
      </c>
      <c r="CO69" s="85" t="str">
        <f aca="false">IF($B69=CO$12,$U69,"")</f>
        <v/>
      </c>
      <c r="CP69" s="85" t="str">
        <f aca="false">IF($B69=CP$12,$U69,"")</f>
        <v/>
      </c>
      <c r="CQ69" s="85" t="str">
        <f aca="false">IF($B69=CQ$12,$U69,"")</f>
        <v/>
      </c>
      <c r="CR69" s="85" t="str">
        <f aca="false">IF($B69=CR$12,$U69,"")</f>
        <v/>
      </c>
      <c r="CS69" s="85" t="str">
        <f aca="false">IF($B69=CS$12,$U69,"")</f>
        <v/>
      </c>
      <c r="CT69" s="85" t="str">
        <f aca="false">IF($B69=CT$12,$U69,"")</f>
        <v/>
      </c>
      <c r="CU69" s="85" t="str">
        <f aca="false">IF($B69=CU$12,$U69,"")</f>
        <v/>
      </c>
      <c r="CV69" s="85" t="str">
        <f aca="false">IF($B69=CV$12,$U69,"")</f>
        <v/>
      </c>
      <c r="CW69" s="85" t="str">
        <f aca="false">IF($B69=CW$12,$U69,"")</f>
        <v/>
      </c>
      <c r="CX69" s="85" t="str">
        <f aca="false">IF($B69=CX$12,$U69,"")</f>
        <v/>
      </c>
      <c r="CY69" s="85" t="str">
        <f aca="false">IF($B69=CY$12,$U69,"")</f>
        <v/>
      </c>
      <c r="CZ69" s="85" t="str">
        <f aca="false">IF($B69=CZ$12,$U69,"")</f>
        <v/>
      </c>
      <c r="DA69" s="85" t="str">
        <f aca="false">IF($B69=DA$12,$U69,"")</f>
        <v/>
      </c>
      <c r="DB69" s="85" t="str">
        <f aca="false">IF($B69=DB$12,$U69,"")</f>
        <v/>
      </c>
      <c r="DC69" s="85" t="str">
        <f aca="false">IF($B69=DC$12,$U69,"")</f>
        <v/>
      </c>
      <c r="DD69" s="85" t="str">
        <f aca="false">IF($B69=DD$12,$U69,"")</f>
        <v/>
      </c>
      <c r="DE69" s="85" t="str">
        <f aca="false">IF($B69=DE$12,$U69,"")</f>
        <v/>
      </c>
      <c r="DF69" s="85" t="str">
        <f aca="false">IF($B69=DF$12,$U69,"")</f>
        <v/>
      </c>
      <c r="DG69" s="85" t="str">
        <f aca="false">IF($B69=DG$12,$U69,"")</f>
        <v/>
      </c>
      <c r="DH69" s="85" t="str">
        <f aca="false">IF($B69=DH$12,$U69,"")</f>
        <v/>
      </c>
      <c r="DI69" s="85" t="str">
        <f aca="false">IF($B69=DI$12,$U69,"")</f>
        <v/>
      </c>
      <c r="DJ69" s="85" t="str">
        <f aca="false">IF($B69=DJ$12,$U69,"")</f>
        <v/>
      </c>
      <c r="DK69" s="85" t="str">
        <f aca="false">IF($B69=DK$12,$U69,"")</f>
        <v/>
      </c>
      <c r="DL69" s="85" t="str">
        <f aca="false">IF($B69=DL$12,$U69,"")</f>
        <v/>
      </c>
      <c r="DM69" s="85" t="str">
        <f aca="false">IF($B69=DM$12,$U69,"")</f>
        <v/>
      </c>
      <c r="DN69" s="85" t="str">
        <f aca="false">IF($B69=DN$12,$U69,"")</f>
        <v/>
      </c>
      <c r="DO69" s="85" t="str">
        <f aca="false">IF($B69=DO$12,$U69,"")</f>
        <v/>
      </c>
      <c r="DP69" s="85" t="str">
        <f aca="false">IF($B69=DP$12,$U69,"")</f>
        <v/>
      </c>
      <c r="DQ69" s="85" t="str">
        <f aca="false">IF($B69=DQ$12,$U69,"")</f>
        <v/>
      </c>
      <c r="DR69" s="85" t="str">
        <f aca="false">IF($B69=DR$12,$U69,"")</f>
        <v/>
      </c>
      <c r="DS69" s="85" t="str">
        <f aca="false">IF($B69=DS$12,$U69,"")</f>
        <v/>
      </c>
      <c r="DT69" s="86" t="str">
        <f aca="false">IF($B69=DT$12,$U69,"")</f>
        <v/>
      </c>
      <c r="DU69" s="55"/>
      <c r="DV69" s="83"/>
      <c r="DW69" s="87" t="str">
        <f aca="false">IF($B69=DW$12,$O69,"")</f>
        <v/>
      </c>
      <c r="DX69" s="88" t="str">
        <f aca="false">IF($B69=DX$12,$O69,"")</f>
        <v/>
      </c>
      <c r="DY69" s="88" t="str">
        <f aca="false">IF($B69=DY$12,$O69,"")</f>
        <v/>
      </c>
      <c r="DZ69" s="88" t="str">
        <f aca="false">IF($B69=DZ$12,$O69,"")</f>
        <v/>
      </c>
      <c r="EA69" s="88" t="str">
        <f aca="false">IF($B69=EA$12,$O69,"")</f>
        <v/>
      </c>
      <c r="EB69" s="88" t="str">
        <f aca="false">IF($B69=EB$12,$O69,"")</f>
        <v/>
      </c>
      <c r="EC69" s="88" t="str">
        <f aca="false">IF($B69=EC$12,$O69,"")</f>
        <v/>
      </c>
      <c r="ED69" s="88" t="str">
        <f aca="false">IF($B69=ED$12,$O69,"")</f>
        <v/>
      </c>
      <c r="EE69" s="88" t="str">
        <f aca="false">IF($B69=EE$12,$O69,"")</f>
        <v/>
      </c>
      <c r="EF69" s="88" t="str">
        <f aca="false">IF($B69=EF$12,$O69,"")</f>
        <v/>
      </c>
      <c r="EG69" s="88" t="str">
        <f aca="false">IF($B69=EG$12,$O69,"")</f>
        <v/>
      </c>
      <c r="EH69" s="88" t="str">
        <f aca="false">IF($B69=EH$12,$O69,"")</f>
        <v/>
      </c>
      <c r="EI69" s="88" t="str">
        <f aca="false">IF($B69=EI$12,$O69,"")</f>
        <v/>
      </c>
      <c r="EJ69" s="88" t="str">
        <f aca="false">IF($B69=EJ$12,$O69,"")</f>
        <v/>
      </c>
      <c r="EK69" s="88" t="str">
        <f aca="false">IF($B69=EK$12,$O69,"")</f>
        <v/>
      </c>
      <c r="EL69" s="88" t="str">
        <f aca="false">IF($B69=EL$12,$O69,"")</f>
        <v/>
      </c>
      <c r="EM69" s="88" t="str">
        <f aca="false">IF($B69=EM$12,$O69,"")</f>
        <v/>
      </c>
      <c r="EN69" s="88" t="str">
        <f aca="false">IF($B69=EN$12,$O69,"")</f>
        <v/>
      </c>
      <c r="EO69" s="88" t="str">
        <f aca="false">IF($B69=EO$12,$O69,"")</f>
        <v/>
      </c>
      <c r="EP69" s="88" t="str">
        <f aca="false">IF($B69=EP$12,$O69,"")</f>
        <v/>
      </c>
      <c r="EQ69" s="88" t="str">
        <f aca="false">IF($B69=EQ$12,$O69,"")</f>
        <v/>
      </c>
      <c r="ER69" s="88" t="str">
        <f aca="false">IF($B69=ER$12,$O69,"")</f>
        <v/>
      </c>
      <c r="ES69" s="88" t="str">
        <f aca="false">IF($B69=ES$12,$O69,"")</f>
        <v/>
      </c>
      <c r="ET69" s="88" t="str">
        <f aca="false">IF($B69=ET$12,$O69,"")</f>
        <v/>
      </c>
      <c r="EU69" s="88" t="str">
        <f aca="false">IF($B69=EU$12,$O69,"")</f>
        <v/>
      </c>
      <c r="EV69" s="88" t="str">
        <f aca="false">IF($B69=EV$12,$O69,"")</f>
        <v/>
      </c>
      <c r="EW69" s="88" t="str">
        <f aca="false">IF($B69=EW$12,$O69,"")</f>
        <v/>
      </c>
      <c r="EX69" s="88" t="str">
        <f aca="false">IF($B69=EX$12,$O69,"")</f>
        <v/>
      </c>
      <c r="EY69" s="88" t="str">
        <f aca="false">IF($B69=EY$12,$O69,"")</f>
        <v/>
      </c>
      <c r="EZ69" s="88" t="str">
        <f aca="false">IF($B69=EZ$12,$O69,"")</f>
        <v/>
      </c>
      <c r="FA69" s="88" t="str">
        <f aca="false">IF($B69=FA$12,$O69,"")</f>
        <v/>
      </c>
      <c r="FB69" s="88" t="str">
        <f aca="false">IF($B69=FB$12,$O69,"")</f>
        <v/>
      </c>
      <c r="FC69" s="88" t="str">
        <f aca="false">IF($B69=FC$12,$O69,"")</f>
        <v/>
      </c>
      <c r="FD69" s="88" t="str">
        <f aca="false">IF($B69=FD$12,$O69,"")</f>
        <v/>
      </c>
      <c r="FE69" s="88" t="str">
        <f aca="false">IF($B69=FE$12,$O69,"")</f>
        <v/>
      </c>
      <c r="FF69" s="88" t="str">
        <f aca="false">IF($B69=FF$12,$O69,"")</f>
        <v/>
      </c>
      <c r="FG69" s="88" t="str">
        <f aca="false">IF($B69=FG$12,$O69,"")</f>
        <v/>
      </c>
      <c r="FH69" s="88" t="str">
        <f aca="false">IF($B69=FH$12,$O69,"")</f>
        <v/>
      </c>
      <c r="FI69" s="88" t="str">
        <f aca="false">IF($B69=FI$12,$O69,"")</f>
        <v/>
      </c>
      <c r="FJ69" s="88" t="str">
        <f aca="false">IF($B69=FJ$12,$O69,"")</f>
        <v/>
      </c>
      <c r="FK69" s="88" t="str">
        <f aca="false">IF($B69=FK$12,$O69,"")</f>
        <v/>
      </c>
      <c r="FL69" s="88" t="str">
        <f aca="false">IF($B69=FL$12,$O69,"")</f>
        <v/>
      </c>
      <c r="FM69" s="88" t="str">
        <f aca="false">IF($B69=FM$12,$O69,"")</f>
        <v/>
      </c>
      <c r="FN69" s="88" t="str">
        <f aca="false">IF($B69=FN$12,$O69,"")</f>
        <v/>
      </c>
      <c r="FO69" s="88" t="str">
        <f aca="false">IF($B69=FO$12,$O69,"")</f>
        <v/>
      </c>
      <c r="FP69" s="88" t="str">
        <f aca="false">IF($B69=FP$12,$O69,"")</f>
        <v/>
      </c>
      <c r="FQ69" s="88" t="str">
        <f aca="false">IF($B69=FQ$12,$O69,"")</f>
        <v/>
      </c>
      <c r="FR69" s="88" t="str">
        <f aca="false">IF($B69=FR$12,$O69,"")</f>
        <v/>
      </c>
      <c r="FS69" s="88" t="str">
        <f aca="false">IF($B69=FS$12,$O69,"")</f>
        <v/>
      </c>
      <c r="FT69" s="88" t="str">
        <f aca="false">IF($B69=FT$12,$O69,"")</f>
        <v/>
      </c>
      <c r="FU69" s="88" t="str">
        <f aca="false">IF($B69=FU$12,$O69,"")</f>
        <v/>
      </c>
      <c r="FV69" s="88" t="str">
        <f aca="false">IF($B69=FV$12,$O69,"")</f>
        <v/>
      </c>
      <c r="FW69" s="88" t="str">
        <f aca="false">IF($B69=FW$12,$O69,"")</f>
        <v/>
      </c>
      <c r="FX69" s="88" t="str">
        <f aca="false">IF($B69=FX$12,$O69,"")</f>
        <v/>
      </c>
      <c r="FY69" s="88" t="str">
        <f aca="false">IF($B69=FY$12,$O69,"")</f>
        <v/>
      </c>
      <c r="FZ69" s="88" t="str">
        <f aca="false">IF($B69=FZ$12,$O69,"")</f>
        <v/>
      </c>
      <c r="GA69" s="88" t="str">
        <f aca="false">IF($B69=GA$12,$O69,"")</f>
        <v/>
      </c>
      <c r="GB69" s="88" t="str">
        <f aca="false">IF($B69=GB$12,$O69,"")</f>
        <v/>
      </c>
      <c r="GC69" s="88" t="str">
        <f aca="false">IF($B69=GC$12,$O69,"")</f>
        <v/>
      </c>
      <c r="GD69" s="88" t="str">
        <f aca="false">IF($B69=GD$12,$O69,"")</f>
        <v/>
      </c>
      <c r="GE69" s="88" t="str">
        <f aca="false">IF($B69=GE$12,$O69,"")</f>
        <v/>
      </c>
      <c r="GF69" s="88" t="str">
        <f aca="false">IF($B69=GF$12,$O69,"")</f>
        <v/>
      </c>
      <c r="GG69" s="88" t="str">
        <f aca="false">IF($B69=GG$12,$O69,"")</f>
        <v/>
      </c>
      <c r="GH69" s="88" t="str">
        <f aca="false">IF($B69=GH$12,$O69,"")</f>
        <v/>
      </c>
      <c r="GI69" s="88" t="str">
        <f aca="false">IF($B69=GI$12,$O69,"")</f>
        <v/>
      </c>
      <c r="GJ69" s="88" t="str">
        <f aca="false">IF($B69=GJ$12,$O69,"")</f>
        <v/>
      </c>
      <c r="GK69" s="88" t="str">
        <f aca="false">IF($B69=GK$12,$O69,"")</f>
        <v/>
      </c>
      <c r="GL69" s="88" t="str">
        <f aca="false">IF($B69=GL$12,$O69,"")</f>
        <v/>
      </c>
      <c r="GM69" s="88" t="str">
        <f aca="false">IF($B69=GM$12,$O69,"")</f>
        <v/>
      </c>
      <c r="GN69" s="88" t="str">
        <f aca="false">IF($B69=GN$12,$O69,"")</f>
        <v/>
      </c>
      <c r="GO69" s="88" t="str">
        <f aca="false">IF($B69=GO$12,$O69,"")</f>
        <v/>
      </c>
      <c r="GP69" s="88" t="str">
        <f aca="false">IF($B69=GP$12,$O69,"")</f>
        <v/>
      </c>
      <c r="GQ69" s="88" t="str">
        <f aca="false">IF($B69=GQ$12,$O69,"")</f>
        <v/>
      </c>
      <c r="GR69" s="88" t="str">
        <f aca="false">IF($B69=GR$12,$O69,"")</f>
        <v/>
      </c>
      <c r="GS69" s="88" t="str">
        <f aca="false">IF($B69=GS$12,$O69,"")</f>
        <v/>
      </c>
      <c r="GT69" s="88" t="str">
        <f aca="false">IF($B69=GT$12,$O69,"")</f>
        <v/>
      </c>
      <c r="GU69" s="88" t="str">
        <f aca="false">IF($B69=GU$12,$O69,"")</f>
        <v/>
      </c>
      <c r="GV69" s="88" t="str">
        <f aca="false">IF($B69=GV$12,$O69,"")</f>
        <v/>
      </c>
      <c r="GW69" s="88" t="str">
        <f aca="false">IF($B69=GW$12,$O69,"")</f>
        <v/>
      </c>
      <c r="GX69" s="88" t="str">
        <f aca="false">IF($B69=GX$12,$O69,"")</f>
        <v/>
      </c>
      <c r="GY69" s="88" t="str">
        <f aca="false">IF($B69=GY$12,$O69,"")</f>
        <v/>
      </c>
      <c r="GZ69" s="88" t="str">
        <f aca="false">IF($B69=GZ$12,$O69,"")</f>
        <v/>
      </c>
      <c r="HA69" s="88" t="str">
        <f aca="false">IF($B69=HA$12,$O69,"")</f>
        <v/>
      </c>
      <c r="HB69" s="88" t="str">
        <f aca="false">IF($B69=HB$12,$O69,"")</f>
        <v/>
      </c>
      <c r="HC69" s="88" t="str">
        <f aca="false">IF($B69=HC$12,$O69,"")</f>
        <v/>
      </c>
      <c r="HD69" s="88" t="str">
        <f aca="false">IF($B69=HD$12,$O69,"")</f>
        <v/>
      </c>
      <c r="HE69" s="88" t="str">
        <f aca="false">IF($B69=HE$12,$O69,"")</f>
        <v/>
      </c>
      <c r="HF69" s="88" t="str">
        <f aca="false">IF($B69=HF$12,$O69,"")</f>
        <v/>
      </c>
      <c r="HG69" s="88" t="str">
        <f aca="false">IF($B69=HG$12,$O69,"")</f>
        <v/>
      </c>
      <c r="HH69" s="88" t="str">
        <f aca="false">IF($B69=HH$12,$O69,"")</f>
        <v/>
      </c>
      <c r="HI69" s="88" t="str">
        <f aca="false">IF($B69=HI$12,$O69,"")</f>
        <v/>
      </c>
      <c r="HJ69" s="88" t="str">
        <f aca="false">IF($B69=HJ$12,$O69,"")</f>
        <v/>
      </c>
      <c r="HK69" s="88" t="str">
        <f aca="false">IF($B69=HK$12,$O69,"")</f>
        <v/>
      </c>
      <c r="HL69" s="88" t="str">
        <f aca="false">IF($B69=HL$12,$O69,"")</f>
        <v/>
      </c>
      <c r="HM69" s="88" t="str">
        <f aca="false">IF($B69=HM$12,$O69,"")</f>
        <v/>
      </c>
      <c r="HN69" s="88" t="str">
        <f aca="false">IF($B69=HN$12,$O69,"")</f>
        <v/>
      </c>
      <c r="HO69" s="88" t="str">
        <f aca="false">IF($B69=HO$12,$O69,"")</f>
        <v/>
      </c>
      <c r="HP69" s="88" t="str">
        <f aca="false">IF($B69=HP$12,$O69,"")</f>
        <v/>
      </c>
      <c r="HQ69" s="88" t="str">
        <f aca="false">IF($B69=HQ$12,$O69,"")</f>
        <v/>
      </c>
      <c r="HR69" s="89" t="str">
        <f aca="false">IF($B69=HR$12,$O69,"")</f>
        <v/>
      </c>
    </row>
    <row r="70" customFormat="false" ht="10.5" hidden="false" customHeight="true" outlineLevel="0" collapsed="false">
      <c r="A70" s="73"/>
      <c r="B70" s="74"/>
      <c r="C70" s="75" t="str">
        <f aca="false">IF(A70=0,"",VLOOKUP(A70,[3]CO!$A$3:$F$5311,2,0))</f>
        <v/>
      </c>
      <c r="D70" s="76"/>
      <c r="E70" s="76"/>
      <c r="F70" s="76"/>
      <c r="G70" s="77" t="str">
        <f aca="false">IF(A70=0,"",VLOOKUP(A70,[3]CO!$A$3:$F$5311,3,0))</f>
        <v/>
      </c>
      <c r="H70" s="76"/>
      <c r="I70" s="78"/>
      <c r="J70" s="78"/>
      <c r="K70" s="78"/>
      <c r="L70" s="78"/>
      <c r="M70" s="79" t="str">
        <f aca="false">IF(L70=0,"",PRODUCT(I70:L70))</f>
        <v/>
      </c>
      <c r="N70" s="79" t="str">
        <f aca="false">IF(B70=0,"",IF(H70="M",HLOOKUP(B70,$Y$12:$DT$13,2),IF(A70=0,"",VLOOKUP(A70,[3]CO!$A$3:$F$5311,4,0))))</f>
        <v/>
      </c>
      <c r="O70" s="79" t="str">
        <f aca="false">IF(L70=0,"",PRODUCT(M70:N70))</f>
        <v/>
      </c>
      <c r="P70" s="80"/>
      <c r="Q70" s="81" t="str">
        <f aca="false">IF(P70=0,"",(HLOOKUP(P70,$DW$12:$HR$13,2)))</f>
        <v/>
      </c>
      <c r="R70" s="82" t="str">
        <f aca="false">IF(S70=0,"",IF(OR(G70="PEON",G70="OF",G70="JARD",G70="CARP",G70="MAESTRO",G70="SOLD",G70="BGRO",G70="CHOFER",G70="AYTE",G70="S.INTTE.",G70="ASEO",G70="P.PISOS",G70="VELADOR",G70="RESID",G70="PINTOR",G70="ELECT",G70="AZULE",G70="AUX CONT.",G70="SECRETARIA",G70="AUXILIAR ADMTVO.",G70="ARQUITECTO",G70="DIBUJANTE",G70="AUX. DE RESIDENTE"),VLOOKUP(B70,P$14:Q$131,2),"")*S70)</f>
        <v/>
      </c>
      <c r="S70" s="5"/>
      <c r="T70" s="65" t="str">
        <f aca="false">IF(A70=0,"",VLOOKUP(A70,[3]CO!$A$3:$F$5302,5,0))</f>
        <v/>
      </c>
      <c r="U70" s="55" t="n">
        <f aca="false">IF(T70=1,O70*0.1,)</f>
        <v>0</v>
      </c>
      <c r="V70" s="66"/>
      <c r="W70" s="83"/>
      <c r="X70" s="83"/>
      <c r="Y70" s="84" t="str">
        <f aca="false">IF($B70=Y$12,$U70,"")</f>
        <v/>
      </c>
      <c r="Z70" s="85" t="str">
        <f aca="false">IF($B70=Z$12,$U70,"")</f>
        <v/>
      </c>
      <c r="AA70" s="85" t="str">
        <f aca="false">IF($B70=AA$12,$U70,"")</f>
        <v/>
      </c>
      <c r="AB70" s="85" t="str">
        <f aca="false">IF($B70=AB$12,$U70,"")</f>
        <v/>
      </c>
      <c r="AC70" s="85" t="str">
        <f aca="false">IF($B70=AC$12,$U70,"")</f>
        <v/>
      </c>
      <c r="AD70" s="85" t="str">
        <f aca="false">IF($B70=AD$12,$U70,"")</f>
        <v/>
      </c>
      <c r="AE70" s="85" t="str">
        <f aca="false">IF($B70=AE$12,$U70,"")</f>
        <v/>
      </c>
      <c r="AF70" s="85" t="str">
        <f aca="false">IF($B70=AF$12,$U70,"")</f>
        <v/>
      </c>
      <c r="AG70" s="85" t="str">
        <f aca="false">IF($B70=AG$12,$U70,"")</f>
        <v/>
      </c>
      <c r="AH70" s="85" t="str">
        <f aca="false">IF($B70=AH$12,$U70,"")</f>
        <v/>
      </c>
      <c r="AI70" s="85" t="str">
        <f aca="false">IF($B70=AI$12,$U70,"")</f>
        <v/>
      </c>
      <c r="AJ70" s="85" t="str">
        <f aca="false">IF($B70=AJ$12,$U70,"")</f>
        <v/>
      </c>
      <c r="AK70" s="85" t="str">
        <f aca="false">IF($B70=AK$12,$U70,"")</f>
        <v/>
      </c>
      <c r="AL70" s="85" t="str">
        <f aca="false">IF($B70=AL$12,$U70,"")</f>
        <v/>
      </c>
      <c r="AM70" s="85" t="str">
        <f aca="false">IF($B70=AM$12,$U70,"")</f>
        <v/>
      </c>
      <c r="AN70" s="85" t="str">
        <f aca="false">IF($B70=AN$12,$U70,"")</f>
        <v/>
      </c>
      <c r="AO70" s="85" t="str">
        <f aca="false">IF($B70=AO$12,$U70,"")</f>
        <v/>
      </c>
      <c r="AP70" s="85" t="str">
        <f aca="false">IF($B70=AP$12,$U70,"")</f>
        <v/>
      </c>
      <c r="AQ70" s="85" t="str">
        <f aca="false">IF($B70=AQ$12,$U70,"")</f>
        <v/>
      </c>
      <c r="AR70" s="85" t="str">
        <f aca="false">IF($B70=AR$12,$U70,"")</f>
        <v/>
      </c>
      <c r="AS70" s="85" t="str">
        <f aca="false">IF($B70=AS$12,$U70,"")</f>
        <v/>
      </c>
      <c r="AT70" s="85" t="str">
        <f aca="false">IF($B70=AT$12,$U70,"")</f>
        <v/>
      </c>
      <c r="AU70" s="85" t="str">
        <f aca="false">IF($B70=AU$12,$U70,"")</f>
        <v/>
      </c>
      <c r="AV70" s="85" t="str">
        <f aca="false">IF($B70=AV$12,$U70,"")</f>
        <v/>
      </c>
      <c r="AW70" s="85" t="str">
        <f aca="false">IF($B70=AW$12,$U70,"")</f>
        <v/>
      </c>
      <c r="AX70" s="85" t="str">
        <f aca="false">IF($B70=AX$12,$U70,"")</f>
        <v/>
      </c>
      <c r="AY70" s="85" t="str">
        <f aca="false">IF($B70=AY$12,$U70,"")</f>
        <v/>
      </c>
      <c r="AZ70" s="85" t="str">
        <f aca="false">IF($B70=AZ$12,$U70,"")</f>
        <v/>
      </c>
      <c r="BA70" s="85" t="str">
        <f aca="false">IF($B70=BA$12,$U70,"")</f>
        <v/>
      </c>
      <c r="BB70" s="85" t="str">
        <f aca="false">IF($B70=BB$12,$U70,"")</f>
        <v/>
      </c>
      <c r="BC70" s="85" t="str">
        <f aca="false">IF($B70=BC$12,$U70,"")</f>
        <v/>
      </c>
      <c r="BD70" s="85" t="str">
        <f aca="false">IF($B70=BD$12,$U70,"")</f>
        <v/>
      </c>
      <c r="BE70" s="85" t="str">
        <f aca="false">IF($B70=BE$12,$U70,"")</f>
        <v/>
      </c>
      <c r="BF70" s="85" t="str">
        <f aca="false">IF($B70=BF$12,$U70,"")</f>
        <v/>
      </c>
      <c r="BG70" s="85" t="str">
        <f aca="false">IF($B70=BG$12,$U70,"")</f>
        <v/>
      </c>
      <c r="BH70" s="85" t="str">
        <f aca="false">IF($B70=BH$12,$U70,"")</f>
        <v/>
      </c>
      <c r="BI70" s="85" t="str">
        <f aca="false">IF($B70=BI$12,$U70,"")</f>
        <v/>
      </c>
      <c r="BJ70" s="85" t="str">
        <f aca="false">IF($B70=BJ$12,$U70,"")</f>
        <v/>
      </c>
      <c r="BK70" s="85" t="str">
        <f aca="false">IF($B70=BK$12,$U70,"")</f>
        <v/>
      </c>
      <c r="BL70" s="85" t="str">
        <f aca="false">IF($B70=BL$12,$U70,"")</f>
        <v/>
      </c>
      <c r="BM70" s="85" t="str">
        <f aca="false">IF($B70=BM$12,$U70,"")</f>
        <v/>
      </c>
      <c r="BN70" s="85" t="str">
        <f aca="false">IF($B70=BN$12,$U70,"")</f>
        <v/>
      </c>
      <c r="BO70" s="85" t="str">
        <f aca="false">IF($B70=BO$12,$U70,"")</f>
        <v/>
      </c>
      <c r="BP70" s="85" t="str">
        <f aca="false">IF($B70=BP$12,$U70,"")</f>
        <v/>
      </c>
      <c r="BQ70" s="85" t="str">
        <f aca="false">IF($B70=BQ$12,$U70,"")</f>
        <v/>
      </c>
      <c r="BR70" s="85" t="str">
        <f aca="false">IF($B70=BR$12,$U70,"")</f>
        <v/>
      </c>
      <c r="BS70" s="85" t="str">
        <f aca="false">IF($B70=BS$12,$U70,"")</f>
        <v/>
      </c>
      <c r="BT70" s="85" t="str">
        <f aca="false">IF($B70=BT$12,$U70,"")</f>
        <v/>
      </c>
      <c r="BU70" s="85" t="str">
        <f aca="false">IF($B70=BU$12,$U70,"")</f>
        <v/>
      </c>
      <c r="BV70" s="85" t="str">
        <f aca="false">IF($B70=BV$12,$U70,"")</f>
        <v/>
      </c>
      <c r="BW70" s="85" t="str">
        <f aca="false">IF($B70=BW$12,$U70,"")</f>
        <v/>
      </c>
      <c r="BX70" s="85" t="str">
        <f aca="false">IF($B70=BX$12,$U70,"")</f>
        <v/>
      </c>
      <c r="BY70" s="85" t="str">
        <f aca="false">IF($B70=BY$12,$U70,"")</f>
        <v/>
      </c>
      <c r="BZ70" s="85" t="str">
        <f aca="false">IF($B70=BZ$12,$U70,"")</f>
        <v/>
      </c>
      <c r="CA70" s="85" t="str">
        <f aca="false">IF($B70=CA$12,$U70,"")</f>
        <v/>
      </c>
      <c r="CB70" s="85" t="str">
        <f aca="false">IF($B70=CB$12,$U70,"")</f>
        <v/>
      </c>
      <c r="CC70" s="85" t="str">
        <f aca="false">IF($B70=CC$12,$U70,"")</f>
        <v/>
      </c>
      <c r="CD70" s="85" t="str">
        <f aca="false">IF($B70=CD$12,$U70,"")</f>
        <v/>
      </c>
      <c r="CE70" s="85" t="str">
        <f aca="false">IF($B70=CE$12,$U70,"")</f>
        <v/>
      </c>
      <c r="CF70" s="85" t="str">
        <f aca="false">IF($B70=CF$12,$U70,"")</f>
        <v/>
      </c>
      <c r="CG70" s="85" t="str">
        <f aca="false">IF($B70=CG$12,$U70,"")</f>
        <v/>
      </c>
      <c r="CH70" s="85" t="str">
        <f aca="false">IF($B70=CH$12,$U70,"")</f>
        <v/>
      </c>
      <c r="CI70" s="85" t="str">
        <f aca="false">IF($B70=CI$12,$U70,"")</f>
        <v/>
      </c>
      <c r="CJ70" s="85" t="str">
        <f aca="false">IF($B70=CJ$12,$U70,"")</f>
        <v/>
      </c>
      <c r="CK70" s="85" t="str">
        <f aca="false">IF($B70=CK$12,$U70,"")</f>
        <v/>
      </c>
      <c r="CL70" s="85" t="str">
        <f aca="false">IF($B70=CL$12,$U70,"")</f>
        <v/>
      </c>
      <c r="CM70" s="85" t="str">
        <f aca="false">IF($B70=CM$12,$U70,"")</f>
        <v/>
      </c>
      <c r="CN70" s="85" t="str">
        <f aca="false">IF($B70=CN$12,$U70,"")</f>
        <v/>
      </c>
      <c r="CO70" s="85" t="str">
        <f aca="false">IF($B70=CO$12,$U70,"")</f>
        <v/>
      </c>
      <c r="CP70" s="85" t="str">
        <f aca="false">IF($B70=CP$12,$U70,"")</f>
        <v/>
      </c>
      <c r="CQ70" s="85" t="str">
        <f aca="false">IF($B70=CQ$12,$U70,"")</f>
        <v/>
      </c>
      <c r="CR70" s="85" t="str">
        <f aca="false">IF($B70=CR$12,$U70,"")</f>
        <v/>
      </c>
      <c r="CS70" s="85" t="str">
        <f aca="false">IF($B70=CS$12,$U70,"")</f>
        <v/>
      </c>
      <c r="CT70" s="85" t="str">
        <f aca="false">IF($B70=CT$12,$U70,"")</f>
        <v/>
      </c>
      <c r="CU70" s="85" t="str">
        <f aca="false">IF($B70=CU$12,$U70,"")</f>
        <v/>
      </c>
      <c r="CV70" s="85" t="str">
        <f aca="false">IF($B70=CV$12,$U70,"")</f>
        <v/>
      </c>
      <c r="CW70" s="85" t="str">
        <f aca="false">IF($B70=CW$12,$U70,"")</f>
        <v/>
      </c>
      <c r="CX70" s="85" t="str">
        <f aca="false">IF($B70=CX$12,$U70,"")</f>
        <v/>
      </c>
      <c r="CY70" s="85" t="str">
        <f aca="false">IF($B70=CY$12,$U70,"")</f>
        <v/>
      </c>
      <c r="CZ70" s="85" t="str">
        <f aca="false">IF($B70=CZ$12,$U70,"")</f>
        <v/>
      </c>
      <c r="DA70" s="85" t="str">
        <f aca="false">IF($B70=DA$12,$U70,"")</f>
        <v/>
      </c>
      <c r="DB70" s="85" t="str">
        <f aca="false">IF($B70=DB$12,$U70,"")</f>
        <v/>
      </c>
      <c r="DC70" s="85" t="str">
        <f aca="false">IF($B70=DC$12,$U70,"")</f>
        <v/>
      </c>
      <c r="DD70" s="85" t="str">
        <f aca="false">IF($B70=DD$12,$U70,"")</f>
        <v/>
      </c>
      <c r="DE70" s="85" t="str">
        <f aca="false">IF($B70=DE$12,$U70,"")</f>
        <v/>
      </c>
      <c r="DF70" s="85" t="str">
        <f aca="false">IF($B70=DF$12,$U70,"")</f>
        <v/>
      </c>
      <c r="DG70" s="85" t="str">
        <f aca="false">IF($B70=DG$12,$U70,"")</f>
        <v/>
      </c>
      <c r="DH70" s="85" t="str">
        <f aca="false">IF($B70=DH$12,$U70,"")</f>
        <v/>
      </c>
      <c r="DI70" s="85" t="str">
        <f aca="false">IF($B70=DI$12,$U70,"")</f>
        <v/>
      </c>
      <c r="DJ70" s="85" t="str">
        <f aca="false">IF($B70=DJ$12,$U70,"")</f>
        <v/>
      </c>
      <c r="DK70" s="85" t="str">
        <f aca="false">IF($B70=DK$12,$U70,"")</f>
        <v/>
      </c>
      <c r="DL70" s="85" t="str">
        <f aca="false">IF($B70=DL$12,$U70,"")</f>
        <v/>
      </c>
      <c r="DM70" s="85" t="str">
        <f aca="false">IF($B70=DM$12,$U70,"")</f>
        <v/>
      </c>
      <c r="DN70" s="85" t="str">
        <f aca="false">IF($B70=DN$12,$U70,"")</f>
        <v/>
      </c>
      <c r="DO70" s="85" t="str">
        <f aca="false">IF($B70=DO$12,$U70,"")</f>
        <v/>
      </c>
      <c r="DP70" s="85" t="str">
        <f aca="false">IF($B70=DP$12,$U70,"")</f>
        <v/>
      </c>
      <c r="DQ70" s="85" t="str">
        <f aca="false">IF($B70=DQ$12,$U70,"")</f>
        <v/>
      </c>
      <c r="DR70" s="85" t="str">
        <f aca="false">IF($B70=DR$12,$U70,"")</f>
        <v/>
      </c>
      <c r="DS70" s="85" t="str">
        <f aca="false">IF($B70=DS$12,$U70,"")</f>
        <v/>
      </c>
      <c r="DT70" s="86" t="str">
        <f aca="false">IF($B70=DT$12,$U70,"")</f>
        <v/>
      </c>
      <c r="DU70" s="55"/>
      <c r="DV70" s="83"/>
      <c r="DW70" s="87" t="str">
        <f aca="false">IF($B70=DW$12,$O70,"")</f>
        <v/>
      </c>
      <c r="DX70" s="88" t="str">
        <f aca="false">IF($B70=DX$12,$O70,"")</f>
        <v/>
      </c>
      <c r="DY70" s="88" t="str">
        <f aca="false">IF($B70=DY$12,$O70,"")</f>
        <v/>
      </c>
      <c r="DZ70" s="88" t="str">
        <f aca="false">IF($B70=DZ$12,$O70,"")</f>
        <v/>
      </c>
      <c r="EA70" s="88" t="str">
        <f aca="false">IF($B70=EA$12,$O70,"")</f>
        <v/>
      </c>
      <c r="EB70" s="88" t="str">
        <f aca="false">IF($B70=EB$12,$O70,"")</f>
        <v/>
      </c>
      <c r="EC70" s="88" t="str">
        <f aca="false">IF($B70=EC$12,$O70,"")</f>
        <v/>
      </c>
      <c r="ED70" s="88" t="str">
        <f aca="false">IF($B70=ED$12,$O70,"")</f>
        <v/>
      </c>
      <c r="EE70" s="88" t="str">
        <f aca="false">IF($B70=EE$12,$O70,"")</f>
        <v/>
      </c>
      <c r="EF70" s="88" t="str">
        <f aca="false">IF($B70=EF$12,$O70,"")</f>
        <v/>
      </c>
      <c r="EG70" s="88" t="str">
        <f aca="false">IF($B70=EG$12,$O70,"")</f>
        <v/>
      </c>
      <c r="EH70" s="88" t="str">
        <f aca="false">IF($B70=EH$12,$O70,"")</f>
        <v/>
      </c>
      <c r="EI70" s="88" t="str">
        <f aca="false">IF($B70=EI$12,$O70,"")</f>
        <v/>
      </c>
      <c r="EJ70" s="88" t="str">
        <f aca="false">IF($B70=EJ$12,$O70,"")</f>
        <v/>
      </c>
      <c r="EK70" s="88" t="str">
        <f aca="false">IF($B70=EK$12,$O70,"")</f>
        <v/>
      </c>
      <c r="EL70" s="88" t="str">
        <f aca="false">IF($B70=EL$12,$O70,"")</f>
        <v/>
      </c>
      <c r="EM70" s="88" t="str">
        <f aca="false">IF($B70=EM$12,$O70,"")</f>
        <v/>
      </c>
      <c r="EN70" s="88" t="str">
        <f aca="false">IF($B70=EN$12,$O70,"")</f>
        <v/>
      </c>
      <c r="EO70" s="88" t="str">
        <f aca="false">IF($B70=EO$12,$O70,"")</f>
        <v/>
      </c>
      <c r="EP70" s="88" t="str">
        <f aca="false">IF($B70=EP$12,$O70,"")</f>
        <v/>
      </c>
      <c r="EQ70" s="88" t="str">
        <f aca="false">IF($B70=EQ$12,$O70,"")</f>
        <v/>
      </c>
      <c r="ER70" s="88" t="str">
        <f aca="false">IF($B70=ER$12,$O70,"")</f>
        <v/>
      </c>
      <c r="ES70" s="88" t="str">
        <f aca="false">IF($B70=ES$12,$O70,"")</f>
        <v/>
      </c>
      <c r="ET70" s="88" t="str">
        <f aca="false">IF($B70=ET$12,$O70,"")</f>
        <v/>
      </c>
      <c r="EU70" s="88" t="str">
        <f aca="false">IF($B70=EU$12,$O70,"")</f>
        <v/>
      </c>
      <c r="EV70" s="88" t="str">
        <f aca="false">IF($B70=EV$12,$O70,"")</f>
        <v/>
      </c>
      <c r="EW70" s="88" t="str">
        <f aca="false">IF($B70=EW$12,$O70,"")</f>
        <v/>
      </c>
      <c r="EX70" s="88" t="str">
        <f aca="false">IF($B70=EX$12,$O70,"")</f>
        <v/>
      </c>
      <c r="EY70" s="88" t="str">
        <f aca="false">IF($B70=EY$12,$O70,"")</f>
        <v/>
      </c>
      <c r="EZ70" s="88" t="str">
        <f aca="false">IF($B70=EZ$12,$O70,"")</f>
        <v/>
      </c>
      <c r="FA70" s="88" t="str">
        <f aca="false">IF($B70=FA$12,$O70,"")</f>
        <v/>
      </c>
      <c r="FB70" s="88" t="str">
        <f aca="false">IF($B70=FB$12,$O70,"")</f>
        <v/>
      </c>
      <c r="FC70" s="88" t="str">
        <f aca="false">IF($B70=FC$12,$O70,"")</f>
        <v/>
      </c>
      <c r="FD70" s="88" t="str">
        <f aca="false">IF($B70=FD$12,$O70,"")</f>
        <v/>
      </c>
      <c r="FE70" s="88" t="str">
        <f aca="false">IF($B70=FE$12,$O70,"")</f>
        <v/>
      </c>
      <c r="FF70" s="88" t="str">
        <f aca="false">IF($B70=FF$12,$O70,"")</f>
        <v/>
      </c>
      <c r="FG70" s="88" t="str">
        <f aca="false">IF($B70=FG$12,$O70,"")</f>
        <v/>
      </c>
      <c r="FH70" s="88" t="str">
        <f aca="false">IF($B70=FH$12,$O70,"")</f>
        <v/>
      </c>
      <c r="FI70" s="88" t="str">
        <f aca="false">IF($B70=FI$12,$O70,"")</f>
        <v/>
      </c>
      <c r="FJ70" s="88" t="str">
        <f aca="false">IF($B70=FJ$12,$O70,"")</f>
        <v/>
      </c>
      <c r="FK70" s="88" t="str">
        <f aca="false">IF($B70=FK$12,$O70,"")</f>
        <v/>
      </c>
      <c r="FL70" s="88" t="str">
        <f aca="false">IF($B70=FL$12,$O70,"")</f>
        <v/>
      </c>
      <c r="FM70" s="88" t="str">
        <f aca="false">IF($B70=FM$12,$O70,"")</f>
        <v/>
      </c>
      <c r="FN70" s="88" t="str">
        <f aca="false">IF($B70=FN$12,$O70,"")</f>
        <v/>
      </c>
      <c r="FO70" s="88" t="str">
        <f aca="false">IF($B70=FO$12,$O70,"")</f>
        <v/>
      </c>
      <c r="FP70" s="88" t="str">
        <f aca="false">IF($B70=FP$12,$O70,"")</f>
        <v/>
      </c>
      <c r="FQ70" s="88" t="str">
        <f aca="false">IF($B70=FQ$12,$O70,"")</f>
        <v/>
      </c>
      <c r="FR70" s="88" t="str">
        <f aca="false">IF($B70=FR$12,$O70,"")</f>
        <v/>
      </c>
      <c r="FS70" s="88" t="str">
        <f aca="false">IF($B70=FS$12,$O70,"")</f>
        <v/>
      </c>
      <c r="FT70" s="88" t="str">
        <f aca="false">IF($B70=FT$12,$O70,"")</f>
        <v/>
      </c>
      <c r="FU70" s="88" t="str">
        <f aca="false">IF($B70=FU$12,$O70,"")</f>
        <v/>
      </c>
      <c r="FV70" s="88" t="str">
        <f aca="false">IF($B70=FV$12,$O70,"")</f>
        <v/>
      </c>
      <c r="FW70" s="88" t="str">
        <f aca="false">IF($B70=FW$12,$O70,"")</f>
        <v/>
      </c>
      <c r="FX70" s="88" t="str">
        <f aca="false">IF($B70=FX$12,$O70,"")</f>
        <v/>
      </c>
      <c r="FY70" s="88" t="str">
        <f aca="false">IF($B70=FY$12,$O70,"")</f>
        <v/>
      </c>
      <c r="FZ70" s="88" t="str">
        <f aca="false">IF($B70=FZ$12,$O70,"")</f>
        <v/>
      </c>
      <c r="GA70" s="88" t="str">
        <f aca="false">IF($B70=GA$12,$O70,"")</f>
        <v/>
      </c>
      <c r="GB70" s="88" t="str">
        <f aca="false">IF($B70=GB$12,$O70,"")</f>
        <v/>
      </c>
      <c r="GC70" s="88" t="str">
        <f aca="false">IF($B70=GC$12,$O70,"")</f>
        <v/>
      </c>
      <c r="GD70" s="88" t="str">
        <f aca="false">IF($B70=GD$12,$O70,"")</f>
        <v/>
      </c>
      <c r="GE70" s="88" t="str">
        <f aca="false">IF($B70=GE$12,$O70,"")</f>
        <v/>
      </c>
      <c r="GF70" s="88" t="str">
        <f aca="false">IF($B70=GF$12,$O70,"")</f>
        <v/>
      </c>
      <c r="GG70" s="88" t="str">
        <f aca="false">IF($B70=GG$12,$O70,"")</f>
        <v/>
      </c>
      <c r="GH70" s="88" t="str">
        <f aca="false">IF($B70=GH$12,$O70,"")</f>
        <v/>
      </c>
      <c r="GI70" s="88" t="str">
        <f aca="false">IF($B70=GI$12,$O70,"")</f>
        <v/>
      </c>
      <c r="GJ70" s="88" t="str">
        <f aca="false">IF($B70=GJ$12,$O70,"")</f>
        <v/>
      </c>
      <c r="GK70" s="88" t="str">
        <f aca="false">IF($B70=GK$12,$O70,"")</f>
        <v/>
      </c>
      <c r="GL70" s="88" t="str">
        <f aca="false">IF($B70=GL$12,$O70,"")</f>
        <v/>
      </c>
      <c r="GM70" s="88" t="str">
        <f aca="false">IF($B70=GM$12,$O70,"")</f>
        <v/>
      </c>
      <c r="GN70" s="88" t="str">
        <f aca="false">IF($B70=GN$12,$O70,"")</f>
        <v/>
      </c>
      <c r="GO70" s="88" t="str">
        <f aca="false">IF($B70=GO$12,$O70,"")</f>
        <v/>
      </c>
      <c r="GP70" s="88" t="str">
        <f aca="false">IF($B70=GP$12,$O70,"")</f>
        <v/>
      </c>
      <c r="GQ70" s="88" t="str">
        <f aca="false">IF($B70=GQ$12,$O70,"")</f>
        <v/>
      </c>
      <c r="GR70" s="88" t="str">
        <f aca="false">IF($B70=GR$12,$O70,"")</f>
        <v/>
      </c>
      <c r="GS70" s="88" t="str">
        <f aca="false">IF($B70=GS$12,$O70,"")</f>
        <v/>
      </c>
      <c r="GT70" s="88" t="str">
        <f aca="false">IF($B70=GT$12,$O70,"")</f>
        <v/>
      </c>
      <c r="GU70" s="88" t="str">
        <f aca="false">IF($B70=GU$12,$O70,"")</f>
        <v/>
      </c>
      <c r="GV70" s="88" t="str">
        <f aca="false">IF($B70=GV$12,$O70,"")</f>
        <v/>
      </c>
      <c r="GW70" s="88" t="str">
        <f aca="false">IF($B70=GW$12,$O70,"")</f>
        <v/>
      </c>
      <c r="GX70" s="88" t="str">
        <f aca="false">IF($B70=GX$12,$O70,"")</f>
        <v/>
      </c>
      <c r="GY70" s="88" t="str">
        <f aca="false">IF($B70=GY$12,$O70,"")</f>
        <v/>
      </c>
      <c r="GZ70" s="88" t="str">
        <f aca="false">IF($B70=GZ$12,$O70,"")</f>
        <v/>
      </c>
      <c r="HA70" s="88" t="str">
        <f aca="false">IF($B70=HA$12,$O70,"")</f>
        <v/>
      </c>
      <c r="HB70" s="88" t="str">
        <f aca="false">IF($B70=HB$12,$O70,"")</f>
        <v/>
      </c>
      <c r="HC70" s="88" t="str">
        <f aca="false">IF($B70=HC$12,$O70,"")</f>
        <v/>
      </c>
      <c r="HD70" s="88" t="str">
        <f aca="false">IF($B70=HD$12,$O70,"")</f>
        <v/>
      </c>
      <c r="HE70" s="88" t="str">
        <f aca="false">IF($B70=HE$12,$O70,"")</f>
        <v/>
      </c>
      <c r="HF70" s="88" t="str">
        <f aca="false">IF($B70=HF$12,$O70,"")</f>
        <v/>
      </c>
      <c r="HG70" s="88" t="str">
        <f aca="false">IF($B70=HG$12,$O70,"")</f>
        <v/>
      </c>
      <c r="HH70" s="88" t="str">
        <f aca="false">IF($B70=HH$12,$O70,"")</f>
        <v/>
      </c>
      <c r="HI70" s="88" t="str">
        <f aca="false">IF($B70=HI$12,$O70,"")</f>
        <v/>
      </c>
      <c r="HJ70" s="88" t="str">
        <f aca="false">IF($B70=HJ$12,$O70,"")</f>
        <v/>
      </c>
      <c r="HK70" s="88" t="str">
        <f aca="false">IF($B70=HK$12,$O70,"")</f>
        <v/>
      </c>
      <c r="HL70" s="88" t="str">
        <f aca="false">IF($B70=HL$12,$O70,"")</f>
        <v/>
      </c>
      <c r="HM70" s="88" t="str">
        <f aca="false">IF($B70=HM$12,$O70,"")</f>
        <v/>
      </c>
      <c r="HN70" s="88" t="str">
        <f aca="false">IF($B70=HN$12,$O70,"")</f>
        <v/>
      </c>
      <c r="HO70" s="88" t="str">
        <f aca="false">IF($B70=HO$12,$O70,"")</f>
        <v/>
      </c>
      <c r="HP70" s="88" t="str">
        <f aca="false">IF($B70=HP$12,$O70,"")</f>
        <v/>
      </c>
      <c r="HQ70" s="88" t="str">
        <f aca="false">IF($B70=HQ$12,$O70,"")</f>
        <v/>
      </c>
      <c r="HR70" s="89" t="str">
        <f aca="false">IF($B70=HR$12,$O70,"")</f>
        <v/>
      </c>
    </row>
    <row r="71" customFormat="false" ht="10.5" hidden="false" customHeight="true" outlineLevel="0" collapsed="false">
      <c r="A71" s="73"/>
      <c r="B71" s="74"/>
      <c r="C71" s="75" t="str">
        <f aca="false">IF(A71=0,"",VLOOKUP(A71,[3]CO!$A$3:$F$5311,2,0))</f>
        <v/>
      </c>
      <c r="D71" s="76"/>
      <c r="E71" s="76"/>
      <c r="F71" s="76"/>
      <c r="G71" s="77" t="str">
        <f aca="false">IF(A71=0,"",VLOOKUP(A71,[3]CO!$A$3:$F$5311,3,0))</f>
        <v/>
      </c>
      <c r="H71" s="76"/>
      <c r="I71" s="78"/>
      <c r="J71" s="78"/>
      <c r="K71" s="78"/>
      <c r="L71" s="78"/>
      <c r="M71" s="79" t="str">
        <f aca="false">IF(L71=0,"",PRODUCT(I71:L71))</f>
        <v/>
      </c>
      <c r="N71" s="79" t="str">
        <f aca="false">IF(B71=0,"",IF(H71="M",HLOOKUP(B71,$Y$12:$DT$13,2),IF(A71=0,"",VLOOKUP(A71,[3]CO!$A$3:$F$5311,4,0))))</f>
        <v/>
      </c>
      <c r="O71" s="79" t="str">
        <f aca="false">IF(L71=0,"",PRODUCT(M71:N71))</f>
        <v/>
      </c>
      <c r="P71" s="80"/>
      <c r="Q71" s="81" t="str">
        <f aca="false">IF(P71=0,"",(HLOOKUP(P71,$DW$12:$HR$13,2)))</f>
        <v/>
      </c>
      <c r="R71" s="82" t="str">
        <f aca="false">IF(S71=0,"",IF(OR(G71="PEON",G71="OF",G71="JARD",G71="CARP",G71="MAESTRO",G71="SOLD",G71="BGRO",G71="CHOFER",G71="AYTE",G71="S.INTTE.",G71="ASEO",G71="P.PISOS",G71="VELADOR",G71="RESID",G71="PINTOR",G71="ELECT",G71="AZULE",G71="AUX CONT.",G71="SECRETARIA",G71="AUXILIAR ADMTVO.",G71="ARQUITECTO",G71="DIBUJANTE",G71="AUX. DE RESIDENTE"),VLOOKUP(B71,P$14:Q$131,2),"")*S71)</f>
        <v/>
      </c>
      <c r="S71" s="5"/>
      <c r="T71" s="65" t="str">
        <f aca="false">IF(A71=0,"",VLOOKUP(A71,[3]CO!$A$3:$F$5302,5,0))</f>
        <v/>
      </c>
      <c r="U71" s="55" t="n">
        <f aca="false">IF(T71=1,O71*0.1,)</f>
        <v>0</v>
      </c>
      <c r="V71" s="66"/>
      <c r="W71" s="83"/>
      <c r="X71" s="83"/>
      <c r="Y71" s="84" t="str">
        <f aca="false">IF($B71=Y$12,$U71,"")</f>
        <v/>
      </c>
      <c r="Z71" s="85" t="str">
        <f aca="false">IF($B71=Z$12,$U71,"")</f>
        <v/>
      </c>
      <c r="AA71" s="85" t="str">
        <f aca="false">IF($B71=AA$12,$U71,"")</f>
        <v/>
      </c>
      <c r="AB71" s="85" t="str">
        <f aca="false">IF($B71=AB$12,$U71,"")</f>
        <v/>
      </c>
      <c r="AC71" s="85" t="str">
        <f aca="false">IF($B71=AC$12,$U71,"")</f>
        <v/>
      </c>
      <c r="AD71" s="85" t="str">
        <f aca="false">IF($B71=AD$12,$U71,"")</f>
        <v/>
      </c>
      <c r="AE71" s="85" t="str">
        <f aca="false">IF($B71=AE$12,$U71,"")</f>
        <v/>
      </c>
      <c r="AF71" s="85" t="str">
        <f aca="false">IF($B71=AF$12,$U71,"")</f>
        <v/>
      </c>
      <c r="AG71" s="85" t="str">
        <f aca="false">IF($B71=AG$12,$U71,"")</f>
        <v/>
      </c>
      <c r="AH71" s="85" t="str">
        <f aca="false">IF($B71=AH$12,$U71,"")</f>
        <v/>
      </c>
      <c r="AI71" s="85" t="str">
        <f aca="false">IF($B71=AI$12,$U71,"")</f>
        <v/>
      </c>
      <c r="AJ71" s="85" t="str">
        <f aca="false">IF($B71=AJ$12,$U71,"")</f>
        <v/>
      </c>
      <c r="AK71" s="85" t="str">
        <f aca="false">IF($B71=AK$12,$U71,"")</f>
        <v/>
      </c>
      <c r="AL71" s="85" t="str">
        <f aca="false">IF($B71=AL$12,$U71,"")</f>
        <v/>
      </c>
      <c r="AM71" s="85" t="str">
        <f aca="false">IF($B71=AM$12,$U71,"")</f>
        <v/>
      </c>
      <c r="AN71" s="85" t="str">
        <f aca="false">IF($B71=AN$12,$U71,"")</f>
        <v/>
      </c>
      <c r="AO71" s="85" t="str">
        <f aca="false">IF($B71=AO$12,$U71,"")</f>
        <v/>
      </c>
      <c r="AP71" s="85" t="str">
        <f aca="false">IF($B71=AP$12,$U71,"")</f>
        <v/>
      </c>
      <c r="AQ71" s="85" t="str">
        <f aca="false">IF($B71=AQ$12,$U71,"")</f>
        <v/>
      </c>
      <c r="AR71" s="85" t="str">
        <f aca="false">IF($B71=AR$12,$U71,"")</f>
        <v/>
      </c>
      <c r="AS71" s="85" t="str">
        <f aca="false">IF($B71=AS$12,$U71,"")</f>
        <v/>
      </c>
      <c r="AT71" s="85" t="str">
        <f aca="false">IF($B71=AT$12,$U71,"")</f>
        <v/>
      </c>
      <c r="AU71" s="85" t="str">
        <f aca="false">IF($B71=AU$12,$U71,"")</f>
        <v/>
      </c>
      <c r="AV71" s="85" t="str">
        <f aca="false">IF($B71=AV$12,$U71,"")</f>
        <v/>
      </c>
      <c r="AW71" s="85" t="str">
        <f aca="false">IF($B71=AW$12,$U71,"")</f>
        <v/>
      </c>
      <c r="AX71" s="85" t="str">
        <f aca="false">IF($B71=AX$12,$U71,"")</f>
        <v/>
      </c>
      <c r="AY71" s="85" t="str">
        <f aca="false">IF($B71=AY$12,$U71,"")</f>
        <v/>
      </c>
      <c r="AZ71" s="85" t="str">
        <f aca="false">IF($B71=AZ$12,$U71,"")</f>
        <v/>
      </c>
      <c r="BA71" s="85" t="str">
        <f aca="false">IF($B71=BA$12,$U71,"")</f>
        <v/>
      </c>
      <c r="BB71" s="85" t="str">
        <f aca="false">IF($B71=BB$12,$U71,"")</f>
        <v/>
      </c>
      <c r="BC71" s="85" t="str">
        <f aca="false">IF($B71=BC$12,$U71,"")</f>
        <v/>
      </c>
      <c r="BD71" s="85" t="str">
        <f aca="false">IF($B71=BD$12,$U71,"")</f>
        <v/>
      </c>
      <c r="BE71" s="85" t="str">
        <f aca="false">IF($B71=BE$12,$U71,"")</f>
        <v/>
      </c>
      <c r="BF71" s="85" t="str">
        <f aca="false">IF($B71=BF$12,$U71,"")</f>
        <v/>
      </c>
      <c r="BG71" s="85" t="str">
        <f aca="false">IF($B71=BG$12,$U71,"")</f>
        <v/>
      </c>
      <c r="BH71" s="85" t="str">
        <f aca="false">IF($B71=BH$12,$U71,"")</f>
        <v/>
      </c>
      <c r="BI71" s="85" t="str">
        <f aca="false">IF($B71=BI$12,$U71,"")</f>
        <v/>
      </c>
      <c r="BJ71" s="85" t="str">
        <f aca="false">IF($B71=BJ$12,$U71,"")</f>
        <v/>
      </c>
      <c r="BK71" s="85" t="str">
        <f aca="false">IF($B71=BK$12,$U71,"")</f>
        <v/>
      </c>
      <c r="BL71" s="85" t="str">
        <f aca="false">IF($B71=BL$12,$U71,"")</f>
        <v/>
      </c>
      <c r="BM71" s="85" t="str">
        <f aca="false">IF($B71=BM$12,$U71,"")</f>
        <v/>
      </c>
      <c r="BN71" s="85" t="str">
        <f aca="false">IF($B71=BN$12,$U71,"")</f>
        <v/>
      </c>
      <c r="BO71" s="85" t="str">
        <f aca="false">IF($B71=BO$12,$U71,"")</f>
        <v/>
      </c>
      <c r="BP71" s="85" t="str">
        <f aca="false">IF($B71=BP$12,$U71,"")</f>
        <v/>
      </c>
      <c r="BQ71" s="85" t="str">
        <f aca="false">IF($B71=BQ$12,$U71,"")</f>
        <v/>
      </c>
      <c r="BR71" s="85" t="str">
        <f aca="false">IF($B71=BR$12,$U71,"")</f>
        <v/>
      </c>
      <c r="BS71" s="85" t="str">
        <f aca="false">IF($B71=BS$12,$U71,"")</f>
        <v/>
      </c>
      <c r="BT71" s="85" t="str">
        <f aca="false">IF($B71=BT$12,$U71,"")</f>
        <v/>
      </c>
      <c r="BU71" s="85" t="str">
        <f aca="false">IF($B71=BU$12,$U71,"")</f>
        <v/>
      </c>
      <c r="BV71" s="85" t="str">
        <f aca="false">IF($B71=BV$12,$U71,"")</f>
        <v/>
      </c>
      <c r="BW71" s="85" t="str">
        <f aca="false">IF($B71=BW$12,$U71,"")</f>
        <v/>
      </c>
      <c r="BX71" s="85" t="str">
        <f aca="false">IF($B71=BX$12,$U71,"")</f>
        <v/>
      </c>
      <c r="BY71" s="85" t="str">
        <f aca="false">IF($B71=BY$12,$U71,"")</f>
        <v/>
      </c>
      <c r="BZ71" s="85" t="str">
        <f aca="false">IF($B71=BZ$12,$U71,"")</f>
        <v/>
      </c>
      <c r="CA71" s="85" t="str">
        <f aca="false">IF($B71=CA$12,$U71,"")</f>
        <v/>
      </c>
      <c r="CB71" s="85" t="str">
        <f aca="false">IF($B71=CB$12,$U71,"")</f>
        <v/>
      </c>
      <c r="CC71" s="85" t="str">
        <f aca="false">IF($B71=CC$12,$U71,"")</f>
        <v/>
      </c>
      <c r="CD71" s="85" t="str">
        <f aca="false">IF($B71=CD$12,$U71,"")</f>
        <v/>
      </c>
      <c r="CE71" s="85" t="str">
        <f aca="false">IF($B71=CE$12,$U71,"")</f>
        <v/>
      </c>
      <c r="CF71" s="85" t="str">
        <f aca="false">IF($B71=CF$12,$U71,"")</f>
        <v/>
      </c>
      <c r="CG71" s="85" t="str">
        <f aca="false">IF($B71=CG$12,$U71,"")</f>
        <v/>
      </c>
      <c r="CH71" s="85" t="str">
        <f aca="false">IF($B71=CH$12,$U71,"")</f>
        <v/>
      </c>
      <c r="CI71" s="85" t="str">
        <f aca="false">IF($B71=CI$12,$U71,"")</f>
        <v/>
      </c>
      <c r="CJ71" s="85" t="str">
        <f aca="false">IF($B71=CJ$12,$U71,"")</f>
        <v/>
      </c>
      <c r="CK71" s="85" t="str">
        <f aca="false">IF($B71=CK$12,$U71,"")</f>
        <v/>
      </c>
      <c r="CL71" s="85" t="str">
        <f aca="false">IF($B71=CL$12,$U71,"")</f>
        <v/>
      </c>
      <c r="CM71" s="85" t="str">
        <f aca="false">IF($B71=CM$12,$U71,"")</f>
        <v/>
      </c>
      <c r="CN71" s="85" t="str">
        <f aca="false">IF($B71=CN$12,$U71,"")</f>
        <v/>
      </c>
      <c r="CO71" s="85" t="str">
        <f aca="false">IF($B71=CO$12,$U71,"")</f>
        <v/>
      </c>
      <c r="CP71" s="85" t="str">
        <f aca="false">IF($B71=CP$12,$U71,"")</f>
        <v/>
      </c>
      <c r="CQ71" s="85" t="str">
        <f aca="false">IF($B71=CQ$12,$U71,"")</f>
        <v/>
      </c>
      <c r="CR71" s="85" t="str">
        <f aca="false">IF($B71=CR$12,$U71,"")</f>
        <v/>
      </c>
      <c r="CS71" s="85" t="str">
        <f aca="false">IF($B71=CS$12,$U71,"")</f>
        <v/>
      </c>
      <c r="CT71" s="85" t="str">
        <f aca="false">IF($B71=CT$12,$U71,"")</f>
        <v/>
      </c>
      <c r="CU71" s="85" t="str">
        <f aca="false">IF($B71=CU$12,$U71,"")</f>
        <v/>
      </c>
      <c r="CV71" s="85" t="str">
        <f aca="false">IF($B71=CV$12,$U71,"")</f>
        <v/>
      </c>
      <c r="CW71" s="85" t="str">
        <f aca="false">IF($B71=CW$12,$U71,"")</f>
        <v/>
      </c>
      <c r="CX71" s="85" t="str">
        <f aca="false">IF($B71=CX$12,$U71,"")</f>
        <v/>
      </c>
      <c r="CY71" s="85" t="str">
        <f aca="false">IF($B71=CY$12,$U71,"")</f>
        <v/>
      </c>
      <c r="CZ71" s="85" t="str">
        <f aca="false">IF($B71=CZ$12,$U71,"")</f>
        <v/>
      </c>
      <c r="DA71" s="85" t="str">
        <f aca="false">IF($B71=DA$12,$U71,"")</f>
        <v/>
      </c>
      <c r="DB71" s="85" t="str">
        <f aca="false">IF($B71=DB$12,$U71,"")</f>
        <v/>
      </c>
      <c r="DC71" s="85" t="str">
        <f aca="false">IF($B71=DC$12,$U71,"")</f>
        <v/>
      </c>
      <c r="DD71" s="85" t="str">
        <f aca="false">IF($B71=DD$12,$U71,"")</f>
        <v/>
      </c>
      <c r="DE71" s="85" t="str">
        <f aca="false">IF($B71=DE$12,$U71,"")</f>
        <v/>
      </c>
      <c r="DF71" s="85" t="str">
        <f aca="false">IF($B71=DF$12,$U71,"")</f>
        <v/>
      </c>
      <c r="DG71" s="85" t="str">
        <f aca="false">IF($B71=DG$12,$U71,"")</f>
        <v/>
      </c>
      <c r="DH71" s="85" t="str">
        <f aca="false">IF($B71=DH$12,$U71,"")</f>
        <v/>
      </c>
      <c r="DI71" s="85" t="str">
        <f aca="false">IF($B71=DI$12,$U71,"")</f>
        <v/>
      </c>
      <c r="DJ71" s="85" t="str">
        <f aca="false">IF($B71=DJ$12,$U71,"")</f>
        <v/>
      </c>
      <c r="DK71" s="85" t="str">
        <f aca="false">IF($B71=DK$12,$U71,"")</f>
        <v/>
      </c>
      <c r="DL71" s="85" t="str">
        <f aca="false">IF($B71=DL$12,$U71,"")</f>
        <v/>
      </c>
      <c r="DM71" s="85" t="str">
        <f aca="false">IF($B71=DM$12,$U71,"")</f>
        <v/>
      </c>
      <c r="DN71" s="85" t="str">
        <f aca="false">IF($B71=DN$12,$U71,"")</f>
        <v/>
      </c>
      <c r="DO71" s="85" t="str">
        <f aca="false">IF($B71=DO$12,$U71,"")</f>
        <v/>
      </c>
      <c r="DP71" s="85" t="str">
        <f aca="false">IF($B71=DP$12,$U71,"")</f>
        <v/>
      </c>
      <c r="DQ71" s="85" t="str">
        <f aca="false">IF($B71=DQ$12,$U71,"")</f>
        <v/>
      </c>
      <c r="DR71" s="85" t="str">
        <f aca="false">IF($B71=DR$12,$U71,"")</f>
        <v/>
      </c>
      <c r="DS71" s="85" t="str">
        <f aca="false">IF($B71=DS$12,$U71,"")</f>
        <v/>
      </c>
      <c r="DT71" s="86" t="str">
        <f aca="false">IF($B71=DT$12,$U71,"")</f>
        <v/>
      </c>
      <c r="DU71" s="55"/>
      <c r="DV71" s="83"/>
      <c r="DW71" s="87" t="str">
        <f aca="false">IF($B71=DW$12,$O71,"")</f>
        <v/>
      </c>
      <c r="DX71" s="88" t="str">
        <f aca="false">IF($B71=DX$12,$O71,"")</f>
        <v/>
      </c>
      <c r="DY71" s="88" t="str">
        <f aca="false">IF($B71=DY$12,$O71,"")</f>
        <v/>
      </c>
      <c r="DZ71" s="88" t="str">
        <f aca="false">IF($B71=DZ$12,$O71,"")</f>
        <v/>
      </c>
      <c r="EA71" s="88" t="str">
        <f aca="false">IF($B71=EA$12,$O71,"")</f>
        <v/>
      </c>
      <c r="EB71" s="88" t="str">
        <f aca="false">IF($B71=EB$12,$O71,"")</f>
        <v/>
      </c>
      <c r="EC71" s="88" t="str">
        <f aca="false">IF($B71=EC$12,$O71,"")</f>
        <v/>
      </c>
      <c r="ED71" s="88" t="str">
        <f aca="false">IF($B71=ED$12,$O71,"")</f>
        <v/>
      </c>
      <c r="EE71" s="88" t="str">
        <f aca="false">IF($B71=EE$12,$O71,"")</f>
        <v/>
      </c>
      <c r="EF71" s="88" t="str">
        <f aca="false">IF($B71=EF$12,$O71,"")</f>
        <v/>
      </c>
      <c r="EG71" s="88" t="str">
        <f aca="false">IF($B71=EG$12,$O71,"")</f>
        <v/>
      </c>
      <c r="EH71" s="88" t="str">
        <f aca="false">IF($B71=EH$12,$O71,"")</f>
        <v/>
      </c>
      <c r="EI71" s="88" t="str">
        <f aca="false">IF($B71=EI$12,$O71,"")</f>
        <v/>
      </c>
      <c r="EJ71" s="88" t="str">
        <f aca="false">IF($B71=EJ$12,$O71,"")</f>
        <v/>
      </c>
      <c r="EK71" s="88" t="str">
        <f aca="false">IF($B71=EK$12,$O71,"")</f>
        <v/>
      </c>
      <c r="EL71" s="88" t="str">
        <f aca="false">IF($B71=EL$12,$O71,"")</f>
        <v/>
      </c>
      <c r="EM71" s="88" t="str">
        <f aca="false">IF($B71=EM$12,$O71,"")</f>
        <v/>
      </c>
      <c r="EN71" s="88" t="str">
        <f aca="false">IF($B71=EN$12,$O71,"")</f>
        <v/>
      </c>
      <c r="EO71" s="88" t="str">
        <f aca="false">IF($B71=EO$12,$O71,"")</f>
        <v/>
      </c>
      <c r="EP71" s="88" t="str">
        <f aca="false">IF($B71=EP$12,$O71,"")</f>
        <v/>
      </c>
      <c r="EQ71" s="88" t="str">
        <f aca="false">IF($B71=EQ$12,$O71,"")</f>
        <v/>
      </c>
      <c r="ER71" s="88" t="str">
        <f aca="false">IF($B71=ER$12,$O71,"")</f>
        <v/>
      </c>
      <c r="ES71" s="88" t="str">
        <f aca="false">IF($B71=ES$12,$O71,"")</f>
        <v/>
      </c>
      <c r="ET71" s="88" t="str">
        <f aca="false">IF($B71=ET$12,$O71,"")</f>
        <v/>
      </c>
      <c r="EU71" s="88" t="str">
        <f aca="false">IF($B71=EU$12,$O71,"")</f>
        <v/>
      </c>
      <c r="EV71" s="88" t="str">
        <f aca="false">IF($B71=EV$12,$O71,"")</f>
        <v/>
      </c>
      <c r="EW71" s="88" t="str">
        <f aca="false">IF($B71=EW$12,$O71,"")</f>
        <v/>
      </c>
      <c r="EX71" s="88" t="str">
        <f aca="false">IF($B71=EX$12,$O71,"")</f>
        <v/>
      </c>
      <c r="EY71" s="88" t="str">
        <f aca="false">IF($B71=EY$12,$O71,"")</f>
        <v/>
      </c>
      <c r="EZ71" s="88" t="str">
        <f aca="false">IF($B71=EZ$12,$O71,"")</f>
        <v/>
      </c>
      <c r="FA71" s="88" t="str">
        <f aca="false">IF($B71=FA$12,$O71,"")</f>
        <v/>
      </c>
      <c r="FB71" s="88" t="str">
        <f aca="false">IF($B71=FB$12,$O71,"")</f>
        <v/>
      </c>
      <c r="FC71" s="88" t="str">
        <f aca="false">IF($B71=FC$12,$O71,"")</f>
        <v/>
      </c>
      <c r="FD71" s="88" t="str">
        <f aca="false">IF($B71=FD$12,$O71,"")</f>
        <v/>
      </c>
      <c r="FE71" s="88" t="str">
        <f aca="false">IF($B71=FE$12,$O71,"")</f>
        <v/>
      </c>
      <c r="FF71" s="88" t="str">
        <f aca="false">IF($B71=FF$12,$O71,"")</f>
        <v/>
      </c>
      <c r="FG71" s="88" t="str">
        <f aca="false">IF($B71=FG$12,$O71,"")</f>
        <v/>
      </c>
      <c r="FH71" s="88" t="str">
        <f aca="false">IF($B71=FH$12,$O71,"")</f>
        <v/>
      </c>
      <c r="FI71" s="88" t="str">
        <f aca="false">IF($B71=FI$12,$O71,"")</f>
        <v/>
      </c>
      <c r="FJ71" s="88" t="str">
        <f aca="false">IF($B71=FJ$12,$O71,"")</f>
        <v/>
      </c>
      <c r="FK71" s="88" t="str">
        <f aca="false">IF($B71=FK$12,$O71,"")</f>
        <v/>
      </c>
      <c r="FL71" s="88" t="str">
        <f aca="false">IF($B71=FL$12,$O71,"")</f>
        <v/>
      </c>
      <c r="FM71" s="88" t="str">
        <f aca="false">IF($B71=FM$12,$O71,"")</f>
        <v/>
      </c>
      <c r="FN71" s="88" t="str">
        <f aca="false">IF($B71=FN$12,$O71,"")</f>
        <v/>
      </c>
      <c r="FO71" s="88" t="str">
        <f aca="false">IF($B71=FO$12,$O71,"")</f>
        <v/>
      </c>
      <c r="FP71" s="88" t="str">
        <f aca="false">IF($B71=FP$12,$O71,"")</f>
        <v/>
      </c>
      <c r="FQ71" s="88" t="str">
        <f aca="false">IF($B71=FQ$12,$O71,"")</f>
        <v/>
      </c>
      <c r="FR71" s="88" t="str">
        <f aca="false">IF($B71=FR$12,$O71,"")</f>
        <v/>
      </c>
      <c r="FS71" s="88" t="str">
        <f aca="false">IF($B71=FS$12,$O71,"")</f>
        <v/>
      </c>
      <c r="FT71" s="88" t="str">
        <f aca="false">IF($B71=FT$12,$O71,"")</f>
        <v/>
      </c>
      <c r="FU71" s="88" t="str">
        <f aca="false">IF($B71=FU$12,$O71,"")</f>
        <v/>
      </c>
      <c r="FV71" s="88" t="str">
        <f aca="false">IF($B71=FV$12,$O71,"")</f>
        <v/>
      </c>
      <c r="FW71" s="88" t="str">
        <f aca="false">IF($B71=FW$12,$O71,"")</f>
        <v/>
      </c>
      <c r="FX71" s="88" t="str">
        <f aca="false">IF($B71=FX$12,$O71,"")</f>
        <v/>
      </c>
      <c r="FY71" s="88" t="str">
        <f aca="false">IF($B71=FY$12,$O71,"")</f>
        <v/>
      </c>
      <c r="FZ71" s="88" t="str">
        <f aca="false">IF($B71=FZ$12,$O71,"")</f>
        <v/>
      </c>
      <c r="GA71" s="88" t="str">
        <f aca="false">IF($B71=GA$12,$O71,"")</f>
        <v/>
      </c>
      <c r="GB71" s="88" t="str">
        <f aca="false">IF($B71=GB$12,$O71,"")</f>
        <v/>
      </c>
      <c r="GC71" s="88" t="str">
        <f aca="false">IF($B71=GC$12,$O71,"")</f>
        <v/>
      </c>
      <c r="GD71" s="88" t="str">
        <f aca="false">IF($B71=GD$12,$O71,"")</f>
        <v/>
      </c>
      <c r="GE71" s="88" t="str">
        <f aca="false">IF($B71=GE$12,$O71,"")</f>
        <v/>
      </c>
      <c r="GF71" s="88" t="str">
        <f aca="false">IF($B71=GF$12,$O71,"")</f>
        <v/>
      </c>
      <c r="GG71" s="88" t="str">
        <f aca="false">IF($B71=GG$12,$O71,"")</f>
        <v/>
      </c>
      <c r="GH71" s="88" t="str">
        <f aca="false">IF($B71=GH$12,$O71,"")</f>
        <v/>
      </c>
      <c r="GI71" s="88" t="str">
        <f aca="false">IF($B71=GI$12,$O71,"")</f>
        <v/>
      </c>
      <c r="GJ71" s="88" t="str">
        <f aca="false">IF($B71=GJ$12,$O71,"")</f>
        <v/>
      </c>
      <c r="GK71" s="88" t="str">
        <f aca="false">IF($B71=GK$12,$O71,"")</f>
        <v/>
      </c>
      <c r="GL71" s="88" t="str">
        <f aca="false">IF($B71=GL$12,$O71,"")</f>
        <v/>
      </c>
      <c r="GM71" s="88" t="str">
        <f aca="false">IF($B71=GM$12,$O71,"")</f>
        <v/>
      </c>
      <c r="GN71" s="88" t="str">
        <f aca="false">IF($B71=GN$12,$O71,"")</f>
        <v/>
      </c>
      <c r="GO71" s="88" t="str">
        <f aca="false">IF($B71=GO$12,$O71,"")</f>
        <v/>
      </c>
      <c r="GP71" s="88" t="str">
        <f aca="false">IF($B71=GP$12,$O71,"")</f>
        <v/>
      </c>
      <c r="GQ71" s="88" t="str">
        <f aca="false">IF($B71=GQ$12,$O71,"")</f>
        <v/>
      </c>
      <c r="GR71" s="88" t="str">
        <f aca="false">IF($B71=GR$12,$O71,"")</f>
        <v/>
      </c>
      <c r="GS71" s="88" t="str">
        <f aca="false">IF($B71=GS$12,$O71,"")</f>
        <v/>
      </c>
      <c r="GT71" s="88" t="str">
        <f aca="false">IF($B71=GT$12,$O71,"")</f>
        <v/>
      </c>
      <c r="GU71" s="88" t="str">
        <f aca="false">IF($B71=GU$12,$O71,"")</f>
        <v/>
      </c>
      <c r="GV71" s="88" t="str">
        <f aca="false">IF($B71=GV$12,$O71,"")</f>
        <v/>
      </c>
      <c r="GW71" s="88" t="str">
        <f aca="false">IF($B71=GW$12,$O71,"")</f>
        <v/>
      </c>
      <c r="GX71" s="88" t="str">
        <f aca="false">IF($B71=GX$12,$O71,"")</f>
        <v/>
      </c>
      <c r="GY71" s="88" t="str">
        <f aca="false">IF($B71=GY$12,$O71,"")</f>
        <v/>
      </c>
      <c r="GZ71" s="88" t="str">
        <f aca="false">IF($B71=GZ$12,$O71,"")</f>
        <v/>
      </c>
      <c r="HA71" s="88" t="str">
        <f aca="false">IF($B71=HA$12,$O71,"")</f>
        <v/>
      </c>
      <c r="HB71" s="88" t="str">
        <f aca="false">IF($B71=HB$12,$O71,"")</f>
        <v/>
      </c>
      <c r="HC71" s="88" t="str">
        <f aca="false">IF($B71=HC$12,$O71,"")</f>
        <v/>
      </c>
      <c r="HD71" s="88" t="str">
        <f aca="false">IF($B71=HD$12,$O71,"")</f>
        <v/>
      </c>
      <c r="HE71" s="88" t="str">
        <f aca="false">IF($B71=HE$12,$O71,"")</f>
        <v/>
      </c>
      <c r="HF71" s="88" t="str">
        <f aca="false">IF($B71=HF$12,$O71,"")</f>
        <v/>
      </c>
      <c r="HG71" s="88" t="str">
        <f aca="false">IF($B71=HG$12,$O71,"")</f>
        <v/>
      </c>
      <c r="HH71" s="88" t="str">
        <f aca="false">IF($B71=HH$12,$O71,"")</f>
        <v/>
      </c>
      <c r="HI71" s="88" t="str">
        <f aca="false">IF($B71=HI$12,$O71,"")</f>
        <v/>
      </c>
      <c r="HJ71" s="88" t="str">
        <f aca="false">IF($B71=HJ$12,$O71,"")</f>
        <v/>
      </c>
      <c r="HK71" s="88" t="str">
        <f aca="false">IF($B71=HK$12,$O71,"")</f>
        <v/>
      </c>
      <c r="HL71" s="88" t="str">
        <f aca="false">IF($B71=HL$12,$O71,"")</f>
        <v/>
      </c>
      <c r="HM71" s="88" t="str">
        <f aca="false">IF($B71=HM$12,$O71,"")</f>
        <v/>
      </c>
      <c r="HN71" s="88" t="str">
        <f aca="false">IF($B71=HN$12,$O71,"")</f>
        <v/>
      </c>
      <c r="HO71" s="88" t="str">
        <f aca="false">IF($B71=HO$12,$O71,"")</f>
        <v/>
      </c>
      <c r="HP71" s="88" t="str">
        <f aca="false">IF($B71=HP$12,$O71,"")</f>
        <v/>
      </c>
      <c r="HQ71" s="88" t="str">
        <f aca="false">IF($B71=HQ$12,$O71,"")</f>
        <v/>
      </c>
      <c r="HR71" s="89" t="str">
        <f aca="false">IF($B71=HR$12,$O71,"")</f>
        <v/>
      </c>
    </row>
    <row r="72" customFormat="false" ht="10.5" hidden="false" customHeight="true" outlineLevel="0" collapsed="false">
      <c r="A72" s="73"/>
      <c r="B72" s="74"/>
      <c r="C72" s="75" t="str">
        <f aca="false">IF(A72=0,"",VLOOKUP(A72,[3]CO!$A$3:$F$5311,2,0))</f>
        <v/>
      </c>
      <c r="D72" s="76"/>
      <c r="E72" s="76"/>
      <c r="F72" s="76"/>
      <c r="G72" s="77" t="str">
        <f aca="false">IF(A72=0,"",VLOOKUP(A72,[3]CO!$A$3:$F$5311,3,0))</f>
        <v/>
      </c>
      <c r="H72" s="76"/>
      <c r="I72" s="78"/>
      <c r="J72" s="78"/>
      <c r="K72" s="78"/>
      <c r="L72" s="78"/>
      <c r="M72" s="79" t="str">
        <f aca="false">IF(L72=0,"",PRODUCT(I72:L72))</f>
        <v/>
      </c>
      <c r="N72" s="79" t="str">
        <f aca="false">IF(B72=0,"",IF(H72="M",HLOOKUP(B72,$Y$12:$DT$13,2),IF(A72=0,"",VLOOKUP(A72,[3]CO!$A$3:$F$5311,4,0))))</f>
        <v/>
      </c>
      <c r="O72" s="79" t="str">
        <f aca="false">IF(L72=0,"",PRODUCT(M72:N72))</f>
        <v/>
      </c>
      <c r="P72" s="80"/>
      <c r="Q72" s="81" t="str">
        <f aca="false">IF(P72=0,"",(HLOOKUP(P72,$DW$12:$HR$13,2)))</f>
        <v/>
      </c>
      <c r="R72" s="82" t="str">
        <f aca="false">IF(S72=0,"",IF(OR(G72="PEON",G72="OF",G72="JARD",G72="CARP",G72="MAESTRO",G72="SOLD",G72="BGRO",G72="CHOFER",G72="AYTE",G72="S.INTTE.",G72="ASEO",G72="P.PISOS",G72="VELADOR",G72="RESID",G72="PINTOR",G72="ELECT",G72="AZULE",G72="AUX CONT.",G72="SECRETARIA",G72="AUXILIAR ADMTVO.",G72="ARQUITECTO",G72="DIBUJANTE",G72="AUX. DE RESIDENTE"),VLOOKUP(B72,P$14:Q$131,2),"")*S72)</f>
        <v/>
      </c>
      <c r="S72" s="5"/>
      <c r="T72" s="65" t="str">
        <f aca="false">IF(A72=0,"",VLOOKUP(A72,[3]CO!$A$3:$F$5302,5,0))</f>
        <v/>
      </c>
      <c r="U72" s="55" t="n">
        <f aca="false">IF(T72=1,O72*0.1,)</f>
        <v>0</v>
      </c>
      <c r="V72" s="66"/>
      <c r="W72" s="83"/>
      <c r="X72" s="83"/>
      <c r="Y72" s="84" t="str">
        <f aca="false">IF($B72=Y$12,$U72,"")</f>
        <v/>
      </c>
      <c r="Z72" s="85" t="str">
        <f aca="false">IF($B72=Z$12,$U72,"")</f>
        <v/>
      </c>
      <c r="AA72" s="85" t="str">
        <f aca="false">IF($B72=AA$12,$U72,"")</f>
        <v/>
      </c>
      <c r="AB72" s="85" t="str">
        <f aca="false">IF($B72=AB$12,$U72,"")</f>
        <v/>
      </c>
      <c r="AC72" s="85" t="str">
        <f aca="false">IF($B72=AC$12,$U72,"")</f>
        <v/>
      </c>
      <c r="AD72" s="85" t="str">
        <f aca="false">IF($B72=AD$12,$U72,"")</f>
        <v/>
      </c>
      <c r="AE72" s="85" t="str">
        <f aca="false">IF($B72=AE$12,$U72,"")</f>
        <v/>
      </c>
      <c r="AF72" s="85" t="str">
        <f aca="false">IF($B72=AF$12,$U72,"")</f>
        <v/>
      </c>
      <c r="AG72" s="85" t="str">
        <f aca="false">IF($B72=AG$12,$U72,"")</f>
        <v/>
      </c>
      <c r="AH72" s="85" t="str">
        <f aca="false">IF($B72=AH$12,$U72,"")</f>
        <v/>
      </c>
      <c r="AI72" s="85" t="str">
        <f aca="false">IF($B72=AI$12,$U72,"")</f>
        <v/>
      </c>
      <c r="AJ72" s="85" t="str">
        <f aca="false">IF($B72=AJ$12,$U72,"")</f>
        <v/>
      </c>
      <c r="AK72" s="85" t="str">
        <f aca="false">IF($B72=AK$12,$U72,"")</f>
        <v/>
      </c>
      <c r="AL72" s="85" t="str">
        <f aca="false">IF($B72=AL$12,$U72,"")</f>
        <v/>
      </c>
      <c r="AM72" s="85" t="str">
        <f aca="false">IF($B72=AM$12,$U72,"")</f>
        <v/>
      </c>
      <c r="AN72" s="85" t="str">
        <f aca="false">IF($B72=AN$12,$U72,"")</f>
        <v/>
      </c>
      <c r="AO72" s="85" t="str">
        <f aca="false">IF($B72=AO$12,$U72,"")</f>
        <v/>
      </c>
      <c r="AP72" s="85" t="str">
        <f aca="false">IF($B72=AP$12,$U72,"")</f>
        <v/>
      </c>
      <c r="AQ72" s="85" t="str">
        <f aca="false">IF($B72=AQ$12,$U72,"")</f>
        <v/>
      </c>
      <c r="AR72" s="85" t="str">
        <f aca="false">IF($B72=AR$12,$U72,"")</f>
        <v/>
      </c>
      <c r="AS72" s="85" t="str">
        <f aca="false">IF($B72=AS$12,$U72,"")</f>
        <v/>
      </c>
      <c r="AT72" s="85" t="str">
        <f aca="false">IF($B72=AT$12,$U72,"")</f>
        <v/>
      </c>
      <c r="AU72" s="85" t="str">
        <f aca="false">IF($B72=AU$12,$U72,"")</f>
        <v/>
      </c>
      <c r="AV72" s="85" t="str">
        <f aca="false">IF($B72=AV$12,$U72,"")</f>
        <v/>
      </c>
      <c r="AW72" s="85" t="str">
        <f aca="false">IF($B72=AW$12,$U72,"")</f>
        <v/>
      </c>
      <c r="AX72" s="85" t="str">
        <f aca="false">IF($B72=AX$12,$U72,"")</f>
        <v/>
      </c>
      <c r="AY72" s="85" t="str">
        <f aca="false">IF($B72=AY$12,$U72,"")</f>
        <v/>
      </c>
      <c r="AZ72" s="85" t="str">
        <f aca="false">IF($B72=AZ$12,$U72,"")</f>
        <v/>
      </c>
      <c r="BA72" s="85" t="str">
        <f aca="false">IF($B72=BA$12,$U72,"")</f>
        <v/>
      </c>
      <c r="BB72" s="85" t="str">
        <f aca="false">IF($B72=BB$12,$U72,"")</f>
        <v/>
      </c>
      <c r="BC72" s="85" t="str">
        <f aca="false">IF($B72=BC$12,$U72,"")</f>
        <v/>
      </c>
      <c r="BD72" s="85" t="str">
        <f aca="false">IF($B72=BD$12,$U72,"")</f>
        <v/>
      </c>
      <c r="BE72" s="85" t="str">
        <f aca="false">IF($B72=BE$12,$U72,"")</f>
        <v/>
      </c>
      <c r="BF72" s="85" t="str">
        <f aca="false">IF($B72=BF$12,$U72,"")</f>
        <v/>
      </c>
      <c r="BG72" s="85" t="str">
        <f aca="false">IF($B72=BG$12,$U72,"")</f>
        <v/>
      </c>
      <c r="BH72" s="85" t="str">
        <f aca="false">IF($B72=BH$12,$U72,"")</f>
        <v/>
      </c>
      <c r="BI72" s="85" t="str">
        <f aca="false">IF($B72=BI$12,$U72,"")</f>
        <v/>
      </c>
      <c r="BJ72" s="85" t="str">
        <f aca="false">IF($B72=BJ$12,$U72,"")</f>
        <v/>
      </c>
      <c r="BK72" s="85" t="str">
        <f aca="false">IF($B72=BK$12,$U72,"")</f>
        <v/>
      </c>
      <c r="BL72" s="85" t="str">
        <f aca="false">IF($B72=BL$12,$U72,"")</f>
        <v/>
      </c>
      <c r="BM72" s="85" t="str">
        <f aca="false">IF($B72=BM$12,$U72,"")</f>
        <v/>
      </c>
      <c r="BN72" s="85" t="str">
        <f aca="false">IF($B72=BN$12,$U72,"")</f>
        <v/>
      </c>
      <c r="BO72" s="85" t="str">
        <f aca="false">IF($B72=BO$12,$U72,"")</f>
        <v/>
      </c>
      <c r="BP72" s="85" t="str">
        <f aca="false">IF($B72=BP$12,$U72,"")</f>
        <v/>
      </c>
      <c r="BQ72" s="85" t="str">
        <f aca="false">IF($B72=BQ$12,$U72,"")</f>
        <v/>
      </c>
      <c r="BR72" s="85" t="str">
        <f aca="false">IF($B72=BR$12,$U72,"")</f>
        <v/>
      </c>
      <c r="BS72" s="85" t="str">
        <f aca="false">IF($B72=BS$12,$U72,"")</f>
        <v/>
      </c>
      <c r="BT72" s="85" t="str">
        <f aca="false">IF($B72=BT$12,$U72,"")</f>
        <v/>
      </c>
      <c r="BU72" s="85" t="str">
        <f aca="false">IF($B72=BU$12,$U72,"")</f>
        <v/>
      </c>
      <c r="BV72" s="85" t="str">
        <f aca="false">IF($B72=BV$12,$U72,"")</f>
        <v/>
      </c>
      <c r="BW72" s="85" t="str">
        <f aca="false">IF($B72=BW$12,$U72,"")</f>
        <v/>
      </c>
      <c r="BX72" s="85" t="str">
        <f aca="false">IF($B72=BX$12,$U72,"")</f>
        <v/>
      </c>
      <c r="BY72" s="85" t="str">
        <f aca="false">IF($B72=BY$12,$U72,"")</f>
        <v/>
      </c>
      <c r="BZ72" s="85" t="str">
        <f aca="false">IF($B72=BZ$12,$U72,"")</f>
        <v/>
      </c>
      <c r="CA72" s="85" t="str">
        <f aca="false">IF($B72=CA$12,$U72,"")</f>
        <v/>
      </c>
      <c r="CB72" s="85" t="str">
        <f aca="false">IF($B72=CB$12,$U72,"")</f>
        <v/>
      </c>
      <c r="CC72" s="85" t="str">
        <f aca="false">IF($B72=CC$12,$U72,"")</f>
        <v/>
      </c>
      <c r="CD72" s="85" t="str">
        <f aca="false">IF($B72=CD$12,$U72,"")</f>
        <v/>
      </c>
      <c r="CE72" s="85" t="str">
        <f aca="false">IF($B72=CE$12,$U72,"")</f>
        <v/>
      </c>
      <c r="CF72" s="85" t="str">
        <f aca="false">IF($B72=CF$12,$U72,"")</f>
        <v/>
      </c>
      <c r="CG72" s="85" t="str">
        <f aca="false">IF($B72=CG$12,$U72,"")</f>
        <v/>
      </c>
      <c r="CH72" s="85" t="str">
        <f aca="false">IF($B72=CH$12,$U72,"")</f>
        <v/>
      </c>
      <c r="CI72" s="85" t="str">
        <f aca="false">IF($B72=CI$12,$U72,"")</f>
        <v/>
      </c>
      <c r="CJ72" s="85" t="str">
        <f aca="false">IF($B72=CJ$12,$U72,"")</f>
        <v/>
      </c>
      <c r="CK72" s="85" t="str">
        <f aca="false">IF($B72=CK$12,$U72,"")</f>
        <v/>
      </c>
      <c r="CL72" s="85" t="str">
        <f aca="false">IF($B72=CL$12,$U72,"")</f>
        <v/>
      </c>
      <c r="CM72" s="85" t="str">
        <f aca="false">IF($B72=CM$12,$U72,"")</f>
        <v/>
      </c>
      <c r="CN72" s="85" t="str">
        <f aca="false">IF($B72=CN$12,$U72,"")</f>
        <v/>
      </c>
      <c r="CO72" s="85" t="str">
        <f aca="false">IF($B72=CO$12,$U72,"")</f>
        <v/>
      </c>
      <c r="CP72" s="85" t="str">
        <f aca="false">IF($B72=CP$12,$U72,"")</f>
        <v/>
      </c>
      <c r="CQ72" s="85" t="str">
        <f aca="false">IF($B72=CQ$12,$U72,"")</f>
        <v/>
      </c>
      <c r="CR72" s="85" t="str">
        <f aca="false">IF($B72=CR$12,$U72,"")</f>
        <v/>
      </c>
      <c r="CS72" s="85" t="str">
        <f aca="false">IF($B72=CS$12,$U72,"")</f>
        <v/>
      </c>
      <c r="CT72" s="85" t="str">
        <f aca="false">IF($B72=CT$12,$U72,"")</f>
        <v/>
      </c>
      <c r="CU72" s="85" t="str">
        <f aca="false">IF($B72=CU$12,$U72,"")</f>
        <v/>
      </c>
      <c r="CV72" s="85" t="str">
        <f aca="false">IF($B72=CV$12,$U72,"")</f>
        <v/>
      </c>
      <c r="CW72" s="85" t="str">
        <f aca="false">IF($B72=CW$12,$U72,"")</f>
        <v/>
      </c>
      <c r="CX72" s="85" t="str">
        <f aca="false">IF($B72=CX$12,$U72,"")</f>
        <v/>
      </c>
      <c r="CY72" s="85" t="str">
        <f aca="false">IF($B72=CY$12,$U72,"")</f>
        <v/>
      </c>
      <c r="CZ72" s="85" t="str">
        <f aca="false">IF($B72=CZ$12,$U72,"")</f>
        <v/>
      </c>
      <c r="DA72" s="85" t="str">
        <f aca="false">IF($B72=DA$12,$U72,"")</f>
        <v/>
      </c>
      <c r="DB72" s="85" t="str">
        <f aca="false">IF($B72=DB$12,$U72,"")</f>
        <v/>
      </c>
      <c r="DC72" s="85" t="str">
        <f aca="false">IF($B72=DC$12,$U72,"")</f>
        <v/>
      </c>
      <c r="DD72" s="85" t="str">
        <f aca="false">IF($B72=DD$12,$U72,"")</f>
        <v/>
      </c>
      <c r="DE72" s="85" t="str">
        <f aca="false">IF($B72=DE$12,$U72,"")</f>
        <v/>
      </c>
      <c r="DF72" s="85" t="str">
        <f aca="false">IF($B72=DF$12,$U72,"")</f>
        <v/>
      </c>
      <c r="DG72" s="85" t="str">
        <f aca="false">IF($B72=DG$12,$U72,"")</f>
        <v/>
      </c>
      <c r="DH72" s="85" t="str">
        <f aca="false">IF($B72=DH$12,$U72,"")</f>
        <v/>
      </c>
      <c r="DI72" s="85" t="str">
        <f aca="false">IF($B72=DI$12,$U72,"")</f>
        <v/>
      </c>
      <c r="DJ72" s="85" t="str">
        <f aca="false">IF($B72=DJ$12,$U72,"")</f>
        <v/>
      </c>
      <c r="DK72" s="85" t="str">
        <f aca="false">IF($B72=DK$12,$U72,"")</f>
        <v/>
      </c>
      <c r="DL72" s="85" t="str">
        <f aca="false">IF($B72=DL$12,$U72,"")</f>
        <v/>
      </c>
      <c r="DM72" s="85" t="str">
        <f aca="false">IF($B72=DM$12,$U72,"")</f>
        <v/>
      </c>
      <c r="DN72" s="85" t="str">
        <f aca="false">IF($B72=DN$12,$U72,"")</f>
        <v/>
      </c>
      <c r="DO72" s="85" t="str">
        <f aca="false">IF($B72=DO$12,$U72,"")</f>
        <v/>
      </c>
      <c r="DP72" s="85" t="str">
        <f aca="false">IF($B72=DP$12,$U72,"")</f>
        <v/>
      </c>
      <c r="DQ72" s="85" t="str">
        <f aca="false">IF($B72=DQ$12,$U72,"")</f>
        <v/>
      </c>
      <c r="DR72" s="85" t="str">
        <f aca="false">IF($B72=DR$12,$U72,"")</f>
        <v/>
      </c>
      <c r="DS72" s="85" t="str">
        <f aca="false">IF($B72=DS$12,$U72,"")</f>
        <v/>
      </c>
      <c r="DT72" s="86" t="str">
        <f aca="false">IF($B72=DT$12,$U72,"")</f>
        <v/>
      </c>
      <c r="DU72" s="55"/>
      <c r="DV72" s="83"/>
      <c r="DW72" s="87" t="str">
        <f aca="false">IF($B72=DW$12,$O72,"")</f>
        <v/>
      </c>
      <c r="DX72" s="88" t="str">
        <f aca="false">IF($B72=DX$12,$O72,"")</f>
        <v/>
      </c>
      <c r="DY72" s="88" t="str">
        <f aca="false">IF($B72=DY$12,$O72,"")</f>
        <v/>
      </c>
      <c r="DZ72" s="88" t="str">
        <f aca="false">IF($B72=DZ$12,$O72,"")</f>
        <v/>
      </c>
      <c r="EA72" s="88" t="str">
        <f aca="false">IF($B72=EA$12,$O72,"")</f>
        <v/>
      </c>
      <c r="EB72" s="88" t="str">
        <f aca="false">IF($B72=EB$12,$O72,"")</f>
        <v/>
      </c>
      <c r="EC72" s="88" t="str">
        <f aca="false">IF($B72=EC$12,$O72,"")</f>
        <v/>
      </c>
      <c r="ED72" s="88" t="str">
        <f aca="false">IF($B72=ED$12,$O72,"")</f>
        <v/>
      </c>
      <c r="EE72" s="88" t="str">
        <f aca="false">IF($B72=EE$12,$O72,"")</f>
        <v/>
      </c>
      <c r="EF72" s="88" t="str">
        <f aca="false">IF($B72=EF$12,$O72,"")</f>
        <v/>
      </c>
      <c r="EG72" s="88" t="str">
        <f aca="false">IF($B72=EG$12,$O72,"")</f>
        <v/>
      </c>
      <c r="EH72" s="88" t="str">
        <f aca="false">IF($B72=EH$12,$O72,"")</f>
        <v/>
      </c>
      <c r="EI72" s="88" t="str">
        <f aca="false">IF($B72=EI$12,$O72,"")</f>
        <v/>
      </c>
      <c r="EJ72" s="88" t="str">
        <f aca="false">IF($B72=EJ$12,$O72,"")</f>
        <v/>
      </c>
      <c r="EK72" s="88" t="str">
        <f aca="false">IF($B72=EK$12,$O72,"")</f>
        <v/>
      </c>
      <c r="EL72" s="88" t="str">
        <f aca="false">IF($B72=EL$12,$O72,"")</f>
        <v/>
      </c>
      <c r="EM72" s="88" t="str">
        <f aca="false">IF($B72=EM$12,$O72,"")</f>
        <v/>
      </c>
      <c r="EN72" s="88" t="str">
        <f aca="false">IF($B72=EN$12,$O72,"")</f>
        <v/>
      </c>
      <c r="EO72" s="88" t="str">
        <f aca="false">IF($B72=EO$12,$O72,"")</f>
        <v/>
      </c>
      <c r="EP72" s="88" t="str">
        <f aca="false">IF($B72=EP$12,$O72,"")</f>
        <v/>
      </c>
      <c r="EQ72" s="88" t="str">
        <f aca="false">IF($B72=EQ$12,$O72,"")</f>
        <v/>
      </c>
      <c r="ER72" s="88" t="str">
        <f aca="false">IF($B72=ER$12,$O72,"")</f>
        <v/>
      </c>
      <c r="ES72" s="88" t="str">
        <f aca="false">IF($B72=ES$12,$O72,"")</f>
        <v/>
      </c>
      <c r="ET72" s="88" t="str">
        <f aca="false">IF($B72=ET$12,$O72,"")</f>
        <v/>
      </c>
      <c r="EU72" s="88" t="str">
        <f aca="false">IF($B72=EU$12,$O72,"")</f>
        <v/>
      </c>
      <c r="EV72" s="88" t="str">
        <f aca="false">IF($B72=EV$12,$O72,"")</f>
        <v/>
      </c>
      <c r="EW72" s="88" t="str">
        <f aca="false">IF($B72=EW$12,$O72,"")</f>
        <v/>
      </c>
      <c r="EX72" s="88" t="str">
        <f aca="false">IF($B72=EX$12,$O72,"")</f>
        <v/>
      </c>
      <c r="EY72" s="88" t="str">
        <f aca="false">IF($B72=EY$12,$O72,"")</f>
        <v/>
      </c>
      <c r="EZ72" s="88" t="str">
        <f aca="false">IF($B72=EZ$12,$O72,"")</f>
        <v/>
      </c>
      <c r="FA72" s="88" t="str">
        <f aca="false">IF($B72=FA$12,$O72,"")</f>
        <v/>
      </c>
      <c r="FB72" s="88" t="str">
        <f aca="false">IF($B72=FB$12,$O72,"")</f>
        <v/>
      </c>
      <c r="FC72" s="88" t="str">
        <f aca="false">IF($B72=FC$12,$O72,"")</f>
        <v/>
      </c>
      <c r="FD72" s="88" t="str">
        <f aca="false">IF($B72=FD$12,$O72,"")</f>
        <v/>
      </c>
      <c r="FE72" s="88" t="str">
        <f aca="false">IF($B72=FE$12,$O72,"")</f>
        <v/>
      </c>
      <c r="FF72" s="88" t="str">
        <f aca="false">IF($B72=FF$12,$O72,"")</f>
        <v/>
      </c>
      <c r="FG72" s="88" t="str">
        <f aca="false">IF($B72=FG$12,$O72,"")</f>
        <v/>
      </c>
      <c r="FH72" s="88" t="str">
        <f aca="false">IF($B72=FH$12,$O72,"")</f>
        <v/>
      </c>
      <c r="FI72" s="88" t="str">
        <f aca="false">IF($B72=FI$12,$O72,"")</f>
        <v/>
      </c>
      <c r="FJ72" s="88" t="str">
        <f aca="false">IF($B72=FJ$12,$O72,"")</f>
        <v/>
      </c>
      <c r="FK72" s="88" t="str">
        <f aca="false">IF($B72=FK$12,$O72,"")</f>
        <v/>
      </c>
      <c r="FL72" s="88" t="str">
        <f aca="false">IF($B72=FL$12,$O72,"")</f>
        <v/>
      </c>
      <c r="FM72" s="88" t="str">
        <f aca="false">IF($B72=FM$12,$O72,"")</f>
        <v/>
      </c>
      <c r="FN72" s="88" t="str">
        <f aca="false">IF($B72=FN$12,$O72,"")</f>
        <v/>
      </c>
      <c r="FO72" s="88" t="str">
        <f aca="false">IF($B72=FO$12,$O72,"")</f>
        <v/>
      </c>
      <c r="FP72" s="88" t="str">
        <f aca="false">IF($B72=FP$12,$O72,"")</f>
        <v/>
      </c>
      <c r="FQ72" s="88" t="str">
        <f aca="false">IF($B72=FQ$12,$O72,"")</f>
        <v/>
      </c>
      <c r="FR72" s="88" t="str">
        <f aca="false">IF($B72=FR$12,$O72,"")</f>
        <v/>
      </c>
      <c r="FS72" s="88" t="str">
        <f aca="false">IF($B72=FS$12,$O72,"")</f>
        <v/>
      </c>
      <c r="FT72" s="88" t="str">
        <f aca="false">IF($B72=FT$12,$O72,"")</f>
        <v/>
      </c>
      <c r="FU72" s="88" t="str">
        <f aca="false">IF($B72=FU$12,$O72,"")</f>
        <v/>
      </c>
      <c r="FV72" s="88" t="str">
        <f aca="false">IF($B72=FV$12,$O72,"")</f>
        <v/>
      </c>
      <c r="FW72" s="88" t="str">
        <f aca="false">IF($B72=FW$12,$O72,"")</f>
        <v/>
      </c>
      <c r="FX72" s="88" t="str">
        <f aca="false">IF($B72=FX$12,$O72,"")</f>
        <v/>
      </c>
      <c r="FY72" s="88" t="str">
        <f aca="false">IF($B72=FY$12,$O72,"")</f>
        <v/>
      </c>
      <c r="FZ72" s="88" t="str">
        <f aca="false">IF($B72=FZ$12,$O72,"")</f>
        <v/>
      </c>
      <c r="GA72" s="88" t="str">
        <f aca="false">IF($B72=GA$12,$O72,"")</f>
        <v/>
      </c>
      <c r="GB72" s="88" t="str">
        <f aca="false">IF($B72=GB$12,$O72,"")</f>
        <v/>
      </c>
      <c r="GC72" s="88" t="str">
        <f aca="false">IF($B72=GC$12,$O72,"")</f>
        <v/>
      </c>
      <c r="GD72" s="88" t="str">
        <f aca="false">IF($B72=GD$12,$O72,"")</f>
        <v/>
      </c>
      <c r="GE72" s="88" t="str">
        <f aca="false">IF($B72=GE$12,$O72,"")</f>
        <v/>
      </c>
      <c r="GF72" s="88" t="str">
        <f aca="false">IF($B72=GF$12,$O72,"")</f>
        <v/>
      </c>
      <c r="GG72" s="88" t="str">
        <f aca="false">IF($B72=GG$12,$O72,"")</f>
        <v/>
      </c>
      <c r="GH72" s="88" t="str">
        <f aca="false">IF($B72=GH$12,$O72,"")</f>
        <v/>
      </c>
      <c r="GI72" s="88" t="str">
        <f aca="false">IF($B72=GI$12,$O72,"")</f>
        <v/>
      </c>
      <c r="GJ72" s="88" t="str">
        <f aca="false">IF($B72=GJ$12,$O72,"")</f>
        <v/>
      </c>
      <c r="GK72" s="88" t="str">
        <f aca="false">IF($B72=GK$12,$O72,"")</f>
        <v/>
      </c>
      <c r="GL72" s="88" t="str">
        <f aca="false">IF($B72=GL$12,$O72,"")</f>
        <v/>
      </c>
      <c r="GM72" s="88" t="str">
        <f aca="false">IF($B72=GM$12,$O72,"")</f>
        <v/>
      </c>
      <c r="GN72" s="88" t="str">
        <f aca="false">IF($B72=GN$12,$O72,"")</f>
        <v/>
      </c>
      <c r="GO72" s="88" t="str">
        <f aca="false">IF($B72=GO$12,$O72,"")</f>
        <v/>
      </c>
      <c r="GP72" s="88" t="str">
        <f aca="false">IF($B72=GP$12,$O72,"")</f>
        <v/>
      </c>
      <c r="GQ72" s="88" t="str">
        <f aca="false">IF($B72=GQ$12,$O72,"")</f>
        <v/>
      </c>
      <c r="GR72" s="88" t="str">
        <f aca="false">IF($B72=GR$12,$O72,"")</f>
        <v/>
      </c>
      <c r="GS72" s="88" t="str">
        <f aca="false">IF($B72=GS$12,$O72,"")</f>
        <v/>
      </c>
      <c r="GT72" s="88" t="str">
        <f aca="false">IF($B72=GT$12,$O72,"")</f>
        <v/>
      </c>
      <c r="GU72" s="88" t="str">
        <f aca="false">IF($B72=GU$12,$O72,"")</f>
        <v/>
      </c>
      <c r="GV72" s="88" t="str">
        <f aca="false">IF($B72=GV$12,$O72,"")</f>
        <v/>
      </c>
      <c r="GW72" s="88" t="str">
        <f aca="false">IF($B72=GW$12,$O72,"")</f>
        <v/>
      </c>
      <c r="GX72" s="88" t="str">
        <f aca="false">IF($B72=GX$12,$O72,"")</f>
        <v/>
      </c>
      <c r="GY72" s="88" t="str">
        <f aca="false">IF($B72=GY$12,$O72,"")</f>
        <v/>
      </c>
      <c r="GZ72" s="88" t="str">
        <f aca="false">IF($B72=GZ$12,$O72,"")</f>
        <v/>
      </c>
      <c r="HA72" s="88" t="str">
        <f aca="false">IF($B72=HA$12,$O72,"")</f>
        <v/>
      </c>
      <c r="HB72" s="88" t="str">
        <f aca="false">IF($B72=HB$12,$O72,"")</f>
        <v/>
      </c>
      <c r="HC72" s="88" t="str">
        <f aca="false">IF($B72=HC$12,$O72,"")</f>
        <v/>
      </c>
      <c r="HD72" s="88" t="str">
        <f aca="false">IF($B72=HD$12,$O72,"")</f>
        <v/>
      </c>
      <c r="HE72" s="88" t="str">
        <f aca="false">IF($B72=HE$12,$O72,"")</f>
        <v/>
      </c>
      <c r="HF72" s="88" t="str">
        <f aca="false">IF($B72=HF$12,$O72,"")</f>
        <v/>
      </c>
      <c r="HG72" s="88" t="str">
        <f aca="false">IF($B72=HG$12,$O72,"")</f>
        <v/>
      </c>
      <c r="HH72" s="88" t="str">
        <f aca="false">IF($B72=HH$12,$O72,"")</f>
        <v/>
      </c>
      <c r="HI72" s="88" t="str">
        <f aca="false">IF($B72=HI$12,$O72,"")</f>
        <v/>
      </c>
      <c r="HJ72" s="88" t="str">
        <f aca="false">IF($B72=HJ$12,$O72,"")</f>
        <v/>
      </c>
      <c r="HK72" s="88" t="str">
        <f aca="false">IF($B72=HK$12,$O72,"")</f>
        <v/>
      </c>
      <c r="HL72" s="88" t="str">
        <f aca="false">IF($B72=HL$12,$O72,"")</f>
        <v/>
      </c>
      <c r="HM72" s="88" t="str">
        <f aca="false">IF($B72=HM$12,$O72,"")</f>
        <v/>
      </c>
      <c r="HN72" s="88" t="str">
        <f aca="false">IF($B72=HN$12,$O72,"")</f>
        <v/>
      </c>
      <c r="HO72" s="88" t="str">
        <f aca="false">IF($B72=HO$12,$O72,"")</f>
        <v/>
      </c>
      <c r="HP72" s="88" t="str">
        <f aca="false">IF($B72=HP$12,$O72,"")</f>
        <v/>
      </c>
      <c r="HQ72" s="88" t="str">
        <f aca="false">IF($B72=HQ$12,$O72,"")</f>
        <v/>
      </c>
      <c r="HR72" s="89" t="str">
        <f aca="false">IF($B72=HR$12,$O72,"")</f>
        <v/>
      </c>
    </row>
    <row r="73" customFormat="false" ht="10.5" hidden="false" customHeight="true" outlineLevel="0" collapsed="false">
      <c r="A73" s="73"/>
      <c r="B73" s="74"/>
      <c r="C73" s="75" t="str">
        <f aca="false">IF(A73=0,"",VLOOKUP(A73,[3]CO!$A$3:$F$5311,2,0))</f>
        <v/>
      </c>
      <c r="D73" s="76"/>
      <c r="E73" s="76"/>
      <c r="F73" s="76"/>
      <c r="G73" s="77" t="str">
        <f aca="false">IF(A73=0,"",VLOOKUP(A73,[3]CO!$A$3:$F$5311,3,0))</f>
        <v/>
      </c>
      <c r="H73" s="76"/>
      <c r="I73" s="78"/>
      <c r="J73" s="78"/>
      <c r="K73" s="78"/>
      <c r="L73" s="78"/>
      <c r="M73" s="79" t="str">
        <f aca="false">IF(L73=0,"",PRODUCT(I73:L73))</f>
        <v/>
      </c>
      <c r="N73" s="79" t="str">
        <f aca="false">IF(B73=0,"",IF(H73="M",HLOOKUP(B73,$Y$12:$DT$13,2),IF(A73=0,"",VLOOKUP(A73,[3]CO!$A$3:$F$5311,4,0))))</f>
        <v/>
      </c>
      <c r="O73" s="79" t="str">
        <f aca="false">IF(L73=0,"",PRODUCT(M73:N73))</f>
        <v/>
      </c>
      <c r="P73" s="80"/>
      <c r="Q73" s="81" t="str">
        <f aca="false">IF(P73=0,"",(HLOOKUP(P73,$DW$12:$HR$13,2)))</f>
        <v/>
      </c>
      <c r="R73" s="82" t="str">
        <f aca="false">IF(S73=0,"",IF(OR(G73="PEON",G73="OF",G73="JARD",G73="CARP",G73="MAESTRO",G73="SOLD",G73="BGRO",G73="CHOFER",G73="AYTE",G73="S.INTTE.",G73="ASEO",G73="P.PISOS",G73="VELADOR",G73="RESID",G73="PINTOR",G73="ELECT",G73="AZULE",G73="AUX CONT.",G73="SECRETARIA",G73="AUXILIAR ADMTVO.",G73="ARQUITECTO",G73="DIBUJANTE",G73="AUX. DE RESIDENTE"),VLOOKUP(B73,P$14:Q$131,2),"")*S73)</f>
        <v/>
      </c>
      <c r="S73" s="5"/>
      <c r="T73" s="65" t="str">
        <f aca="false">IF(A73=0,"",VLOOKUP(A73,[3]CO!$A$3:$F$5302,5,0))</f>
        <v/>
      </c>
      <c r="U73" s="55" t="n">
        <f aca="false">IF(T73=1,O73*0.1,)</f>
        <v>0</v>
      </c>
      <c r="V73" s="66"/>
      <c r="W73" s="83"/>
      <c r="X73" s="83"/>
      <c r="Y73" s="84" t="str">
        <f aca="false">IF($B73=Y$12,$U73,"")</f>
        <v/>
      </c>
      <c r="Z73" s="85" t="str">
        <f aca="false">IF($B73=Z$12,$U73,"")</f>
        <v/>
      </c>
      <c r="AA73" s="85" t="str">
        <f aca="false">IF($B73=AA$12,$U73,"")</f>
        <v/>
      </c>
      <c r="AB73" s="85" t="str">
        <f aca="false">IF($B73=AB$12,$U73,"")</f>
        <v/>
      </c>
      <c r="AC73" s="85" t="str">
        <f aca="false">IF($B73=AC$12,$U73,"")</f>
        <v/>
      </c>
      <c r="AD73" s="85" t="str">
        <f aca="false">IF($B73=AD$12,$U73,"")</f>
        <v/>
      </c>
      <c r="AE73" s="85" t="str">
        <f aca="false">IF($B73=AE$12,$U73,"")</f>
        <v/>
      </c>
      <c r="AF73" s="85" t="str">
        <f aca="false">IF($B73=AF$12,$U73,"")</f>
        <v/>
      </c>
      <c r="AG73" s="85" t="str">
        <f aca="false">IF($B73=AG$12,$U73,"")</f>
        <v/>
      </c>
      <c r="AH73" s="85" t="str">
        <f aca="false">IF($B73=AH$12,$U73,"")</f>
        <v/>
      </c>
      <c r="AI73" s="85" t="str">
        <f aca="false">IF($B73=AI$12,$U73,"")</f>
        <v/>
      </c>
      <c r="AJ73" s="85" t="str">
        <f aca="false">IF($B73=AJ$12,$U73,"")</f>
        <v/>
      </c>
      <c r="AK73" s="85" t="str">
        <f aca="false">IF($B73=AK$12,$U73,"")</f>
        <v/>
      </c>
      <c r="AL73" s="85" t="str">
        <f aca="false">IF($B73=AL$12,$U73,"")</f>
        <v/>
      </c>
      <c r="AM73" s="85" t="str">
        <f aca="false">IF($B73=AM$12,$U73,"")</f>
        <v/>
      </c>
      <c r="AN73" s="85" t="str">
        <f aca="false">IF($B73=AN$12,$U73,"")</f>
        <v/>
      </c>
      <c r="AO73" s="85" t="str">
        <f aca="false">IF($B73=AO$12,$U73,"")</f>
        <v/>
      </c>
      <c r="AP73" s="85" t="str">
        <f aca="false">IF($B73=AP$12,$U73,"")</f>
        <v/>
      </c>
      <c r="AQ73" s="85" t="str">
        <f aca="false">IF($B73=AQ$12,$U73,"")</f>
        <v/>
      </c>
      <c r="AR73" s="85" t="str">
        <f aca="false">IF($B73=AR$12,$U73,"")</f>
        <v/>
      </c>
      <c r="AS73" s="85" t="str">
        <f aca="false">IF($B73=AS$12,$U73,"")</f>
        <v/>
      </c>
      <c r="AT73" s="85" t="str">
        <f aca="false">IF($B73=AT$12,$U73,"")</f>
        <v/>
      </c>
      <c r="AU73" s="85" t="str">
        <f aca="false">IF($B73=AU$12,$U73,"")</f>
        <v/>
      </c>
      <c r="AV73" s="85" t="str">
        <f aca="false">IF($B73=AV$12,$U73,"")</f>
        <v/>
      </c>
      <c r="AW73" s="85" t="str">
        <f aca="false">IF($B73=AW$12,$U73,"")</f>
        <v/>
      </c>
      <c r="AX73" s="85" t="str">
        <f aca="false">IF($B73=AX$12,$U73,"")</f>
        <v/>
      </c>
      <c r="AY73" s="85" t="str">
        <f aca="false">IF($B73=AY$12,$U73,"")</f>
        <v/>
      </c>
      <c r="AZ73" s="85" t="str">
        <f aca="false">IF($B73=AZ$12,$U73,"")</f>
        <v/>
      </c>
      <c r="BA73" s="85" t="str">
        <f aca="false">IF($B73=BA$12,$U73,"")</f>
        <v/>
      </c>
      <c r="BB73" s="85" t="str">
        <f aca="false">IF($B73=BB$12,$U73,"")</f>
        <v/>
      </c>
      <c r="BC73" s="85" t="str">
        <f aca="false">IF($B73=BC$12,$U73,"")</f>
        <v/>
      </c>
      <c r="BD73" s="85" t="str">
        <f aca="false">IF($B73=BD$12,$U73,"")</f>
        <v/>
      </c>
      <c r="BE73" s="85" t="str">
        <f aca="false">IF($B73=BE$12,$U73,"")</f>
        <v/>
      </c>
      <c r="BF73" s="85" t="str">
        <f aca="false">IF($B73=BF$12,$U73,"")</f>
        <v/>
      </c>
      <c r="BG73" s="85" t="str">
        <f aca="false">IF($B73=BG$12,$U73,"")</f>
        <v/>
      </c>
      <c r="BH73" s="85" t="str">
        <f aca="false">IF($B73=BH$12,$U73,"")</f>
        <v/>
      </c>
      <c r="BI73" s="85" t="str">
        <f aca="false">IF($B73=BI$12,$U73,"")</f>
        <v/>
      </c>
      <c r="BJ73" s="85" t="str">
        <f aca="false">IF($B73=BJ$12,$U73,"")</f>
        <v/>
      </c>
      <c r="BK73" s="85" t="str">
        <f aca="false">IF($B73=BK$12,$U73,"")</f>
        <v/>
      </c>
      <c r="BL73" s="85" t="str">
        <f aca="false">IF($B73=BL$12,$U73,"")</f>
        <v/>
      </c>
      <c r="BM73" s="85" t="str">
        <f aca="false">IF($B73=BM$12,$U73,"")</f>
        <v/>
      </c>
      <c r="BN73" s="85" t="str">
        <f aca="false">IF($B73=BN$12,$U73,"")</f>
        <v/>
      </c>
      <c r="BO73" s="85" t="str">
        <f aca="false">IF($B73=BO$12,$U73,"")</f>
        <v/>
      </c>
      <c r="BP73" s="85" t="str">
        <f aca="false">IF($B73=BP$12,$U73,"")</f>
        <v/>
      </c>
      <c r="BQ73" s="85" t="str">
        <f aca="false">IF($B73=BQ$12,$U73,"")</f>
        <v/>
      </c>
      <c r="BR73" s="85" t="str">
        <f aca="false">IF($B73=BR$12,$U73,"")</f>
        <v/>
      </c>
      <c r="BS73" s="85" t="str">
        <f aca="false">IF($B73=BS$12,$U73,"")</f>
        <v/>
      </c>
      <c r="BT73" s="85" t="str">
        <f aca="false">IF($B73=BT$12,$U73,"")</f>
        <v/>
      </c>
      <c r="BU73" s="85" t="str">
        <f aca="false">IF($B73=BU$12,$U73,"")</f>
        <v/>
      </c>
      <c r="BV73" s="85" t="str">
        <f aca="false">IF($B73=BV$12,$U73,"")</f>
        <v/>
      </c>
      <c r="BW73" s="85" t="str">
        <f aca="false">IF($B73=BW$12,$U73,"")</f>
        <v/>
      </c>
      <c r="BX73" s="85" t="str">
        <f aca="false">IF($B73=BX$12,$U73,"")</f>
        <v/>
      </c>
      <c r="BY73" s="85" t="str">
        <f aca="false">IF($B73=BY$12,$U73,"")</f>
        <v/>
      </c>
      <c r="BZ73" s="85" t="str">
        <f aca="false">IF($B73=BZ$12,$U73,"")</f>
        <v/>
      </c>
      <c r="CA73" s="85" t="str">
        <f aca="false">IF($B73=CA$12,$U73,"")</f>
        <v/>
      </c>
      <c r="CB73" s="85" t="str">
        <f aca="false">IF($B73=CB$12,$U73,"")</f>
        <v/>
      </c>
      <c r="CC73" s="85" t="str">
        <f aca="false">IF($B73=CC$12,$U73,"")</f>
        <v/>
      </c>
      <c r="CD73" s="85" t="str">
        <f aca="false">IF($B73=CD$12,$U73,"")</f>
        <v/>
      </c>
      <c r="CE73" s="85" t="str">
        <f aca="false">IF($B73=CE$12,$U73,"")</f>
        <v/>
      </c>
      <c r="CF73" s="85" t="str">
        <f aca="false">IF($B73=CF$12,$U73,"")</f>
        <v/>
      </c>
      <c r="CG73" s="85" t="str">
        <f aca="false">IF($B73=CG$12,$U73,"")</f>
        <v/>
      </c>
      <c r="CH73" s="85" t="str">
        <f aca="false">IF($B73=CH$12,$U73,"")</f>
        <v/>
      </c>
      <c r="CI73" s="85" t="str">
        <f aca="false">IF($B73=CI$12,$U73,"")</f>
        <v/>
      </c>
      <c r="CJ73" s="85" t="str">
        <f aca="false">IF($B73=CJ$12,$U73,"")</f>
        <v/>
      </c>
      <c r="CK73" s="85" t="str">
        <f aca="false">IF($B73=CK$12,$U73,"")</f>
        <v/>
      </c>
      <c r="CL73" s="85" t="str">
        <f aca="false">IF($B73=CL$12,$U73,"")</f>
        <v/>
      </c>
      <c r="CM73" s="85" t="str">
        <f aca="false">IF($B73=CM$12,$U73,"")</f>
        <v/>
      </c>
      <c r="CN73" s="85" t="str">
        <f aca="false">IF($B73=CN$12,$U73,"")</f>
        <v/>
      </c>
      <c r="CO73" s="85" t="str">
        <f aca="false">IF($B73=CO$12,$U73,"")</f>
        <v/>
      </c>
      <c r="CP73" s="85" t="str">
        <f aca="false">IF($B73=CP$12,$U73,"")</f>
        <v/>
      </c>
      <c r="CQ73" s="85" t="str">
        <f aca="false">IF($B73=CQ$12,$U73,"")</f>
        <v/>
      </c>
      <c r="CR73" s="85" t="str">
        <f aca="false">IF($B73=CR$12,$U73,"")</f>
        <v/>
      </c>
      <c r="CS73" s="85" t="str">
        <f aca="false">IF($B73=CS$12,$U73,"")</f>
        <v/>
      </c>
      <c r="CT73" s="85" t="str">
        <f aca="false">IF($B73=CT$12,$U73,"")</f>
        <v/>
      </c>
      <c r="CU73" s="85" t="str">
        <f aca="false">IF($B73=CU$12,$U73,"")</f>
        <v/>
      </c>
      <c r="CV73" s="85" t="str">
        <f aca="false">IF($B73=CV$12,$U73,"")</f>
        <v/>
      </c>
      <c r="CW73" s="85" t="str">
        <f aca="false">IF($B73=CW$12,$U73,"")</f>
        <v/>
      </c>
      <c r="CX73" s="85" t="str">
        <f aca="false">IF($B73=CX$12,$U73,"")</f>
        <v/>
      </c>
      <c r="CY73" s="85" t="str">
        <f aca="false">IF($B73=CY$12,$U73,"")</f>
        <v/>
      </c>
      <c r="CZ73" s="85" t="str">
        <f aca="false">IF($B73=CZ$12,$U73,"")</f>
        <v/>
      </c>
      <c r="DA73" s="85" t="str">
        <f aca="false">IF($B73=DA$12,$U73,"")</f>
        <v/>
      </c>
      <c r="DB73" s="85" t="str">
        <f aca="false">IF($B73=DB$12,$U73,"")</f>
        <v/>
      </c>
      <c r="DC73" s="85" t="str">
        <f aca="false">IF($B73=DC$12,$U73,"")</f>
        <v/>
      </c>
      <c r="DD73" s="85" t="str">
        <f aca="false">IF($B73=DD$12,$U73,"")</f>
        <v/>
      </c>
      <c r="DE73" s="85" t="str">
        <f aca="false">IF($B73=DE$12,$U73,"")</f>
        <v/>
      </c>
      <c r="DF73" s="85" t="str">
        <f aca="false">IF($B73=DF$12,$U73,"")</f>
        <v/>
      </c>
      <c r="DG73" s="85" t="str">
        <f aca="false">IF($B73=DG$12,$U73,"")</f>
        <v/>
      </c>
      <c r="DH73" s="85" t="str">
        <f aca="false">IF($B73=DH$12,$U73,"")</f>
        <v/>
      </c>
      <c r="DI73" s="85" t="str">
        <f aca="false">IF($B73=DI$12,$U73,"")</f>
        <v/>
      </c>
      <c r="DJ73" s="85" t="str">
        <f aca="false">IF($B73=DJ$12,$U73,"")</f>
        <v/>
      </c>
      <c r="DK73" s="85" t="str">
        <f aca="false">IF($B73=DK$12,$U73,"")</f>
        <v/>
      </c>
      <c r="DL73" s="85" t="str">
        <f aca="false">IF($B73=DL$12,$U73,"")</f>
        <v/>
      </c>
      <c r="DM73" s="85" t="str">
        <f aca="false">IF($B73=DM$12,$U73,"")</f>
        <v/>
      </c>
      <c r="DN73" s="85" t="str">
        <f aca="false">IF($B73=DN$12,$U73,"")</f>
        <v/>
      </c>
      <c r="DO73" s="85" t="str">
        <f aca="false">IF($B73=DO$12,$U73,"")</f>
        <v/>
      </c>
      <c r="DP73" s="85" t="str">
        <f aca="false">IF($B73=DP$12,$U73,"")</f>
        <v/>
      </c>
      <c r="DQ73" s="85" t="str">
        <f aca="false">IF($B73=DQ$12,$U73,"")</f>
        <v/>
      </c>
      <c r="DR73" s="85" t="str">
        <f aca="false">IF($B73=DR$12,$U73,"")</f>
        <v/>
      </c>
      <c r="DS73" s="85" t="str">
        <f aca="false">IF($B73=DS$12,$U73,"")</f>
        <v/>
      </c>
      <c r="DT73" s="86" t="str">
        <f aca="false">IF($B73=DT$12,$U73,"")</f>
        <v/>
      </c>
      <c r="DU73" s="55"/>
      <c r="DV73" s="83"/>
      <c r="DW73" s="87" t="str">
        <f aca="false">IF($B73=DW$12,$O73,"")</f>
        <v/>
      </c>
      <c r="DX73" s="88" t="str">
        <f aca="false">IF($B73=DX$12,$O73,"")</f>
        <v/>
      </c>
      <c r="DY73" s="88" t="str">
        <f aca="false">IF($B73=DY$12,$O73,"")</f>
        <v/>
      </c>
      <c r="DZ73" s="88" t="str">
        <f aca="false">IF($B73=DZ$12,$O73,"")</f>
        <v/>
      </c>
      <c r="EA73" s="88" t="str">
        <f aca="false">IF($B73=EA$12,$O73,"")</f>
        <v/>
      </c>
      <c r="EB73" s="88" t="str">
        <f aca="false">IF($B73=EB$12,$O73,"")</f>
        <v/>
      </c>
      <c r="EC73" s="88" t="str">
        <f aca="false">IF($B73=EC$12,$O73,"")</f>
        <v/>
      </c>
      <c r="ED73" s="88" t="str">
        <f aca="false">IF($B73=ED$12,$O73,"")</f>
        <v/>
      </c>
      <c r="EE73" s="88" t="str">
        <f aca="false">IF($B73=EE$12,$O73,"")</f>
        <v/>
      </c>
      <c r="EF73" s="88" t="str">
        <f aca="false">IF($B73=EF$12,$O73,"")</f>
        <v/>
      </c>
      <c r="EG73" s="88" t="str">
        <f aca="false">IF($B73=EG$12,$O73,"")</f>
        <v/>
      </c>
      <c r="EH73" s="88" t="str">
        <f aca="false">IF($B73=EH$12,$O73,"")</f>
        <v/>
      </c>
      <c r="EI73" s="88" t="str">
        <f aca="false">IF($B73=EI$12,$O73,"")</f>
        <v/>
      </c>
      <c r="EJ73" s="88" t="str">
        <f aca="false">IF($B73=EJ$12,$O73,"")</f>
        <v/>
      </c>
      <c r="EK73" s="88" t="str">
        <f aca="false">IF($B73=EK$12,$O73,"")</f>
        <v/>
      </c>
      <c r="EL73" s="88" t="str">
        <f aca="false">IF($B73=EL$12,$O73,"")</f>
        <v/>
      </c>
      <c r="EM73" s="88" t="str">
        <f aca="false">IF($B73=EM$12,$O73,"")</f>
        <v/>
      </c>
      <c r="EN73" s="88" t="str">
        <f aca="false">IF($B73=EN$12,$O73,"")</f>
        <v/>
      </c>
      <c r="EO73" s="88" t="str">
        <f aca="false">IF($B73=EO$12,$O73,"")</f>
        <v/>
      </c>
      <c r="EP73" s="88" t="str">
        <f aca="false">IF($B73=EP$12,$O73,"")</f>
        <v/>
      </c>
      <c r="EQ73" s="88" t="str">
        <f aca="false">IF($B73=EQ$12,$O73,"")</f>
        <v/>
      </c>
      <c r="ER73" s="88" t="str">
        <f aca="false">IF($B73=ER$12,$O73,"")</f>
        <v/>
      </c>
      <c r="ES73" s="88" t="str">
        <f aca="false">IF($B73=ES$12,$O73,"")</f>
        <v/>
      </c>
      <c r="ET73" s="88" t="str">
        <f aca="false">IF($B73=ET$12,$O73,"")</f>
        <v/>
      </c>
      <c r="EU73" s="88" t="str">
        <f aca="false">IF($B73=EU$12,$O73,"")</f>
        <v/>
      </c>
      <c r="EV73" s="88" t="str">
        <f aca="false">IF($B73=EV$12,$O73,"")</f>
        <v/>
      </c>
      <c r="EW73" s="88" t="str">
        <f aca="false">IF($B73=EW$12,$O73,"")</f>
        <v/>
      </c>
      <c r="EX73" s="88" t="str">
        <f aca="false">IF($B73=EX$12,$O73,"")</f>
        <v/>
      </c>
      <c r="EY73" s="88" t="str">
        <f aca="false">IF($B73=EY$12,$O73,"")</f>
        <v/>
      </c>
      <c r="EZ73" s="88" t="str">
        <f aca="false">IF($B73=EZ$12,$O73,"")</f>
        <v/>
      </c>
      <c r="FA73" s="88" t="str">
        <f aca="false">IF($B73=FA$12,$O73,"")</f>
        <v/>
      </c>
      <c r="FB73" s="88" t="str">
        <f aca="false">IF($B73=FB$12,$O73,"")</f>
        <v/>
      </c>
      <c r="FC73" s="88" t="str">
        <f aca="false">IF($B73=FC$12,$O73,"")</f>
        <v/>
      </c>
      <c r="FD73" s="88" t="str">
        <f aca="false">IF($B73=FD$12,$O73,"")</f>
        <v/>
      </c>
      <c r="FE73" s="88" t="str">
        <f aca="false">IF($B73=FE$12,$O73,"")</f>
        <v/>
      </c>
      <c r="FF73" s="88" t="str">
        <f aca="false">IF($B73=FF$12,$O73,"")</f>
        <v/>
      </c>
      <c r="FG73" s="88" t="str">
        <f aca="false">IF($B73=FG$12,$O73,"")</f>
        <v/>
      </c>
      <c r="FH73" s="88" t="str">
        <f aca="false">IF($B73=FH$12,$O73,"")</f>
        <v/>
      </c>
      <c r="FI73" s="88" t="str">
        <f aca="false">IF($B73=FI$12,$O73,"")</f>
        <v/>
      </c>
      <c r="FJ73" s="88" t="str">
        <f aca="false">IF($B73=FJ$12,$O73,"")</f>
        <v/>
      </c>
      <c r="FK73" s="88" t="str">
        <f aca="false">IF($B73=FK$12,$O73,"")</f>
        <v/>
      </c>
      <c r="FL73" s="88" t="str">
        <f aca="false">IF($B73=FL$12,$O73,"")</f>
        <v/>
      </c>
      <c r="FM73" s="88" t="str">
        <f aca="false">IF($B73=FM$12,$O73,"")</f>
        <v/>
      </c>
      <c r="FN73" s="88" t="str">
        <f aca="false">IF($B73=FN$12,$O73,"")</f>
        <v/>
      </c>
      <c r="FO73" s="88" t="str">
        <f aca="false">IF($B73=FO$12,$O73,"")</f>
        <v/>
      </c>
      <c r="FP73" s="88" t="str">
        <f aca="false">IF($B73=FP$12,$O73,"")</f>
        <v/>
      </c>
      <c r="FQ73" s="88" t="str">
        <f aca="false">IF($B73=FQ$12,$O73,"")</f>
        <v/>
      </c>
      <c r="FR73" s="88" t="str">
        <f aca="false">IF($B73=FR$12,$O73,"")</f>
        <v/>
      </c>
      <c r="FS73" s="88" t="str">
        <f aca="false">IF($B73=FS$12,$O73,"")</f>
        <v/>
      </c>
      <c r="FT73" s="88" t="str">
        <f aca="false">IF($B73=FT$12,$O73,"")</f>
        <v/>
      </c>
      <c r="FU73" s="88" t="str">
        <f aca="false">IF($B73=FU$12,$O73,"")</f>
        <v/>
      </c>
      <c r="FV73" s="88" t="str">
        <f aca="false">IF($B73=FV$12,$O73,"")</f>
        <v/>
      </c>
      <c r="FW73" s="88" t="str">
        <f aca="false">IF($B73=FW$12,$O73,"")</f>
        <v/>
      </c>
      <c r="FX73" s="88" t="str">
        <f aca="false">IF($B73=FX$12,$O73,"")</f>
        <v/>
      </c>
      <c r="FY73" s="88" t="str">
        <f aca="false">IF($B73=FY$12,$O73,"")</f>
        <v/>
      </c>
      <c r="FZ73" s="88" t="str">
        <f aca="false">IF($B73=FZ$12,$O73,"")</f>
        <v/>
      </c>
      <c r="GA73" s="88" t="str">
        <f aca="false">IF($B73=GA$12,$O73,"")</f>
        <v/>
      </c>
      <c r="GB73" s="88" t="str">
        <f aca="false">IF($B73=GB$12,$O73,"")</f>
        <v/>
      </c>
      <c r="GC73" s="88" t="str">
        <f aca="false">IF($B73=GC$12,$O73,"")</f>
        <v/>
      </c>
      <c r="GD73" s="88" t="str">
        <f aca="false">IF($B73=GD$12,$O73,"")</f>
        <v/>
      </c>
      <c r="GE73" s="88" t="str">
        <f aca="false">IF($B73=GE$12,$O73,"")</f>
        <v/>
      </c>
      <c r="GF73" s="88" t="str">
        <f aca="false">IF($B73=GF$12,$O73,"")</f>
        <v/>
      </c>
      <c r="GG73" s="88" t="str">
        <f aca="false">IF($B73=GG$12,$O73,"")</f>
        <v/>
      </c>
      <c r="GH73" s="88" t="str">
        <f aca="false">IF($B73=GH$12,$O73,"")</f>
        <v/>
      </c>
      <c r="GI73" s="88" t="str">
        <f aca="false">IF($B73=GI$12,$O73,"")</f>
        <v/>
      </c>
      <c r="GJ73" s="88" t="str">
        <f aca="false">IF($B73=GJ$12,$O73,"")</f>
        <v/>
      </c>
      <c r="GK73" s="88" t="str">
        <f aca="false">IF($B73=GK$12,$O73,"")</f>
        <v/>
      </c>
      <c r="GL73" s="88" t="str">
        <f aca="false">IF($B73=GL$12,$O73,"")</f>
        <v/>
      </c>
      <c r="GM73" s="88" t="str">
        <f aca="false">IF($B73=GM$12,$O73,"")</f>
        <v/>
      </c>
      <c r="GN73" s="88" t="str">
        <f aca="false">IF($B73=GN$12,$O73,"")</f>
        <v/>
      </c>
      <c r="GO73" s="88" t="str">
        <f aca="false">IF($B73=GO$12,$O73,"")</f>
        <v/>
      </c>
      <c r="GP73" s="88" t="str">
        <f aca="false">IF($B73=GP$12,$O73,"")</f>
        <v/>
      </c>
      <c r="GQ73" s="88" t="str">
        <f aca="false">IF($B73=GQ$12,$O73,"")</f>
        <v/>
      </c>
      <c r="GR73" s="88" t="str">
        <f aca="false">IF($B73=GR$12,$O73,"")</f>
        <v/>
      </c>
      <c r="GS73" s="88" t="str">
        <f aca="false">IF($B73=GS$12,$O73,"")</f>
        <v/>
      </c>
      <c r="GT73" s="88" t="str">
        <f aca="false">IF($B73=GT$12,$O73,"")</f>
        <v/>
      </c>
      <c r="GU73" s="88" t="str">
        <f aca="false">IF($B73=GU$12,$O73,"")</f>
        <v/>
      </c>
      <c r="GV73" s="88" t="str">
        <f aca="false">IF($B73=GV$12,$O73,"")</f>
        <v/>
      </c>
      <c r="GW73" s="88" t="str">
        <f aca="false">IF($B73=GW$12,$O73,"")</f>
        <v/>
      </c>
      <c r="GX73" s="88" t="str">
        <f aca="false">IF($B73=GX$12,$O73,"")</f>
        <v/>
      </c>
      <c r="GY73" s="88" t="str">
        <f aca="false">IF($B73=GY$12,$O73,"")</f>
        <v/>
      </c>
      <c r="GZ73" s="88" t="str">
        <f aca="false">IF($B73=GZ$12,$O73,"")</f>
        <v/>
      </c>
      <c r="HA73" s="88" t="str">
        <f aca="false">IF($B73=HA$12,$O73,"")</f>
        <v/>
      </c>
      <c r="HB73" s="88" t="str">
        <f aca="false">IF($B73=HB$12,$O73,"")</f>
        <v/>
      </c>
      <c r="HC73" s="88" t="str">
        <f aca="false">IF($B73=HC$12,$O73,"")</f>
        <v/>
      </c>
      <c r="HD73" s="88" t="str">
        <f aca="false">IF($B73=HD$12,$O73,"")</f>
        <v/>
      </c>
      <c r="HE73" s="88" t="str">
        <f aca="false">IF($B73=HE$12,$O73,"")</f>
        <v/>
      </c>
      <c r="HF73" s="88" t="str">
        <f aca="false">IF($B73=HF$12,$O73,"")</f>
        <v/>
      </c>
      <c r="HG73" s="88" t="str">
        <f aca="false">IF($B73=HG$12,$O73,"")</f>
        <v/>
      </c>
      <c r="HH73" s="88" t="str">
        <f aca="false">IF($B73=HH$12,$O73,"")</f>
        <v/>
      </c>
      <c r="HI73" s="88" t="str">
        <f aca="false">IF($B73=HI$12,$O73,"")</f>
        <v/>
      </c>
      <c r="HJ73" s="88" t="str">
        <f aca="false">IF($B73=HJ$12,$O73,"")</f>
        <v/>
      </c>
      <c r="HK73" s="88" t="str">
        <f aca="false">IF($B73=HK$12,$O73,"")</f>
        <v/>
      </c>
      <c r="HL73" s="88" t="str">
        <f aca="false">IF($B73=HL$12,$O73,"")</f>
        <v/>
      </c>
      <c r="HM73" s="88" t="str">
        <f aca="false">IF($B73=HM$12,$O73,"")</f>
        <v/>
      </c>
      <c r="HN73" s="88" t="str">
        <f aca="false">IF($B73=HN$12,$O73,"")</f>
        <v/>
      </c>
      <c r="HO73" s="88" t="str">
        <f aca="false">IF($B73=HO$12,$O73,"")</f>
        <v/>
      </c>
      <c r="HP73" s="88" t="str">
        <f aca="false">IF($B73=HP$12,$O73,"")</f>
        <v/>
      </c>
      <c r="HQ73" s="88" t="str">
        <f aca="false">IF($B73=HQ$12,$O73,"")</f>
        <v/>
      </c>
      <c r="HR73" s="89" t="str">
        <f aca="false">IF($B73=HR$12,$O73,"")</f>
        <v/>
      </c>
    </row>
    <row r="74" customFormat="false" ht="10.5" hidden="false" customHeight="true" outlineLevel="0" collapsed="false">
      <c r="A74" s="73"/>
      <c r="B74" s="74"/>
      <c r="C74" s="75" t="str">
        <f aca="false">IF(A74=0,"",VLOOKUP(A74,[3]CO!$A$3:$F$5311,2,0))</f>
        <v/>
      </c>
      <c r="D74" s="76"/>
      <c r="E74" s="76"/>
      <c r="F74" s="76"/>
      <c r="G74" s="77" t="str">
        <f aca="false">IF(A74=0,"",VLOOKUP(A74,[3]CO!$A$3:$F$5311,3,0))</f>
        <v/>
      </c>
      <c r="H74" s="76"/>
      <c r="I74" s="78"/>
      <c r="J74" s="78"/>
      <c r="K74" s="78"/>
      <c r="L74" s="78"/>
      <c r="M74" s="79" t="str">
        <f aca="false">IF(L74=0,"",PRODUCT(I74:L74))</f>
        <v/>
      </c>
      <c r="N74" s="79" t="str">
        <f aca="false">IF(B74=0,"",IF(H74="M",HLOOKUP(B74,$Y$12:$DT$13,2),IF(A74=0,"",VLOOKUP(A74,[3]CO!$A$3:$F$5311,4,0))))</f>
        <v/>
      </c>
      <c r="O74" s="79" t="str">
        <f aca="false">IF(L74=0,"",PRODUCT(M74:N74))</f>
        <v/>
      </c>
      <c r="P74" s="80"/>
      <c r="Q74" s="81" t="str">
        <f aca="false">IF(P74=0,"",(HLOOKUP(P74,$DW$12:$HR$13,2)))</f>
        <v/>
      </c>
      <c r="R74" s="82" t="str">
        <f aca="false">IF(S74=0,"",IF(OR(G74="PEON",G74="OF",G74="JARD",G74="CARP",G74="MAESTRO",G74="SOLD",G74="BGRO",G74="CHOFER",G74="AYTE",G74="S.INTTE.",G74="ASEO",G74="P.PISOS",G74="VELADOR",G74="RESID",G74="PINTOR",G74="ELECT",G74="AZULE",G74="AUX CONT.",G74="SECRETARIA",G74="AUXILIAR ADMTVO.",G74="ARQUITECTO",G74="DIBUJANTE",G74="AUX. DE RESIDENTE"),VLOOKUP(B74,P$14:Q$131,2),"")*S74)</f>
        <v/>
      </c>
      <c r="S74" s="5"/>
      <c r="T74" s="65" t="str">
        <f aca="false">IF(A74=0,"",VLOOKUP(A74,[3]CO!$A$3:$F$5302,5,0))</f>
        <v/>
      </c>
      <c r="U74" s="55" t="n">
        <f aca="false">IF(T74=1,O74*0.1,)</f>
        <v>0</v>
      </c>
      <c r="V74" s="66"/>
      <c r="W74" s="83"/>
      <c r="X74" s="83"/>
      <c r="Y74" s="84" t="str">
        <f aca="false">IF($B74=Y$12,$U74,"")</f>
        <v/>
      </c>
      <c r="Z74" s="85" t="str">
        <f aca="false">IF($B74=Z$12,$U74,"")</f>
        <v/>
      </c>
      <c r="AA74" s="85" t="str">
        <f aca="false">IF($B74=AA$12,$U74,"")</f>
        <v/>
      </c>
      <c r="AB74" s="85" t="str">
        <f aca="false">IF($B74=AB$12,$U74,"")</f>
        <v/>
      </c>
      <c r="AC74" s="85" t="str">
        <f aca="false">IF($B74=AC$12,$U74,"")</f>
        <v/>
      </c>
      <c r="AD74" s="85" t="str">
        <f aca="false">IF($B74=AD$12,$U74,"")</f>
        <v/>
      </c>
      <c r="AE74" s="85" t="str">
        <f aca="false">IF($B74=AE$12,$U74,"")</f>
        <v/>
      </c>
      <c r="AF74" s="85" t="str">
        <f aca="false">IF($B74=AF$12,$U74,"")</f>
        <v/>
      </c>
      <c r="AG74" s="85" t="str">
        <f aca="false">IF($B74=AG$12,$U74,"")</f>
        <v/>
      </c>
      <c r="AH74" s="85" t="str">
        <f aca="false">IF($B74=AH$12,$U74,"")</f>
        <v/>
      </c>
      <c r="AI74" s="85" t="str">
        <f aca="false">IF($B74=AI$12,$U74,"")</f>
        <v/>
      </c>
      <c r="AJ74" s="85" t="str">
        <f aca="false">IF($B74=AJ$12,$U74,"")</f>
        <v/>
      </c>
      <c r="AK74" s="85" t="str">
        <f aca="false">IF($B74=AK$12,$U74,"")</f>
        <v/>
      </c>
      <c r="AL74" s="85" t="str">
        <f aca="false">IF($B74=AL$12,$U74,"")</f>
        <v/>
      </c>
      <c r="AM74" s="85" t="str">
        <f aca="false">IF($B74=AM$12,$U74,"")</f>
        <v/>
      </c>
      <c r="AN74" s="85" t="str">
        <f aca="false">IF($B74=AN$12,$U74,"")</f>
        <v/>
      </c>
      <c r="AO74" s="85" t="str">
        <f aca="false">IF($B74=AO$12,$U74,"")</f>
        <v/>
      </c>
      <c r="AP74" s="85" t="str">
        <f aca="false">IF($B74=AP$12,$U74,"")</f>
        <v/>
      </c>
      <c r="AQ74" s="85" t="str">
        <f aca="false">IF($B74=AQ$12,$U74,"")</f>
        <v/>
      </c>
      <c r="AR74" s="85" t="str">
        <f aca="false">IF($B74=AR$12,$U74,"")</f>
        <v/>
      </c>
      <c r="AS74" s="85" t="str">
        <f aca="false">IF($B74=AS$12,$U74,"")</f>
        <v/>
      </c>
      <c r="AT74" s="85" t="str">
        <f aca="false">IF($B74=AT$12,$U74,"")</f>
        <v/>
      </c>
      <c r="AU74" s="85" t="str">
        <f aca="false">IF($B74=AU$12,$U74,"")</f>
        <v/>
      </c>
      <c r="AV74" s="85" t="str">
        <f aca="false">IF($B74=AV$12,$U74,"")</f>
        <v/>
      </c>
      <c r="AW74" s="85" t="str">
        <f aca="false">IF($B74=AW$12,$U74,"")</f>
        <v/>
      </c>
      <c r="AX74" s="85" t="str">
        <f aca="false">IF($B74=AX$12,$U74,"")</f>
        <v/>
      </c>
      <c r="AY74" s="85" t="str">
        <f aca="false">IF($B74=AY$12,$U74,"")</f>
        <v/>
      </c>
      <c r="AZ74" s="85" t="str">
        <f aca="false">IF($B74=AZ$12,$U74,"")</f>
        <v/>
      </c>
      <c r="BA74" s="85" t="str">
        <f aca="false">IF($B74=BA$12,$U74,"")</f>
        <v/>
      </c>
      <c r="BB74" s="85" t="str">
        <f aca="false">IF($B74=BB$12,$U74,"")</f>
        <v/>
      </c>
      <c r="BC74" s="85" t="str">
        <f aca="false">IF($B74=BC$12,$U74,"")</f>
        <v/>
      </c>
      <c r="BD74" s="85" t="str">
        <f aca="false">IF($B74=BD$12,$U74,"")</f>
        <v/>
      </c>
      <c r="BE74" s="85" t="str">
        <f aca="false">IF($B74=BE$12,$U74,"")</f>
        <v/>
      </c>
      <c r="BF74" s="85" t="str">
        <f aca="false">IF($B74=BF$12,$U74,"")</f>
        <v/>
      </c>
      <c r="BG74" s="85" t="str">
        <f aca="false">IF($B74=BG$12,$U74,"")</f>
        <v/>
      </c>
      <c r="BH74" s="85" t="str">
        <f aca="false">IF($B74=BH$12,$U74,"")</f>
        <v/>
      </c>
      <c r="BI74" s="85" t="str">
        <f aca="false">IF($B74=BI$12,$U74,"")</f>
        <v/>
      </c>
      <c r="BJ74" s="85" t="str">
        <f aca="false">IF($B74=BJ$12,$U74,"")</f>
        <v/>
      </c>
      <c r="BK74" s="85" t="str">
        <f aca="false">IF($B74=BK$12,$U74,"")</f>
        <v/>
      </c>
      <c r="BL74" s="85" t="str">
        <f aca="false">IF($B74=BL$12,$U74,"")</f>
        <v/>
      </c>
      <c r="BM74" s="85" t="str">
        <f aca="false">IF($B74=BM$12,$U74,"")</f>
        <v/>
      </c>
      <c r="BN74" s="85" t="str">
        <f aca="false">IF($B74=BN$12,$U74,"")</f>
        <v/>
      </c>
      <c r="BO74" s="85" t="str">
        <f aca="false">IF($B74=BO$12,$U74,"")</f>
        <v/>
      </c>
      <c r="BP74" s="85" t="str">
        <f aca="false">IF($B74=BP$12,$U74,"")</f>
        <v/>
      </c>
      <c r="BQ74" s="85" t="str">
        <f aca="false">IF($B74=BQ$12,$U74,"")</f>
        <v/>
      </c>
      <c r="BR74" s="85" t="str">
        <f aca="false">IF($B74=BR$12,$U74,"")</f>
        <v/>
      </c>
      <c r="BS74" s="85" t="str">
        <f aca="false">IF($B74=BS$12,$U74,"")</f>
        <v/>
      </c>
      <c r="BT74" s="85" t="str">
        <f aca="false">IF($B74=BT$12,$U74,"")</f>
        <v/>
      </c>
      <c r="BU74" s="85" t="str">
        <f aca="false">IF($B74=BU$12,$U74,"")</f>
        <v/>
      </c>
      <c r="BV74" s="85" t="str">
        <f aca="false">IF($B74=BV$12,$U74,"")</f>
        <v/>
      </c>
      <c r="BW74" s="85" t="str">
        <f aca="false">IF($B74=BW$12,$U74,"")</f>
        <v/>
      </c>
      <c r="BX74" s="85" t="str">
        <f aca="false">IF($B74=BX$12,$U74,"")</f>
        <v/>
      </c>
      <c r="BY74" s="85" t="str">
        <f aca="false">IF($B74=BY$12,$U74,"")</f>
        <v/>
      </c>
      <c r="BZ74" s="85" t="str">
        <f aca="false">IF($B74=BZ$12,$U74,"")</f>
        <v/>
      </c>
      <c r="CA74" s="85" t="str">
        <f aca="false">IF($B74=CA$12,$U74,"")</f>
        <v/>
      </c>
      <c r="CB74" s="85" t="str">
        <f aca="false">IF($B74=CB$12,$U74,"")</f>
        <v/>
      </c>
      <c r="CC74" s="85" t="str">
        <f aca="false">IF($B74=CC$12,$U74,"")</f>
        <v/>
      </c>
      <c r="CD74" s="85" t="str">
        <f aca="false">IF($B74=CD$12,$U74,"")</f>
        <v/>
      </c>
      <c r="CE74" s="85" t="str">
        <f aca="false">IF($B74=CE$12,$U74,"")</f>
        <v/>
      </c>
      <c r="CF74" s="85" t="str">
        <f aca="false">IF($B74=CF$12,$U74,"")</f>
        <v/>
      </c>
      <c r="CG74" s="85" t="str">
        <f aca="false">IF($B74=CG$12,$U74,"")</f>
        <v/>
      </c>
      <c r="CH74" s="85" t="str">
        <f aca="false">IF($B74=CH$12,$U74,"")</f>
        <v/>
      </c>
      <c r="CI74" s="85" t="str">
        <f aca="false">IF($B74=CI$12,$U74,"")</f>
        <v/>
      </c>
      <c r="CJ74" s="85" t="str">
        <f aca="false">IF($B74=CJ$12,$U74,"")</f>
        <v/>
      </c>
      <c r="CK74" s="85" t="str">
        <f aca="false">IF($B74=CK$12,$U74,"")</f>
        <v/>
      </c>
      <c r="CL74" s="85" t="str">
        <f aca="false">IF($B74=CL$12,$U74,"")</f>
        <v/>
      </c>
      <c r="CM74" s="85" t="str">
        <f aca="false">IF($B74=CM$12,$U74,"")</f>
        <v/>
      </c>
      <c r="CN74" s="85" t="str">
        <f aca="false">IF($B74=CN$12,$U74,"")</f>
        <v/>
      </c>
      <c r="CO74" s="85" t="str">
        <f aca="false">IF($B74=CO$12,$U74,"")</f>
        <v/>
      </c>
      <c r="CP74" s="85" t="str">
        <f aca="false">IF($B74=CP$12,$U74,"")</f>
        <v/>
      </c>
      <c r="CQ74" s="85" t="str">
        <f aca="false">IF($B74=CQ$12,$U74,"")</f>
        <v/>
      </c>
      <c r="CR74" s="85" t="str">
        <f aca="false">IF($B74=CR$12,$U74,"")</f>
        <v/>
      </c>
      <c r="CS74" s="85" t="str">
        <f aca="false">IF($B74=CS$12,$U74,"")</f>
        <v/>
      </c>
      <c r="CT74" s="85" t="str">
        <f aca="false">IF($B74=CT$12,$U74,"")</f>
        <v/>
      </c>
      <c r="CU74" s="85" t="str">
        <f aca="false">IF($B74=CU$12,$U74,"")</f>
        <v/>
      </c>
      <c r="CV74" s="85" t="str">
        <f aca="false">IF($B74=CV$12,$U74,"")</f>
        <v/>
      </c>
      <c r="CW74" s="85" t="str">
        <f aca="false">IF($B74=CW$12,$U74,"")</f>
        <v/>
      </c>
      <c r="CX74" s="85" t="str">
        <f aca="false">IF($B74=CX$12,$U74,"")</f>
        <v/>
      </c>
      <c r="CY74" s="85" t="str">
        <f aca="false">IF($B74=CY$12,$U74,"")</f>
        <v/>
      </c>
      <c r="CZ74" s="85" t="str">
        <f aca="false">IF($B74=CZ$12,$U74,"")</f>
        <v/>
      </c>
      <c r="DA74" s="85" t="str">
        <f aca="false">IF($B74=DA$12,$U74,"")</f>
        <v/>
      </c>
      <c r="DB74" s="85" t="str">
        <f aca="false">IF($B74=DB$12,$U74,"")</f>
        <v/>
      </c>
      <c r="DC74" s="85" t="str">
        <f aca="false">IF($B74=DC$12,$U74,"")</f>
        <v/>
      </c>
      <c r="DD74" s="85" t="str">
        <f aca="false">IF($B74=DD$12,$U74,"")</f>
        <v/>
      </c>
      <c r="DE74" s="85" t="str">
        <f aca="false">IF($B74=DE$12,$U74,"")</f>
        <v/>
      </c>
      <c r="DF74" s="85" t="str">
        <f aca="false">IF($B74=DF$12,$U74,"")</f>
        <v/>
      </c>
      <c r="DG74" s="85" t="str">
        <f aca="false">IF($B74=DG$12,$U74,"")</f>
        <v/>
      </c>
      <c r="DH74" s="85" t="str">
        <f aca="false">IF($B74=DH$12,$U74,"")</f>
        <v/>
      </c>
      <c r="DI74" s="85" t="str">
        <f aca="false">IF($B74=DI$12,$U74,"")</f>
        <v/>
      </c>
      <c r="DJ74" s="85" t="str">
        <f aca="false">IF($B74=DJ$12,$U74,"")</f>
        <v/>
      </c>
      <c r="DK74" s="85" t="str">
        <f aca="false">IF($B74=DK$12,$U74,"")</f>
        <v/>
      </c>
      <c r="DL74" s="85" t="str">
        <f aca="false">IF($B74=DL$12,$U74,"")</f>
        <v/>
      </c>
      <c r="DM74" s="85" t="str">
        <f aca="false">IF($B74=DM$12,$U74,"")</f>
        <v/>
      </c>
      <c r="DN74" s="85" t="str">
        <f aca="false">IF($B74=DN$12,$U74,"")</f>
        <v/>
      </c>
      <c r="DO74" s="85" t="str">
        <f aca="false">IF($B74=DO$12,$U74,"")</f>
        <v/>
      </c>
      <c r="DP74" s="85" t="str">
        <f aca="false">IF($B74=DP$12,$U74,"")</f>
        <v/>
      </c>
      <c r="DQ74" s="85" t="str">
        <f aca="false">IF($B74=DQ$12,$U74,"")</f>
        <v/>
      </c>
      <c r="DR74" s="85" t="str">
        <f aca="false">IF($B74=DR$12,$U74,"")</f>
        <v/>
      </c>
      <c r="DS74" s="85" t="str">
        <f aca="false">IF($B74=DS$12,$U74,"")</f>
        <v/>
      </c>
      <c r="DT74" s="86" t="str">
        <f aca="false">IF($B74=DT$12,$U74,"")</f>
        <v/>
      </c>
      <c r="DU74" s="55"/>
      <c r="DV74" s="83"/>
      <c r="DW74" s="87" t="str">
        <f aca="false">IF($B74=DW$12,$O74,"")</f>
        <v/>
      </c>
      <c r="DX74" s="88" t="str">
        <f aca="false">IF($B74=DX$12,$O74,"")</f>
        <v/>
      </c>
      <c r="DY74" s="88" t="str">
        <f aca="false">IF($B74=DY$12,$O74,"")</f>
        <v/>
      </c>
      <c r="DZ74" s="88" t="str">
        <f aca="false">IF($B74=DZ$12,$O74,"")</f>
        <v/>
      </c>
      <c r="EA74" s="88" t="str">
        <f aca="false">IF($B74=EA$12,$O74,"")</f>
        <v/>
      </c>
      <c r="EB74" s="88" t="str">
        <f aca="false">IF($B74=EB$12,$O74,"")</f>
        <v/>
      </c>
      <c r="EC74" s="88" t="str">
        <f aca="false">IF($B74=EC$12,$O74,"")</f>
        <v/>
      </c>
      <c r="ED74" s="88" t="str">
        <f aca="false">IF($B74=ED$12,$O74,"")</f>
        <v/>
      </c>
      <c r="EE74" s="88" t="str">
        <f aca="false">IF($B74=EE$12,$O74,"")</f>
        <v/>
      </c>
      <c r="EF74" s="88" t="str">
        <f aca="false">IF($B74=EF$12,$O74,"")</f>
        <v/>
      </c>
      <c r="EG74" s="88" t="str">
        <f aca="false">IF($B74=EG$12,$O74,"")</f>
        <v/>
      </c>
      <c r="EH74" s="88" t="str">
        <f aca="false">IF($B74=EH$12,$O74,"")</f>
        <v/>
      </c>
      <c r="EI74" s="88" t="str">
        <f aca="false">IF($B74=EI$12,$O74,"")</f>
        <v/>
      </c>
      <c r="EJ74" s="88" t="str">
        <f aca="false">IF($B74=EJ$12,$O74,"")</f>
        <v/>
      </c>
      <c r="EK74" s="88" t="str">
        <f aca="false">IF($B74=EK$12,$O74,"")</f>
        <v/>
      </c>
      <c r="EL74" s="88" t="str">
        <f aca="false">IF($B74=EL$12,$O74,"")</f>
        <v/>
      </c>
      <c r="EM74" s="88" t="str">
        <f aca="false">IF($B74=EM$12,$O74,"")</f>
        <v/>
      </c>
      <c r="EN74" s="88" t="str">
        <f aca="false">IF($B74=EN$12,$O74,"")</f>
        <v/>
      </c>
      <c r="EO74" s="88" t="str">
        <f aca="false">IF($B74=EO$12,$O74,"")</f>
        <v/>
      </c>
      <c r="EP74" s="88" t="str">
        <f aca="false">IF($B74=EP$12,$O74,"")</f>
        <v/>
      </c>
      <c r="EQ74" s="88" t="str">
        <f aca="false">IF($B74=EQ$12,$O74,"")</f>
        <v/>
      </c>
      <c r="ER74" s="88" t="str">
        <f aca="false">IF($B74=ER$12,$O74,"")</f>
        <v/>
      </c>
      <c r="ES74" s="88" t="str">
        <f aca="false">IF($B74=ES$12,$O74,"")</f>
        <v/>
      </c>
      <c r="ET74" s="88" t="str">
        <f aca="false">IF($B74=ET$12,$O74,"")</f>
        <v/>
      </c>
      <c r="EU74" s="88" t="str">
        <f aca="false">IF($B74=EU$12,$O74,"")</f>
        <v/>
      </c>
      <c r="EV74" s="88" t="str">
        <f aca="false">IF($B74=EV$12,$O74,"")</f>
        <v/>
      </c>
      <c r="EW74" s="88" t="str">
        <f aca="false">IF($B74=EW$12,$O74,"")</f>
        <v/>
      </c>
      <c r="EX74" s="88" t="str">
        <f aca="false">IF($B74=EX$12,$O74,"")</f>
        <v/>
      </c>
      <c r="EY74" s="88" t="str">
        <f aca="false">IF($B74=EY$12,$O74,"")</f>
        <v/>
      </c>
      <c r="EZ74" s="88" t="str">
        <f aca="false">IF($B74=EZ$12,$O74,"")</f>
        <v/>
      </c>
      <c r="FA74" s="88" t="str">
        <f aca="false">IF($B74=FA$12,$O74,"")</f>
        <v/>
      </c>
      <c r="FB74" s="88" t="str">
        <f aca="false">IF($B74=FB$12,$O74,"")</f>
        <v/>
      </c>
      <c r="FC74" s="88" t="str">
        <f aca="false">IF($B74=FC$12,$O74,"")</f>
        <v/>
      </c>
      <c r="FD74" s="88" t="str">
        <f aca="false">IF($B74=FD$12,$O74,"")</f>
        <v/>
      </c>
      <c r="FE74" s="88" t="str">
        <f aca="false">IF($B74=FE$12,$O74,"")</f>
        <v/>
      </c>
      <c r="FF74" s="88" t="str">
        <f aca="false">IF($B74=FF$12,$O74,"")</f>
        <v/>
      </c>
      <c r="FG74" s="88" t="str">
        <f aca="false">IF($B74=FG$12,$O74,"")</f>
        <v/>
      </c>
      <c r="FH74" s="88" t="str">
        <f aca="false">IF($B74=FH$12,$O74,"")</f>
        <v/>
      </c>
      <c r="FI74" s="88" t="str">
        <f aca="false">IF($B74=FI$12,$O74,"")</f>
        <v/>
      </c>
      <c r="FJ74" s="88" t="str">
        <f aca="false">IF($B74=FJ$12,$O74,"")</f>
        <v/>
      </c>
      <c r="FK74" s="88" t="str">
        <f aca="false">IF($B74=FK$12,$O74,"")</f>
        <v/>
      </c>
      <c r="FL74" s="88" t="str">
        <f aca="false">IF($B74=FL$12,$O74,"")</f>
        <v/>
      </c>
      <c r="FM74" s="88" t="str">
        <f aca="false">IF($B74=FM$12,$O74,"")</f>
        <v/>
      </c>
      <c r="FN74" s="88" t="str">
        <f aca="false">IF($B74=FN$12,$O74,"")</f>
        <v/>
      </c>
      <c r="FO74" s="88" t="str">
        <f aca="false">IF($B74=FO$12,$O74,"")</f>
        <v/>
      </c>
      <c r="FP74" s="88" t="str">
        <f aca="false">IF($B74=FP$12,$O74,"")</f>
        <v/>
      </c>
      <c r="FQ74" s="88" t="str">
        <f aca="false">IF($B74=FQ$12,$O74,"")</f>
        <v/>
      </c>
      <c r="FR74" s="88" t="str">
        <f aca="false">IF($B74=FR$12,$O74,"")</f>
        <v/>
      </c>
      <c r="FS74" s="88" t="str">
        <f aca="false">IF($B74=FS$12,$O74,"")</f>
        <v/>
      </c>
      <c r="FT74" s="88" t="str">
        <f aca="false">IF($B74=FT$12,$O74,"")</f>
        <v/>
      </c>
      <c r="FU74" s="88" t="str">
        <f aca="false">IF($B74=FU$12,$O74,"")</f>
        <v/>
      </c>
      <c r="FV74" s="88" t="str">
        <f aca="false">IF($B74=FV$12,$O74,"")</f>
        <v/>
      </c>
      <c r="FW74" s="88" t="str">
        <f aca="false">IF($B74=FW$12,$O74,"")</f>
        <v/>
      </c>
      <c r="FX74" s="88" t="str">
        <f aca="false">IF($B74=FX$12,$O74,"")</f>
        <v/>
      </c>
      <c r="FY74" s="88" t="str">
        <f aca="false">IF($B74=FY$12,$O74,"")</f>
        <v/>
      </c>
      <c r="FZ74" s="88" t="str">
        <f aca="false">IF($B74=FZ$12,$O74,"")</f>
        <v/>
      </c>
      <c r="GA74" s="88" t="str">
        <f aca="false">IF($B74=GA$12,$O74,"")</f>
        <v/>
      </c>
      <c r="GB74" s="88" t="str">
        <f aca="false">IF($B74=GB$12,$O74,"")</f>
        <v/>
      </c>
      <c r="GC74" s="88" t="str">
        <f aca="false">IF($B74=GC$12,$O74,"")</f>
        <v/>
      </c>
      <c r="GD74" s="88" t="str">
        <f aca="false">IF($B74=GD$12,$O74,"")</f>
        <v/>
      </c>
      <c r="GE74" s="88" t="str">
        <f aca="false">IF($B74=GE$12,$O74,"")</f>
        <v/>
      </c>
      <c r="GF74" s="88" t="str">
        <f aca="false">IF($B74=GF$12,$O74,"")</f>
        <v/>
      </c>
      <c r="GG74" s="88" t="str">
        <f aca="false">IF($B74=GG$12,$O74,"")</f>
        <v/>
      </c>
      <c r="GH74" s="88" t="str">
        <f aca="false">IF($B74=GH$12,$O74,"")</f>
        <v/>
      </c>
      <c r="GI74" s="88" t="str">
        <f aca="false">IF($B74=GI$12,$O74,"")</f>
        <v/>
      </c>
      <c r="GJ74" s="88" t="str">
        <f aca="false">IF($B74=GJ$12,$O74,"")</f>
        <v/>
      </c>
      <c r="GK74" s="88" t="str">
        <f aca="false">IF($B74=GK$12,$O74,"")</f>
        <v/>
      </c>
      <c r="GL74" s="88" t="str">
        <f aca="false">IF($B74=GL$12,$O74,"")</f>
        <v/>
      </c>
      <c r="GM74" s="88" t="str">
        <f aca="false">IF($B74=GM$12,$O74,"")</f>
        <v/>
      </c>
      <c r="GN74" s="88" t="str">
        <f aca="false">IF($B74=GN$12,$O74,"")</f>
        <v/>
      </c>
      <c r="GO74" s="88" t="str">
        <f aca="false">IF($B74=GO$12,$O74,"")</f>
        <v/>
      </c>
      <c r="GP74" s="88" t="str">
        <f aca="false">IF($B74=GP$12,$O74,"")</f>
        <v/>
      </c>
      <c r="GQ74" s="88" t="str">
        <f aca="false">IF($B74=GQ$12,$O74,"")</f>
        <v/>
      </c>
      <c r="GR74" s="88" t="str">
        <f aca="false">IF($B74=GR$12,$O74,"")</f>
        <v/>
      </c>
      <c r="GS74" s="88" t="str">
        <f aca="false">IF($B74=GS$12,$O74,"")</f>
        <v/>
      </c>
      <c r="GT74" s="88" t="str">
        <f aca="false">IF($B74=GT$12,$O74,"")</f>
        <v/>
      </c>
      <c r="GU74" s="88" t="str">
        <f aca="false">IF($B74=GU$12,$O74,"")</f>
        <v/>
      </c>
      <c r="GV74" s="88" t="str">
        <f aca="false">IF($B74=GV$12,$O74,"")</f>
        <v/>
      </c>
      <c r="GW74" s="88" t="str">
        <f aca="false">IF($B74=GW$12,$O74,"")</f>
        <v/>
      </c>
      <c r="GX74" s="88" t="str">
        <f aca="false">IF($B74=GX$12,$O74,"")</f>
        <v/>
      </c>
      <c r="GY74" s="88" t="str">
        <f aca="false">IF($B74=GY$12,$O74,"")</f>
        <v/>
      </c>
      <c r="GZ74" s="88" t="str">
        <f aca="false">IF($B74=GZ$12,$O74,"")</f>
        <v/>
      </c>
      <c r="HA74" s="88" t="str">
        <f aca="false">IF($B74=HA$12,$O74,"")</f>
        <v/>
      </c>
      <c r="HB74" s="88" t="str">
        <f aca="false">IF($B74=HB$12,$O74,"")</f>
        <v/>
      </c>
      <c r="HC74" s="88" t="str">
        <f aca="false">IF($B74=HC$12,$O74,"")</f>
        <v/>
      </c>
      <c r="HD74" s="88" t="str">
        <f aca="false">IF($B74=HD$12,$O74,"")</f>
        <v/>
      </c>
      <c r="HE74" s="88" t="str">
        <f aca="false">IF($B74=HE$12,$O74,"")</f>
        <v/>
      </c>
      <c r="HF74" s="88" t="str">
        <f aca="false">IF($B74=HF$12,$O74,"")</f>
        <v/>
      </c>
      <c r="HG74" s="88" t="str">
        <f aca="false">IF($B74=HG$12,$O74,"")</f>
        <v/>
      </c>
      <c r="HH74" s="88" t="str">
        <f aca="false">IF($B74=HH$12,$O74,"")</f>
        <v/>
      </c>
      <c r="HI74" s="88" t="str">
        <f aca="false">IF($B74=HI$12,$O74,"")</f>
        <v/>
      </c>
      <c r="HJ74" s="88" t="str">
        <f aca="false">IF($B74=HJ$12,$O74,"")</f>
        <v/>
      </c>
      <c r="HK74" s="88" t="str">
        <f aca="false">IF($B74=HK$12,$O74,"")</f>
        <v/>
      </c>
      <c r="HL74" s="88" t="str">
        <f aca="false">IF($B74=HL$12,$O74,"")</f>
        <v/>
      </c>
      <c r="HM74" s="88" t="str">
        <f aca="false">IF($B74=HM$12,$O74,"")</f>
        <v/>
      </c>
      <c r="HN74" s="88" t="str">
        <f aca="false">IF($B74=HN$12,$O74,"")</f>
        <v/>
      </c>
      <c r="HO74" s="88" t="str">
        <f aca="false">IF($B74=HO$12,$O74,"")</f>
        <v/>
      </c>
      <c r="HP74" s="88" t="str">
        <f aca="false">IF($B74=HP$12,$O74,"")</f>
        <v/>
      </c>
      <c r="HQ74" s="88" t="str">
        <f aca="false">IF($B74=HQ$12,$O74,"")</f>
        <v/>
      </c>
      <c r="HR74" s="89" t="str">
        <f aca="false">IF($B74=HR$12,$O74,"")</f>
        <v/>
      </c>
    </row>
    <row r="75" customFormat="false" ht="10.5" hidden="false" customHeight="true" outlineLevel="0" collapsed="false">
      <c r="A75" s="73"/>
      <c r="B75" s="74"/>
      <c r="C75" s="75" t="str">
        <f aca="false">IF(A75=0,"",VLOOKUP(A75,[3]CO!$A$3:$F$5311,2,0))</f>
        <v/>
      </c>
      <c r="D75" s="76"/>
      <c r="E75" s="76"/>
      <c r="F75" s="76"/>
      <c r="G75" s="77" t="str">
        <f aca="false">IF(A75=0,"",VLOOKUP(A75,[3]CO!$A$3:$F$5311,3,0))</f>
        <v/>
      </c>
      <c r="H75" s="76"/>
      <c r="I75" s="78"/>
      <c r="J75" s="78"/>
      <c r="K75" s="78"/>
      <c r="L75" s="78"/>
      <c r="M75" s="79" t="str">
        <f aca="false">IF(L75=0,"",PRODUCT(I75:L75))</f>
        <v/>
      </c>
      <c r="N75" s="79" t="str">
        <f aca="false">IF(B75=0,"",IF(H75="M",HLOOKUP(B75,$Y$12:$DT$13,2),IF(A75=0,"",VLOOKUP(A75,[3]CO!$A$3:$F$5311,4,0))))</f>
        <v/>
      </c>
      <c r="O75" s="79" t="str">
        <f aca="false">IF(L75=0,"",PRODUCT(M75:N75))</f>
        <v/>
      </c>
      <c r="P75" s="80"/>
      <c r="Q75" s="81" t="str">
        <f aca="false">IF(P75=0,"",(HLOOKUP(P75,$DW$12:$HR$13,2)))</f>
        <v/>
      </c>
      <c r="R75" s="82" t="str">
        <f aca="false">IF(S75=0,"",IF(OR(G75="PEON",G75="OF",G75="JARD",G75="CARP",G75="MAESTRO",G75="SOLD",G75="BGRO",G75="CHOFER",G75="AYTE",G75="S.INTTE.",G75="ASEO",G75="P.PISOS",G75="VELADOR",G75="RESID",G75="PINTOR",G75="ELECT",G75="AZULE",G75="AUX CONT.",G75="SECRETARIA",G75="AUXILIAR ADMTVO.",G75="ARQUITECTO",G75="DIBUJANTE",G75="AUX. DE RESIDENTE"),VLOOKUP(B75,P$14:Q$131,2),"")*S75)</f>
        <v/>
      </c>
      <c r="S75" s="5"/>
      <c r="T75" s="65" t="str">
        <f aca="false">IF(A75=0,"",VLOOKUP(A75,[3]CO!$A$3:$F$5302,5,0))</f>
        <v/>
      </c>
      <c r="U75" s="55" t="n">
        <f aca="false">IF(T75=1,O75*0.1,)</f>
        <v>0</v>
      </c>
      <c r="V75" s="66"/>
      <c r="W75" s="83"/>
      <c r="X75" s="83"/>
      <c r="Y75" s="84" t="str">
        <f aca="false">IF($B75=Y$12,$U75,"")</f>
        <v/>
      </c>
      <c r="Z75" s="85" t="str">
        <f aca="false">IF($B75=Z$12,$U75,"")</f>
        <v/>
      </c>
      <c r="AA75" s="85" t="str">
        <f aca="false">IF($B75=AA$12,$U75,"")</f>
        <v/>
      </c>
      <c r="AB75" s="85" t="str">
        <f aca="false">IF($B75=AB$12,$U75,"")</f>
        <v/>
      </c>
      <c r="AC75" s="85" t="str">
        <f aca="false">IF($B75=AC$12,$U75,"")</f>
        <v/>
      </c>
      <c r="AD75" s="85" t="str">
        <f aca="false">IF($B75=AD$12,$U75,"")</f>
        <v/>
      </c>
      <c r="AE75" s="85" t="str">
        <f aca="false">IF($B75=AE$12,$U75,"")</f>
        <v/>
      </c>
      <c r="AF75" s="85" t="str">
        <f aca="false">IF($B75=AF$12,$U75,"")</f>
        <v/>
      </c>
      <c r="AG75" s="85" t="str">
        <f aca="false">IF($B75=AG$12,$U75,"")</f>
        <v/>
      </c>
      <c r="AH75" s="85" t="str">
        <f aca="false">IF($B75=AH$12,$U75,"")</f>
        <v/>
      </c>
      <c r="AI75" s="85" t="str">
        <f aca="false">IF($B75=AI$12,$U75,"")</f>
        <v/>
      </c>
      <c r="AJ75" s="85" t="str">
        <f aca="false">IF($B75=AJ$12,$U75,"")</f>
        <v/>
      </c>
      <c r="AK75" s="85" t="str">
        <f aca="false">IF($B75=AK$12,$U75,"")</f>
        <v/>
      </c>
      <c r="AL75" s="85" t="str">
        <f aca="false">IF($B75=AL$12,$U75,"")</f>
        <v/>
      </c>
      <c r="AM75" s="85" t="str">
        <f aca="false">IF($B75=AM$12,$U75,"")</f>
        <v/>
      </c>
      <c r="AN75" s="85" t="str">
        <f aca="false">IF($B75=AN$12,$U75,"")</f>
        <v/>
      </c>
      <c r="AO75" s="85" t="str">
        <f aca="false">IF($B75=AO$12,$U75,"")</f>
        <v/>
      </c>
      <c r="AP75" s="85" t="str">
        <f aca="false">IF($B75=AP$12,$U75,"")</f>
        <v/>
      </c>
      <c r="AQ75" s="85" t="str">
        <f aca="false">IF($B75=AQ$12,$U75,"")</f>
        <v/>
      </c>
      <c r="AR75" s="85" t="str">
        <f aca="false">IF($B75=AR$12,$U75,"")</f>
        <v/>
      </c>
      <c r="AS75" s="85" t="str">
        <f aca="false">IF($B75=AS$12,$U75,"")</f>
        <v/>
      </c>
      <c r="AT75" s="85" t="str">
        <f aca="false">IF($B75=AT$12,$U75,"")</f>
        <v/>
      </c>
      <c r="AU75" s="85" t="str">
        <f aca="false">IF($B75=AU$12,$U75,"")</f>
        <v/>
      </c>
      <c r="AV75" s="85" t="str">
        <f aca="false">IF($B75=AV$12,$U75,"")</f>
        <v/>
      </c>
      <c r="AW75" s="85" t="str">
        <f aca="false">IF($B75=AW$12,$U75,"")</f>
        <v/>
      </c>
      <c r="AX75" s="85" t="str">
        <f aca="false">IF($B75=AX$12,$U75,"")</f>
        <v/>
      </c>
      <c r="AY75" s="85" t="str">
        <f aca="false">IF($B75=AY$12,$U75,"")</f>
        <v/>
      </c>
      <c r="AZ75" s="85" t="str">
        <f aca="false">IF($B75=AZ$12,$U75,"")</f>
        <v/>
      </c>
      <c r="BA75" s="85" t="str">
        <f aca="false">IF($B75=BA$12,$U75,"")</f>
        <v/>
      </c>
      <c r="BB75" s="85" t="str">
        <f aca="false">IF($B75=BB$12,$U75,"")</f>
        <v/>
      </c>
      <c r="BC75" s="85" t="str">
        <f aca="false">IF($B75=BC$12,$U75,"")</f>
        <v/>
      </c>
      <c r="BD75" s="85" t="str">
        <f aca="false">IF($B75=BD$12,$U75,"")</f>
        <v/>
      </c>
      <c r="BE75" s="85" t="str">
        <f aca="false">IF($B75=BE$12,$U75,"")</f>
        <v/>
      </c>
      <c r="BF75" s="85" t="str">
        <f aca="false">IF($B75=BF$12,$U75,"")</f>
        <v/>
      </c>
      <c r="BG75" s="85" t="str">
        <f aca="false">IF($B75=BG$12,$U75,"")</f>
        <v/>
      </c>
      <c r="BH75" s="85" t="str">
        <f aca="false">IF($B75=BH$12,$U75,"")</f>
        <v/>
      </c>
      <c r="BI75" s="85" t="str">
        <f aca="false">IF($B75=BI$12,$U75,"")</f>
        <v/>
      </c>
      <c r="BJ75" s="85" t="str">
        <f aca="false">IF($B75=BJ$12,$U75,"")</f>
        <v/>
      </c>
      <c r="BK75" s="85" t="str">
        <f aca="false">IF($B75=BK$12,$U75,"")</f>
        <v/>
      </c>
      <c r="BL75" s="85" t="str">
        <f aca="false">IF($B75=BL$12,$U75,"")</f>
        <v/>
      </c>
      <c r="BM75" s="85" t="str">
        <f aca="false">IF($B75=BM$12,$U75,"")</f>
        <v/>
      </c>
      <c r="BN75" s="85" t="str">
        <f aca="false">IF($B75=BN$12,$U75,"")</f>
        <v/>
      </c>
      <c r="BO75" s="85" t="str">
        <f aca="false">IF($B75=BO$12,$U75,"")</f>
        <v/>
      </c>
      <c r="BP75" s="85" t="str">
        <f aca="false">IF($B75=BP$12,$U75,"")</f>
        <v/>
      </c>
      <c r="BQ75" s="85" t="str">
        <f aca="false">IF($B75=BQ$12,$U75,"")</f>
        <v/>
      </c>
      <c r="BR75" s="85" t="str">
        <f aca="false">IF($B75=BR$12,$U75,"")</f>
        <v/>
      </c>
      <c r="BS75" s="85" t="str">
        <f aca="false">IF($B75=BS$12,$U75,"")</f>
        <v/>
      </c>
      <c r="BT75" s="85" t="str">
        <f aca="false">IF($B75=BT$12,$U75,"")</f>
        <v/>
      </c>
      <c r="BU75" s="85" t="str">
        <f aca="false">IF($B75=BU$12,$U75,"")</f>
        <v/>
      </c>
      <c r="BV75" s="85" t="str">
        <f aca="false">IF($B75=BV$12,$U75,"")</f>
        <v/>
      </c>
      <c r="BW75" s="85" t="str">
        <f aca="false">IF($B75=BW$12,$U75,"")</f>
        <v/>
      </c>
      <c r="BX75" s="85" t="str">
        <f aca="false">IF($B75=BX$12,$U75,"")</f>
        <v/>
      </c>
      <c r="BY75" s="85" t="str">
        <f aca="false">IF($B75=BY$12,$U75,"")</f>
        <v/>
      </c>
      <c r="BZ75" s="85" t="str">
        <f aca="false">IF($B75=BZ$12,$U75,"")</f>
        <v/>
      </c>
      <c r="CA75" s="85" t="str">
        <f aca="false">IF($B75=CA$12,$U75,"")</f>
        <v/>
      </c>
      <c r="CB75" s="85" t="str">
        <f aca="false">IF($B75=CB$12,$U75,"")</f>
        <v/>
      </c>
      <c r="CC75" s="85" t="str">
        <f aca="false">IF($B75=CC$12,$U75,"")</f>
        <v/>
      </c>
      <c r="CD75" s="85" t="str">
        <f aca="false">IF($B75=CD$12,$U75,"")</f>
        <v/>
      </c>
      <c r="CE75" s="85" t="str">
        <f aca="false">IF($B75=CE$12,$U75,"")</f>
        <v/>
      </c>
      <c r="CF75" s="85" t="str">
        <f aca="false">IF($B75=CF$12,$U75,"")</f>
        <v/>
      </c>
      <c r="CG75" s="85" t="str">
        <f aca="false">IF($B75=CG$12,$U75,"")</f>
        <v/>
      </c>
      <c r="CH75" s="85" t="str">
        <f aca="false">IF($B75=CH$12,$U75,"")</f>
        <v/>
      </c>
      <c r="CI75" s="85" t="str">
        <f aca="false">IF($B75=CI$12,$U75,"")</f>
        <v/>
      </c>
      <c r="CJ75" s="85" t="str">
        <f aca="false">IF($B75=CJ$12,$U75,"")</f>
        <v/>
      </c>
      <c r="CK75" s="85" t="str">
        <f aca="false">IF($B75=CK$12,$U75,"")</f>
        <v/>
      </c>
      <c r="CL75" s="85" t="str">
        <f aca="false">IF($B75=CL$12,$U75,"")</f>
        <v/>
      </c>
      <c r="CM75" s="85" t="str">
        <f aca="false">IF($B75=CM$12,$U75,"")</f>
        <v/>
      </c>
      <c r="CN75" s="85" t="str">
        <f aca="false">IF($B75=CN$12,$U75,"")</f>
        <v/>
      </c>
      <c r="CO75" s="85" t="str">
        <f aca="false">IF($B75=CO$12,$U75,"")</f>
        <v/>
      </c>
      <c r="CP75" s="85" t="str">
        <f aca="false">IF($B75=CP$12,$U75,"")</f>
        <v/>
      </c>
      <c r="CQ75" s="85" t="str">
        <f aca="false">IF($B75=CQ$12,$U75,"")</f>
        <v/>
      </c>
      <c r="CR75" s="85" t="str">
        <f aca="false">IF($B75=CR$12,$U75,"")</f>
        <v/>
      </c>
      <c r="CS75" s="85" t="str">
        <f aca="false">IF($B75=CS$12,$U75,"")</f>
        <v/>
      </c>
      <c r="CT75" s="85" t="str">
        <f aca="false">IF($B75=CT$12,$U75,"")</f>
        <v/>
      </c>
      <c r="CU75" s="85" t="str">
        <f aca="false">IF($B75=CU$12,$U75,"")</f>
        <v/>
      </c>
      <c r="CV75" s="85" t="str">
        <f aca="false">IF($B75=CV$12,$U75,"")</f>
        <v/>
      </c>
      <c r="CW75" s="85" t="str">
        <f aca="false">IF($B75=CW$12,$U75,"")</f>
        <v/>
      </c>
      <c r="CX75" s="85" t="str">
        <f aca="false">IF($B75=CX$12,$U75,"")</f>
        <v/>
      </c>
      <c r="CY75" s="85" t="str">
        <f aca="false">IF($B75=CY$12,$U75,"")</f>
        <v/>
      </c>
      <c r="CZ75" s="85" t="str">
        <f aca="false">IF($B75=CZ$12,$U75,"")</f>
        <v/>
      </c>
      <c r="DA75" s="85" t="str">
        <f aca="false">IF($B75=DA$12,$U75,"")</f>
        <v/>
      </c>
      <c r="DB75" s="85" t="str">
        <f aca="false">IF($B75=DB$12,$U75,"")</f>
        <v/>
      </c>
      <c r="DC75" s="85" t="str">
        <f aca="false">IF($B75=DC$12,$U75,"")</f>
        <v/>
      </c>
      <c r="DD75" s="85" t="str">
        <f aca="false">IF($B75=DD$12,$U75,"")</f>
        <v/>
      </c>
      <c r="DE75" s="85" t="str">
        <f aca="false">IF($B75=DE$12,$U75,"")</f>
        <v/>
      </c>
      <c r="DF75" s="85" t="str">
        <f aca="false">IF($B75=DF$12,$U75,"")</f>
        <v/>
      </c>
      <c r="DG75" s="85" t="str">
        <f aca="false">IF($B75=DG$12,$U75,"")</f>
        <v/>
      </c>
      <c r="DH75" s="85" t="str">
        <f aca="false">IF($B75=DH$12,$U75,"")</f>
        <v/>
      </c>
      <c r="DI75" s="85" t="str">
        <f aca="false">IF($B75=DI$12,$U75,"")</f>
        <v/>
      </c>
      <c r="DJ75" s="85" t="str">
        <f aca="false">IF($B75=DJ$12,$U75,"")</f>
        <v/>
      </c>
      <c r="DK75" s="85" t="str">
        <f aca="false">IF($B75=DK$12,$U75,"")</f>
        <v/>
      </c>
      <c r="DL75" s="85" t="str">
        <f aca="false">IF($B75=DL$12,$U75,"")</f>
        <v/>
      </c>
      <c r="DM75" s="85" t="str">
        <f aca="false">IF($B75=DM$12,$U75,"")</f>
        <v/>
      </c>
      <c r="DN75" s="85" t="str">
        <f aca="false">IF($B75=DN$12,$U75,"")</f>
        <v/>
      </c>
      <c r="DO75" s="85" t="str">
        <f aca="false">IF($B75=DO$12,$U75,"")</f>
        <v/>
      </c>
      <c r="DP75" s="85" t="str">
        <f aca="false">IF($B75=DP$12,$U75,"")</f>
        <v/>
      </c>
      <c r="DQ75" s="85" t="str">
        <f aca="false">IF($B75=DQ$12,$U75,"")</f>
        <v/>
      </c>
      <c r="DR75" s="85" t="str">
        <f aca="false">IF($B75=DR$12,$U75,"")</f>
        <v/>
      </c>
      <c r="DS75" s="85" t="str">
        <f aca="false">IF($B75=DS$12,$U75,"")</f>
        <v/>
      </c>
      <c r="DT75" s="86" t="str">
        <f aca="false">IF($B75=DT$12,$U75,"")</f>
        <v/>
      </c>
      <c r="DU75" s="55"/>
      <c r="DV75" s="83"/>
      <c r="DW75" s="87" t="str">
        <f aca="false">IF($B75=DW$12,$O75,"")</f>
        <v/>
      </c>
      <c r="DX75" s="88" t="str">
        <f aca="false">IF($B75=DX$12,$O75,"")</f>
        <v/>
      </c>
      <c r="DY75" s="88" t="str">
        <f aca="false">IF($B75=DY$12,$O75,"")</f>
        <v/>
      </c>
      <c r="DZ75" s="88" t="str">
        <f aca="false">IF($B75=DZ$12,$O75,"")</f>
        <v/>
      </c>
      <c r="EA75" s="88" t="str">
        <f aca="false">IF($B75=EA$12,$O75,"")</f>
        <v/>
      </c>
      <c r="EB75" s="88" t="str">
        <f aca="false">IF($B75=EB$12,$O75,"")</f>
        <v/>
      </c>
      <c r="EC75" s="88" t="str">
        <f aca="false">IF($B75=EC$12,$O75,"")</f>
        <v/>
      </c>
      <c r="ED75" s="88" t="str">
        <f aca="false">IF($B75=ED$12,$O75,"")</f>
        <v/>
      </c>
      <c r="EE75" s="88" t="str">
        <f aca="false">IF($B75=EE$12,$O75,"")</f>
        <v/>
      </c>
      <c r="EF75" s="88" t="str">
        <f aca="false">IF($B75=EF$12,$O75,"")</f>
        <v/>
      </c>
      <c r="EG75" s="88" t="str">
        <f aca="false">IF($B75=EG$12,$O75,"")</f>
        <v/>
      </c>
      <c r="EH75" s="88" t="str">
        <f aca="false">IF($B75=EH$12,$O75,"")</f>
        <v/>
      </c>
      <c r="EI75" s="88" t="str">
        <f aca="false">IF($B75=EI$12,$O75,"")</f>
        <v/>
      </c>
      <c r="EJ75" s="88" t="str">
        <f aca="false">IF($B75=EJ$12,$O75,"")</f>
        <v/>
      </c>
      <c r="EK75" s="88" t="str">
        <f aca="false">IF($B75=EK$12,$O75,"")</f>
        <v/>
      </c>
      <c r="EL75" s="88" t="str">
        <f aca="false">IF($B75=EL$12,$O75,"")</f>
        <v/>
      </c>
      <c r="EM75" s="88" t="str">
        <f aca="false">IF($B75=EM$12,$O75,"")</f>
        <v/>
      </c>
      <c r="EN75" s="88" t="str">
        <f aca="false">IF($B75=EN$12,$O75,"")</f>
        <v/>
      </c>
      <c r="EO75" s="88" t="str">
        <f aca="false">IF($B75=EO$12,$O75,"")</f>
        <v/>
      </c>
      <c r="EP75" s="88" t="str">
        <f aca="false">IF($B75=EP$12,$O75,"")</f>
        <v/>
      </c>
      <c r="EQ75" s="88" t="str">
        <f aca="false">IF($B75=EQ$12,$O75,"")</f>
        <v/>
      </c>
      <c r="ER75" s="88" t="str">
        <f aca="false">IF($B75=ER$12,$O75,"")</f>
        <v/>
      </c>
      <c r="ES75" s="88" t="str">
        <f aca="false">IF($B75=ES$12,$O75,"")</f>
        <v/>
      </c>
      <c r="ET75" s="88" t="str">
        <f aca="false">IF($B75=ET$12,$O75,"")</f>
        <v/>
      </c>
      <c r="EU75" s="88" t="str">
        <f aca="false">IF($B75=EU$12,$O75,"")</f>
        <v/>
      </c>
      <c r="EV75" s="88" t="str">
        <f aca="false">IF($B75=EV$12,$O75,"")</f>
        <v/>
      </c>
      <c r="EW75" s="88" t="str">
        <f aca="false">IF($B75=EW$12,$O75,"")</f>
        <v/>
      </c>
      <c r="EX75" s="88" t="str">
        <f aca="false">IF($B75=EX$12,$O75,"")</f>
        <v/>
      </c>
      <c r="EY75" s="88" t="str">
        <f aca="false">IF($B75=EY$12,$O75,"")</f>
        <v/>
      </c>
      <c r="EZ75" s="88" t="str">
        <f aca="false">IF($B75=EZ$12,$O75,"")</f>
        <v/>
      </c>
      <c r="FA75" s="88" t="str">
        <f aca="false">IF($B75=FA$12,$O75,"")</f>
        <v/>
      </c>
      <c r="FB75" s="88" t="str">
        <f aca="false">IF($B75=FB$12,$O75,"")</f>
        <v/>
      </c>
      <c r="FC75" s="88" t="str">
        <f aca="false">IF($B75=FC$12,$O75,"")</f>
        <v/>
      </c>
      <c r="FD75" s="88" t="str">
        <f aca="false">IF($B75=FD$12,$O75,"")</f>
        <v/>
      </c>
      <c r="FE75" s="88" t="str">
        <f aca="false">IF($B75=FE$12,$O75,"")</f>
        <v/>
      </c>
      <c r="FF75" s="88" t="str">
        <f aca="false">IF($B75=FF$12,$O75,"")</f>
        <v/>
      </c>
      <c r="FG75" s="88" t="str">
        <f aca="false">IF($B75=FG$12,$O75,"")</f>
        <v/>
      </c>
      <c r="FH75" s="88" t="str">
        <f aca="false">IF($B75=FH$12,$O75,"")</f>
        <v/>
      </c>
      <c r="FI75" s="88" t="str">
        <f aca="false">IF($B75=FI$12,$O75,"")</f>
        <v/>
      </c>
      <c r="FJ75" s="88" t="str">
        <f aca="false">IF($B75=FJ$12,$O75,"")</f>
        <v/>
      </c>
      <c r="FK75" s="88" t="str">
        <f aca="false">IF($B75=FK$12,$O75,"")</f>
        <v/>
      </c>
      <c r="FL75" s="88" t="str">
        <f aca="false">IF($B75=FL$12,$O75,"")</f>
        <v/>
      </c>
      <c r="FM75" s="88" t="str">
        <f aca="false">IF($B75=FM$12,$O75,"")</f>
        <v/>
      </c>
      <c r="FN75" s="88" t="str">
        <f aca="false">IF($B75=FN$12,$O75,"")</f>
        <v/>
      </c>
      <c r="FO75" s="88" t="str">
        <f aca="false">IF($B75=FO$12,$O75,"")</f>
        <v/>
      </c>
      <c r="FP75" s="88" t="str">
        <f aca="false">IF($B75=FP$12,$O75,"")</f>
        <v/>
      </c>
      <c r="FQ75" s="88" t="str">
        <f aca="false">IF($B75=FQ$12,$O75,"")</f>
        <v/>
      </c>
      <c r="FR75" s="88" t="str">
        <f aca="false">IF($B75=FR$12,$O75,"")</f>
        <v/>
      </c>
      <c r="FS75" s="88" t="str">
        <f aca="false">IF($B75=FS$12,$O75,"")</f>
        <v/>
      </c>
      <c r="FT75" s="88" t="str">
        <f aca="false">IF($B75=FT$12,$O75,"")</f>
        <v/>
      </c>
      <c r="FU75" s="88" t="str">
        <f aca="false">IF($B75=FU$12,$O75,"")</f>
        <v/>
      </c>
      <c r="FV75" s="88" t="str">
        <f aca="false">IF($B75=FV$12,$O75,"")</f>
        <v/>
      </c>
      <c r="FW75" s="88" t="str">
        <f aca="false">IF($B75=FW$12,$O75,"")</f>
        <v/>
      </c>
      <c r="FX75" s="88" t="str">
        <f aca="false">IF($B75=FX$12,$O75,"")</f>
        <v/>
      </c>
      <c r="FY75" s="88" t="str">
        <f aca="false">IF($B75=FY$12,$O75,"")</f>
        <v/>
      </c>
      <c r="FZ75" s="88" t="str">
        <f aca="false">IF($B75=FZ$12,$O75,"")</f>
        <v/>
      </c>
      <c r="GA75" s="88" t="str">
        <f aca="false">IF($B75=GA$12,$O75,"")</f>
        <v/>
      </c>
      <c r="GB75" s="88" t="str">
        <f aca="false">IF($B75=GB$12,$O75,"")</f>
        <v/>
      </c>
      <c r="GC75" s="88" t="str">
        <f aca="false">IF($B75=GC$12,$O75,"")</f>
        <v/>
      </c>
      <c r="GD75" s="88" t="str">
        <f aca="false">IF($B75=GD$12,$O75,"")</f>
        <v/>
      </c>
      <c r="GE75" s="88" t="str">
        <f aca="false">IF($B75=GE$12,$O75,"")</f>
        <v/>
      </c>
      <c r="GF75" s="88" t="str">
        <f aca="false">IF($B75=GF$12,$O75,"")</f>
        <v/>
      </c>
      <c r="GG75" s="88" t="str">
        <f aca="false">IF($B75=GG$12,$O75,"")</f>
        <v/>
      </c>
      <c r="GH75" s="88" t="str">
        <f aca="false">IF($B75=GH$12,$O75,"")</f>
        <v/>
      </c>
      <c r="GI75" s="88" t="str">
        <f aca="false">IF($B75=GI$12,$O75,"")</f>
        <v/>
      </c>
      <c r="GJ75" s="88" t="str">
        <f aca="false">IF($B75=GJ$12,$O75,"")</f>
        <v/>
      </c>
      <c r="GK75" s="88" t="str">
        <f aca="false">IF($B75=GK$12,$O75,"")</f>
        <v/>
      </c>
      <c r="GL75" s="88" t="str">
        <f aca="false">IF($B75=GL$12,$O75,"")</f>
        <v/>
      </c>
      <c r="GM75" s="88" t="str">
        <f aca="false">IF($B75=GM$12,$O75,"")</f>
        <v/>
      </c>
      <c r="GN75" s="88" t="str">
        <f aca="false">IF($B75=GN$12,$O75,"")</f>
        <v/>
      </c>
      <c r="GO75" s="88" t="str">
        <f aca="false">IF($B75=GO$12,$O75,"")</f>
        <v/>
      </c>
      <c r="GP75" s="88" t="str">
        <f aca="false">IF($B75=GP$12,$O75,"")</f>
        <v/>
      </c>
      <c r="GQ75" s="88" t="str">
        <f aca="false">IF($B75=GQ$12,$O75,"")</f>
        <v/>
      </c>
      <c r="GR75" s="88" t="str">
        <f aca="false">IF($B75=GR$12,$O75,"")</f>
        <v/>
      </c>
      <c r="GS75" s="88" t="str">
        <f aca="false">IF($B75=GS$12,$O75,"")</f>
        <v/>
      </c>
      <c r="GT75" s="88" t="str">
        <f aca="false">IF($B75=GT$12,$O75,"")</f>
        <v/>
      </c>
      <c r="GU75" s="88" t="str">
        <f aca="false">IF($B75=GU$12,$O75,"")</f>
        <v/>
      </c>
      <c r="GV75" s="88" t="str">
        <f aca="false">IF($B75=GV$12,$O75,"")</f>
        <v/>
      </c>
      <c r="GW75" s="88" t="str">
        <f aca="false">IF($B75=GW$12,$O75,"")</f>
        <v/>
      </c>
      <c r="GX75" s="88" t="str">
        <f aca="false">IF($B75=GX$12,$O75,"")</f>
        <v/>
      </c>
      <c r="GY75" s="88" t="str">
        <f aca="false">IF($B75=GY$12,$O75,"")</f>
        <v/>
      </c>
      <c r="GZ75" s="88" t="str">
        <f aca="false">IF($B75=GZ$12,$O75,"")</f>
        <v/>
      </c>
      <c r="HA75" s="88" t="str">
        <f aca="false">IF($B75=HA$12,$O75,"")</f>
        <v/>
      </c>
      <c r="HB75" s="88" t="str">
        <f aca="false">IF($B75=HB$12,$O75,"")</f>
        <v/>
      </c>
      <c r="HC75" s="88" t="str">
        <f aca="false">IF($B75=HC$12,$O75,"")</f>
        <v/>
      </c>
      <c r="HD75" s="88" t="str">
        <f aca="false">IF($B75=HD$12,$O75,"")</f>
        <v/>
      </c>
      <c r="HE75" s="88" t="str">
        <f aca="false">IF($B75=HE$12,$O75,"")</f>
        <v/>
      </c>
      <c r="HF75" s="88" t="str">
        <f aca="false">IF($B75=HF$12,$O75,"")</f>
        <v/>
      </c>
      <c r="HG75" s="88" t="str">
        <f aca="false">IF($B75=HG$12,$O75,"")</f>
        <v/>
      </c>
      <c r="HH75" s="88" t="str">
        <f aca="false">IF($B75=HH$12,$O75,"")</f>
        <v/>
      </c>
      <c r="HI75" s="88" t="str">
        <f aca="false">IF($B75=HI$12,$O75,"")</f>
        <v/>
      </c>
      <c r="HJ75" s="88" t="str">
        <f aca="false">IF($B75=HJ$12,$O75,"")</f>
        <v/>
      </c>
      <c r="HK75" s="88" t="str">
        <f aca="false">IF($B75=HK$12,$O75,"")</f>
        <v/>
      </c>
      <c r="HL75" s="88" t="str">
        <f aca="false">IF($B75=HL$12,$O75,"")</f>
        <v/>
      </c>
      <c r="HM75" s="88" t="str">
        <f aca="false">IF($B75=HM$12,$O75,"")</f>
        <v/>
      </c>
      <c r="HN75" s="88" t="str">
        <f aca="false">IF($B75=HN$12,$O75,"")</f>
        <v/>
      </c>
      <c r="HO75" s="88" t="str">
        <f aca="false">IF($B75=HO$12,$O75,"")</f>
        <v/>
      </c>
      <c r="HP75" s="88" t="str">
        <f aca="false">IF($B75=HP$12,$O75,"")</f>
        <v/>
      </c>
      <c r="HQ75" s="88" t="str">
        <f aca="false">IF($B75=HQ$12,$O75,"")</f>
        <v/>
      </c>
      <c r="HR75" s="89" t="str">
        <f aca="false">IF($B75=HR$12,$O75,"")</f>
        <v/>
      </c>
    </row>
    <row r="76" customFormat="false" ht="10.5" hidden="false" customHeight="true" outlineLevel="0" collapsed="false">
      <c r="A76" s="73"/>
      <c r="B76" s="74"/>
      <c r="C76" s="75" t="str">
        <f aca="false">IF(A76=0,"",VLOOKUP(A76,[3]CO!$A$3:$F$5311,2,0))</f>
        <v/>
      </c>
      <c r="D76" s="76"/>
      <c r="E76" s="76"/>
      <c r="F76" s="76"/>
      <c r="G76" s="77" t="str">
        <f aca="false">IF(A76=0,"",VLOOKUP(A76,[3]CO!$A$3:$F$5311,3,0))</f>
        <v/>
      </c>
      <c r="H76" s="76"/>
      <c r="I76" s="78"/>
      <c r="J76" s="78"/>
      <c r="K76" s="78"/>
      <c r="L76" s="78"/>
      <c r="M76" s="79" t="str">
        <f aca="false">IF(L76=0,"",PRODUCT(I76:L76))</f>
        <v/>
      </c>
      <c r="N76" s="79" t="str">
        <f aca="false">IF(B76=0,"",IF(H76="M",HLOOKUP(B76,$Y$12:$DT$13,2),IF(A76=0,"",VLOOKUP(A76,[3]CO!$A$3:$F$5311,4,0))))</f>
        <v/>
      </c>
      <c r="O76" s="79" t="str">
        <f aca="false">IF(L76=0,"",PRODUCT(M76:N76))</f>
        <v/>
      </c>
      <c r="P76" s="80"/>
      <c r="Q76" s="81" t="str">
        <f aca="false">IF(P76=0,"",(HLOOKUP(P76,$DW$12:$HR$13,2)))</f>
        <v/>
      </c>
      <c r="R76" s="82" t="str">
        <f aca="false">IF(S76=0,"",IF(OR(G76="PEON",G76="OF",G76="JARD",G76="CARP",G76="MAESTRO",G76="SOLD",G76="BGRO",G76="CHOFER",G76="AYTE",G76="S.INTTE.",G76="ASEO",G76="P.PISOS",G76="VELADOR",G76="RESID",G76="PINTOR",G76="ELECT",G76="AZULE",G76="AUX CONT.",G76="SECRETARIA",G76="AUXILIAR ADMTVO.",G76="ARQUITECTO",G76="DIBUJANTE",G76="AUX. DE RESIDENTE"),VLOOKUP(B76,P$14:Q$131,2),"")*S76)</f>
        <v/>
      </c>
      <c r="S76" s="5"/>
      <c r="T76" s="65" t="str">
        <f aca="false">IF(A76=0,"",VLOOKUP(A76,[3]CO!$A$3:$F$5302,5,0))</f>
        <v/>
      </c>
      <c r="U76" s="55" t="n">
        <f aca="false">IF(T76=1,O76*0.1,)</f>
        <v>0</v>
      </c>
      <c r="V76" s="66"/>
      <c r="W76" s="83"/>
      <c r="X76" s="83"/>
      <c r="Y76" s="84" t="str">
        <f aca="false">IF($B76=Y$12,$U76,"")</f>
        <v/>
      </c>
      <c r="Z76" s="85" t="str">
        <f aca="false">IF($B76=Z$12,$U76,"")</f>
        <v/>
      </c>
      <c r="AA76" s="85" t="str">
        <f aca="false">IF($B76=AA$12,$U76,"")</f>
        <v/>
      </c>
      <c r="AB76" s="85" t="str">
        <f aca="false">IF($B76=AB$12,$U76,"")</f>
        <v/>
      </c>
      <c r="AC76" s="85" t="str">
        <f aca="false">IF($B76=AC$12,$U76,"")</f>
        <v/>
      </c>
      <c r="AD76" s="85" t="str">
        <f aca="false">IF($B76=AD$12,$U76,"")</f>
        <v/>
      </c>
      <c r="AE76" s="85" t="str">
        <f aca="false">IF($B76=AE$12,$U76,"")</f>
        <v/>
      </c>
      <c r="AF76" s="85" t="str">
        <f aca="false">IF($B76=AF$12,$U76,"")</f>
        <v/>
      </c>
      <c r="AG76" s="85" t="str">
        <f aca="false">IF($B76=AG$12,$U76,"")</f>
        <v/>
      </c>
      <c r="AH76" s="85" t="str">
        <f aca="false">IF($B76=AH$12,$U76,"")</f>
        <v/>
      </c>
      <c r="AI76" s="85" t="str">
        <f aca="false">IF($B76=AI$12,$U76,"")</f>
        <v/>
      </c>
      <c r="AJ76" s="85" t="str">
        <f aca="false">IF($B76=AJ$12,$U76,"")</f>
        <v/>
      </c>
      <c r="AK76" s="85" t="str">
        <f aca="false">IF($B76=AK$12,$U76,"")</f>
        <v/>
      </c>
      <c r="AL76" s="85" t="str">
        <f aca="false">IF($B76=AL$12,$U76,"")</f>
        <v/>
      </c>
      <c r="AM76" s="85" t="str">
        <f aca="false">IF($B76=AM$12,$U76,"")</f>
        <v/>
      </c>
      <c r="AN76" s="85" t="str">
        <f aca="false">IF($B76=AN$12,$U76,"")</f>
        <v/>
      </c>
      <c r="AO76" s="85" t="str">
        <f aca="false">IF($B76=AO$12,$U76,"")</f>
        <v/>
      </c>
      <c r="AP76" s="85" t="str">
        <f aca="false">IF($B76=AP$12,$U76,"")</f>
        <v/>
      </c>
      <c r="AQ76" s="85" t="str">
        <f aca="false">IF($B76=AQ$12,$U76,"")</f>
        <v/>
      </c>
      <c r="AR76" s="85" t="str">
        <f aca="false">IF($B76=AR$12,$U76,"")</f>
        <v/>
      </c>
      <c r="AS76" s="85" t="str">
        <f aca="false">IF($B76=AS$12,$U76,"")</f>
        <v/>
      </c>
      <c r="AT76" s="85" t="str">
        <f aca="false">IF($B76=AT$12,$U76,"")</f>
        <v/>
      </c>
      <c r="AU76" s="85" t="str">
        <f aca="false">IF($B76=AU$12,$U76,"")</f>
        <v/>
      </c>
      <c r="AV76" s="85" t="str">
        <f aca="false">IF($B76=AV$12,$U76,"")</f>
        <v/>
      </c>
      <c r="AW76" s="85" t="str">
        <f aca="false">IF($B76=AW$12,$U76,"")</f>
        <v/>
      </c>
      <c r="AX76" s="85" t="str">
        <f aca="false">IF($B76=AX$12,$U76,"")</f>
        <v/>
      </c>
      <c r="AY76" s="85" t="str">
        <f aca="false">IF($B76=AY$12,$U76,"")</f>
        <v/>
      </c>
      <c r="AZ76" s="85" t="str">
        <f aca="false">IF($B76=AZ$12,$U76,"")</f>
        <v/>
      </c>
      <c r="BA76" s="85" t="str">
        <f aca="false">IF($B76=BA$12,$U76,"")</f>
        <v/>
      </c>
      <c r="BB76" s="85" t="str">
        <f aca="false">IF($B76=BB$12,$U76,"")</f>
        <v/>
      </c>
      <c r="BC76" s="85" t="str">
        <f aca="false">IF($B76=BC$12,$U76,"")</f>
        <v/>
      </c>
      <c r="BD76" s="85" t="str">
        <f aca="false">IF($B76=BD$12,$U76,"")</f>
        <v/>
      </c>
      <c r="BE76" s="85" t="str">
        <f aca="false">IF($B76=BE$12,$U76,"")</f>
        <v/>
      </c>
      <c r="BF76" s="85" t="str">
        <f aca="false">IF($B76=BF$12,$U76,"")</f>
        <v/>
      </c>
      <c r="BG76" s="85" t="str">
        <f aca="false">IF($B76=BG$12,$U76,"")</f>
        <v/>
      </c>
      <c r="BH76" s="85" t="str">
        <f aca="false">IF($B76=BH$12,$U76,"")</f>
        <v/>
      </c>
      <c r="BI76" s="85" t="str">
        <f aca="false">IF($B76=BI$12,$U76,"")</f>
        <v/>
      </c>
      <c r="BJ76" s="85" t="str">
        <f aca="false">IF($B76=BJ$12,$U76,"")</f>
        <v/>
      </c>
      <c r="BK76" s="85" t="str">
        <f aca="false">IF($B76=BK$12,$U76,"")</f>
        <v/>
      </c>
      <c r="BL76" s="85" t="str">
        <f aca="false">IF($B76=BL$12,$U76,"")</f>
        <v/>
      </c>
      <c r="BM76" s="85" t="str">
        <f aca="false">IF($B76=BM$12,$U76,"")</f>
        <v/>
      </c>
      <c r="BN76" s="85" t="str">
        <f aca="false">IF($B76=BN$12,$U76,"")</f>
        <v/>
      </c>
      <c r="BO76" s="85" t="str">
        <f aca="false">IF($B76=BO$12,$U76,"")</f>
        <v/>
      </c>
      <c r="BP76" s="85" t="str">
        <f aca="false">IF($B76=BP$12,$U76,"")</f>
        <v/>
      </c>
      <c r="BQ76" s="85" t="str">
        <f aca="false">IF($B76=BQ$12,$U76,"")</f>
        <v/>
      </c>
      <c r="BR76" s="85" t="str">
        <f aca="false">IF($B76=BR$12,$U76,"")</f>
        <v/>
      </c>
      <c r="BS76" s="85" t="str">
        <f aca="false">IF($B76=BS$12,$U76,"")</f>
        <v/>
      </c>
      <c r="BT76" s="85" t="str">
        <f aca="false">IF($B76=BT$12,$U76,"")</f>
        <v/>
      </c>
      <c r="BU76" s="85" t="str">
        <f aca="false">IF($B76=BU$12,$U76,"")</f>
        <v/>
      </c>
      <c r="BV76" s="85" t="str">
        <f aca="false">IF($B76=BV$12,$U76,"")</f>
        <v/>
      </c>
      <c r="BW76" s="85" t="str">
        <f aca="false">IF($B76=BW$12,$U76,"")</f>
        <v/>
      </c>
      <c r="BX76" s="85" t="str">
        <f aca="false">IF($B76=BX$12,$U76,"")</f>
        <v/>
      </c>
      <c r="BY76" s="85" t="str">
        <f aca="false">IF($B76=BY$12,$U76,"")</f>
        <v/>
      </c>
      <c r="BZ76" s="85" t="str">
        <f aca="false">IF($B76=BZ$12,$U76,"")</f>
        <v/>
      </c>
      <c r="CA76" s="85" t="str">
        <f aca="false">IF($B76=CA$12,$U76,"")</f>
        <v/>
      </c>
      <c r="CB76" s="85" t="str">
        <f aca="false">IF($B76=CB$12,$U76,"")</f>
        <v/>
      </c>
      <c r="CC76" s="85" t="str">
        <f aca="false">IF($B76=CC$12,$U76,"")</f>
        <v/>
      </c>
      <c r="CD76" s="85" t="str">
        <f aca="false">IF($B76=CD$12,$U76,"")</f>
        <v/>
      </c>
      <c r="CE76" s="85" t="str">
        <f aca="false">IF($B76=CE$12,$U76,"")</f>
        <v/>
      </c>
      <c r="CF76" s="85" t="str">
        <f aca="false">IF($B76=CF$12,$U76,"")</f>
        <v/>
      </c>
      <c r="CG76" s="85" t="str">
        <f aca="false">IF($B76=CG$12,$U76,"")</f>
        <v/>
      </c>
      <c r="CH76" s="85" t="str">
        <f aca="false">IF($B76=CH$12,$U76,"")</f>
        <v/>
      </c>
      <c r="CI76" s="85" t="str">
        <f aca="false">IF($B76=CI$12,$U76,"")</f>
        <v/>
      </c>
      <c r="CJ76" s="85" t="str">
        <f aca="false">IF($B76=CJ$12,$U76,"")</f>
        <v/>
      </c>
      <c r="CK76" s="85" t="str">
        <f aca="false">IF($B76=CK$12,$U76,"")</f>
        <v/>
      </c>
      <c r="CL76" s="85" t="str">
        <f aca="false">IF($B76=CL$12,$U76,"")</f>
        <v/>
      </c>
      <c r="CM76" s="85" t="str">
        <f aca="false">IF($B76=CM$12,$U76,"")</f>
        <v/>
      </c>
      <c r="CN76" s="85" t="str">
        <f aca="false">IF($B76=CN$12,$U76,"")</f>
        <v/>
      </c>
      <c r="CO76" s="85" t="str">
        <f aca="false">IF($B76=CO$12,$U76,"")</f>
        <v/>
      </c>
      <c r="CP76" s="85" t="str">
        <f aca="false">IF($B76=CP$12,$U76,"")</f>
        <v/>
      </c>
      <c r="CQ76" s="85" t="str">
        <f aca="false">IF($B76=CQ$12,$U76,"")</f>
        <v/>
      </c>
      <c r="CR76" s="85" t="str">
        <f aca="false">IF($B76=CR$12,$U76,"")</f>
        <v/>
      </c>
      <c r="CS76" s="85" t="str">
        <f aca="false">IF($B76=CS$12,$U76,"")</f>
        <v/>
      </c>
      <c r="CT76" s="85" t="str">
        <f aca="false">IF($B76=CT$12,$U76,"")</f>
        <v/>
      </c>
      <c r="CU76" s="85" t="str">
        <f aca="false">IF($B76=CU$12,$U76,"")</f>
        <v/>
      </c>
      <c r="CV76" s="85" t="str">
        <f aca="false">IF($B76=CV$12,$U76,"")</f>
        <v/>
      </c>
      <c r="CW76" s="85" t="str">
        <f aca="false">IF($B76=CW$12,$U76,"")</f>
        <v/>
      </c>
      <c r="CX76" s="85" t="str">
        <f aca="false">IF($B76=CX$12,$U76,"")</f>
        <v/>
      </c>
      <c r="CY76" s="85" t="str">
        <f aca="false">IF($B76=CY$12,$U76,"")</f>
        <v/>
      </c>
      <c r="CZ76" s="85" t="str">
        <f aca="false">IF($B76=CZ$12,$U76,"")</f>
        <v/>
      </c>
      <c r="DA76" s="85" t="str">
        <f aca="false">IF($B76=DA$12,$U76,"")</f>
        <v/>
      </c>
      <c r="DB76" s="85" t="str">
        <f aca="false">IF($B76=DB$12,$U76,"")</f>
        <v/>
      </c>
      <c r="DC76" s="85" t="str">
        <f aca="false">IF($B76=DC$12,$U76,"")</f>
        <v/>
      </c>
      <c r="DD76" s="85" t="str">
        <f aca="false">IF($B76=DD$12,$U76,"")</f>
        <v/>
      </c>
      <c r="DE76" s="85" t="str">
        <f aca="false">IF($B76=DE$12,$U76,"")</f>
        <v/>
      </c>
      <c r="DF76" s="85" t="str">
        <f aca="false">IF($B76=DF$12,$U76,"")</f>
        <v/>
      </c>
      <c r="DG76" s="85" t="str">
        <f aca="false">IF($B76=DG$12,$U76,"")</f>
        <v/>
      </c>
      <c r="DH76" s="85" t="str">
        <f aca="false">IF($B76=DH$12,$U76,"")</f>
        <v/>
      </c>
      <c r="DI76" s="85" t="str">
        <f aca="false">IF($B76=DI$12,$U76,"")</f>
        <v/>
      </c>
      <c r="DJ76" s="85" t="str">
        <f aca="false">IF($B76=DJ$12,$U76,"")</f>
        <v/>
      </c>
      <c r="DK76" s="85" t="str">
        <f aca="false">IF($B76=DK$12,$U76,"")</f>
        <v/>
      </c>
      <c r="DL76" s="85" t="str">
        <f aca="false">IF($B76=DL$12,$U76,"")</f>
        <v/>
      </c>
      <c r="DM76" s="85" t="str">
        <f aca="false">IF($B76=DM$12,$U76,"")</f>
        <v/>
      </c>
      <c r="DN76" s="85" t="str">
        <f aca="false">IF($B76=DN$12,$U76,"")</f>
        <v/>
      </c>
      <c r="DO76" s="85" t="str">
        <f aca="false">IF($B76=DO$12,$U76,"")</f>
        <v/>
      </c>
      <c r="DP76" s="85" t="str">
        <f aca="false">IF($B76=DP$12,$U76,"")</f>
        <v/>
      </c>
      <c r="DQ76" s="85" t="str">
        <f aca="false">IF($B76=DQ$12,$U76,"")</f>
        <v/>
      </c>
      <c r="DR76" s="85" t="str">
        <f aca="false">IF($B76=DR$12,$U76,"")</f>
        <v/>
      </c>
      <c r="DS76" s="85" t="str">
        <f aca="false">IF($B76=DS$12,$U76,"")</f>
        <v/>
      </c>
      <c r="DT76" s="86" t="str">
        <f aca="false">IF($B76=DT$12,$U76,"")</f>
        <v/>
      </c>
      <c r="DU76" s="55"/>
      <c r="DV76" s="83"/>
      <c r="DW76" s="87" t="str">
        <f aca="false">IF($B76=DW$12,$O76,"")</f>
        <v/>
      </c>
      <c r="DX76" s="88" t="str">
        <f aca="false">IF($B76=DX$12,$O76,"")</f>
        <v/>
      </c>
      <c r="DY76" s="88" t="str">
        <f aca="false">IF($B76=DY$12,$O76,"")</f>
        <v/>
      </c>
      <c r="DZ76" s="88" t="str">
        <f aca="false">IF($B76=DZ$12,$O76,"")</f>
        <v/>
      </c>
      <c r="EA76" s="88" t="str">
        <f aca="false">IF($B76=EA$12,$O76,"")</f>
        <v/>
      </c>
      <c r="EB76" s="88" t="str">
        <f aca="false">IF($B76=EB$12,$O76,"")</f>
        <v/>
      </c>
      <c r="EC76" s="88" t="str">
        <f aca="false">IF($B76=EC$12,$O76,"")</f>
        <v/>
      </c>
      <c r="ED76" s="88" t="str">
        <f aca="false">IF($B76=ED$12,$O76,"")</f>
        <v/>
      </c>
      <c r="EE76" s="88" t="str">
        <f aca="false">IF($B76=EE$12,$O76,"")</f>
        <v/>
      </c>
      <c r="EF76" s="88" t="str">
        <f aca="false">IF($B76=EF$12,$O76,"")</f>
        <v/>
      </c>
      <c r="EG76" s="88" t="str">
        <f aca="false">IF($B76=EG$12,$O76,"")</f>
        <v/>
      </c>
      <c r="EH76" s="88" t="str">
        <f aca="false">IF($B76=EH$12,$O76,"")</f>
        <v/>
      </c>
      <c r="EI76" s="88" t="str">
        <f aca="false">IF($B76=EI$12,$O76,"")</f>
        <v/>
      </c>
      <c r="EJ76" s="88" t="str">
        <f aca="false">IF($B76=EJ$12,$O76,"")</f>
        <v/>
      </c>
      <c r="EK76" s="88" t="str">
        <f aca="false">IF($B76=EK$12,$O76,"")</f>
        <v/>
      </c>
      <c r="EL76" s="88" t="str">
        <f aca="false">IF($B76=EL$12,$O76,"")</f>
        <v/>
      </c>
      <c r="EM76" s="88" t="str">
        <f aca="false">IF($B76=EM$12,$O76,"")</f>
        <v/>
      </c>
      <c r="EN76" s="88" t="str">
        <f aca="false">IF($B76=EN$12,$O76,"")</f>
        <v/>
      </c>
      <c r="EO76" s="88" t="str">
        <f aca="false">IF($B76=EO$12,$O76,"")</f>
        <v/>
      </c>
      <c r="EP76" s="88" t="str">
        <f aca="false">IF($B76=EP$12,$O76,"")</f>
        <v/>
      </c>
      <c r="EQ76" s="88" t="str">
        <f aca="false">IF($B76=EQ$12,$O76,"")</f>
        <v/>
      </c>
      <c r="ER76" s="88" t="str">
        <f aca="false">IF($B76=ER$12,$O76,"")</f>
        <v/>
      </c>
      <c r="ES76" s="88" t="str">
        <f aca="false">IF($B76=ES$12,$O76,"")</f>
        <v/>
      </c>
      <c r="ET76" s="88" t="str">
        <f aca="false">IF($B76=ET$12,$O76,"")</f>
        <v/>
      </c>
      <c r="EU76" s="88" t="str">
        <f aca="false">IF($B76=EU$12,$O76,"")</f>
        <v/>
      </c>
      <c r="EV76" s="88" t="str">
        <f aca="false">IF($B76=EV$12,$O76,"")</f>
        <v/>
      </c>
      <c r="EW76" s="88" t="str">
        <f aca="false">IF($B76=EW$12,$O76,"")</f>
        <v/>
      </c>
      <c r="EX76" s="88" t="str">
        <f aca="false">IF($B76=EX$12,$O76,"")</f>
        <v/>
      </c>
      <c r="EY76" s="88" t="str">
        <f aca="false">IF($B76=EY$12,$O76,"")</f>
        <v/>
      </c>
      <c r="EZ76" s="88" t="str">
        <f aca="false">IF($B76=EZ$12,$O76,"")</f>
        <v/>
      </c>
      <c r="FA76" s="88" t="str">
        <f aca="false">IF($B76=FA$12,$O76,"")</f>
        <v/>
      </c>
      <c r="FB76" s="88" t="str">
        <f aca="false">IF($B76=FB$12,$O76,"")</f>
        <v/>
      </c>
      <c r="FC76" s="88" t="str">
        <f aca="false">IF($B76=FC$12,$O76,"")</f>
        <v/>
      </c>
      <c r="FD76" s="88" t="str">
        <f aca="false">IF($B76=FD$12,$O76,"")</f>
        <v/>
      </c>
      <c r="FE76" s="88" t="str">
        <f aca="false">IF($B76=FE$12,$O76,"")</f>
        <v/>
      </c>
      <c r="FF76" s="88" t="str">
        <f aca="false">IF($B76=FF$12,$O76,"")</f>
        <v/>
      </c>
      <c r="FG76" s="88" t="str">
        <f aca="false">IF($B76=FG$12,$O76,"")</f>
        <v/>
      </c>
      <c r="FH76" s="88" t="str">
        <f aca="false">IF($B76=FH$12,$O76,"")</f>
        <v/>
      </c>
      <c r="FI76" s="88" t="str">
        <f aca="false">IF($B76=FI$12,$O76,"")</f>
        <v/>
      </c>
      <c r="FJ76" s="88" t="str">
        <f aca="false">IF($B76=FJ$12,$O76,"")</f>
        <v/>
      </c>
      <c r="FK76" s="88" t="str">
        <f aca="false">IF($B76=FK$12,$O76,"")</f>
        <v/>
      </c>
      <c r="FL76" s="88" t="str">
        <f aca="false">IF($B76=FL$12,$O76,"")</f>
        <v/>
      </c>
      <c r="FM76" s="88" t="str">
        <f aca="false">IF($B76=FM$12,$O76,"")</f>
        <v/>
      </c>
      <c r="FN76" s="88" t="str">
        <f aca="false">IF($B76=FN$12,$O76,"")</f>
        <v/>
      </c>
      <c r="FO76" s="88" t="str">
        <f aca="false">IF($B76=FO$12,$O76,"")</f>
        <v/>
      </c>
      <c r="FP76" s="88" t="str">
        <f aca="false">IF($B76=FP$12,$O76,"")</f>
        <v/>
      </c>
      <c r="FQ76" s="88" t="str">
        <f aca="false">IF($B76=FQ$12,$O76,"")</f>
        <v/>
      </c>
      <c r="FR76" s="88" t="str">
        <f aca="false">IF($B76=FR$12,$O76,"")</f>
        <v/>
      </c>
      <c r="FS76" s="88" t="str">
        <f aca="false">IF($B76=FS$12,$O76,"")</f>
        <v/>
      </c>
      <c r="FT76" s="88" t="str">
        <f aca="false">IF($B76=FT$12,$O76,"")</f>
        <v/>
      </c>
      <c r="FU76" s="88" t="str">
        <f aca="false">IF($B76=FU$12,$O76,"")</f>
        <v/>
      </c>
      <c r="FV76" s="88" t="str">
        <f aca="false">IF($B76=FV$12,$O76,"")</f>
        <v/>
      </c>
      <c r="FW76" s="88" t="str">
        <f aca="false">IF($B76=FW$12,$O76,"")</f>
        <v/>
      </c>
      <c r="FX76" s="88" t="str">
        <f aca="false">IF($B76=FX$12,$O76,"")</f>
        <v/>
      </c>
      <c r="FY76" s="88" t="str">
        <f aca="false">IF($B76=FY$12,$O76,"")</f>
        <v/>
      </c>
      <c r="FZ76" s="88" t="str">
        <f aca="false">IF($B76=FZ$12,$O76,"")</f>
        <v/>
      </c>
      <c r="GA76" s="88" t="str">
        <f aca="false">IF($B76=GA$12,$O76,"")</f>
        <v/>
      </c>
      <c r="GB76" s="88" t="str">
        <f aca="false">IF($B76=GB$12,$O76,"")</f>
        <v/>
      </c>
      <c r="GC76" s="88" t="str">
        <f aca="false">IF($B76=GC$12,$O76,"")</f>
        <v/>
      </c>
      <c r="GD76" s="88" t="str">
        <f aca="false">IF($B76=GD$12,$O76,"")</f>
        <v/>
      </c>
      <c r="GE76" s="88" t="str">
        <f aca="false">IF($B76=GE$12,$O76,"")</f>
        <v/>
      </c>
      <c r="GF76" s="88" t="str">
        <f aca="false">IF($B76=GF$12,$O76,"")</f>
        <v/>
      </c>
      <c r="GG76" s="88" t="str">
        <f aca="false">IF($B76=GG$12,$O76,"")</f>
        <v/>
      </c>
      <c r="GH76" s="88" t="str">
        <f aca="false">IF($B76=GH$12,$O76,"")</f>
        <v/>
      </c>
      <c r="GI76" s="88" t="str">
        <f aca="false">IF($B76=GI$12,$O76,"")</f>
        <v/>
      </c>
      <c r="GJ76" s="88" t="str">
        <f aca="false">IF($B76=GJ$12,$O76,"")</f>
        <v/>
      </c>
      <c r="GK76" s="88" t="str">
        <f aca="false">IF($B76=GK$12,$O76,"")</f>
        <v/>
      </c>
      <c r="GL76" s="88" t="str">
        <f aca="false">IF($B76=GL$12,$O76,"")</f>
        <v/>
      </c>
      <c r="GM76" s="88" t="str">
        <f aca="false">IF($B76=GM$12,$O76,"")</f>
        <v/>
      </c>
      <c r="GN76" s="88" t="str">
        <f aca="false">IF($B76=GN$12,$O76,"")</f>
        <v/>
      </c>
      <c r="GO76" s="88" t="str">
        <f aca="false">IF($B76=GO$12,$O76,"")</f>
        <v/>
      </c>
      <c r="GP76" s="88" t="str">
        <f aca="false">IF($B76=GP$12,$O76,"")</f>
        <v/>
      </c>
      <c r="GQ76" s="88" t="str">
        <f aca="false">IF($B76=GQ$12,$O76,"")</f>
        <v/>
      </c>
      <c r="GR76" s="88" t="str">
        <f aca="false">IF($B76=GR$12,$O76,"")</f>
        <v/>
      </c>
      <c r="GS76" s="88" t="str">
        <f aca="false">IF($B76=GS$12,$O76,"")</f>
        <v/>
      </c>
      <c r="GT76" s="88" t="str">
        <f aca="false">IF($B76=GT$12,$O76,"")</f>
        <v/>
      </c>
      <c r="GU76" s="88" t="str">
        <f aca="false">IF($B76=GU$12,$O76,"")</f>
        <v/>
      </c>
      <c r="GV76" s="88" t="str">
        <f aca="false">IF($B76=GV$12,$O76,"")</f>
        <v/>
      </c>
      <c r="GW76" s="88" t="str">
        <f aca="false">IF($B76=GW$12,$O76,"")</f>
        <v/>
      </c>
      <c r="GX76" s="88" t="str">
        <f aca="false">IF($B76=GX$12,$O76,"")</f>
        <v/>
      </c>
      <c r="GY76" s="88" t="str">
        <f aca="false">IF($B76=GY$12,$O76,"")</f>
        <v/>
      </c>
      <c r="GZ76" s="88" t="str">
        <f aca="false">IF($B76=GZ$12,$O76,"")</f>
        <v/>
      </c>
      <c r="HA76" s="88" t="str">
        <f aca="false">IF($B76=HA$12,$O76,"")</f>
        <v/>
      </c>
      <c r="HB76" s="88" t="str">
        <f aca="false">IF($B76=HB$12,$O76,"")</f>
        <v/>
      </c>
      <c r="HC76" s="88" t="str">
        <f aca="false">IF($B76=HC$12,$O76,"")</f>
        <v/>
      </c>
      <c r="HD76" s="88" t="str">
        <f aca="false">IF($B76=HD$12,$O76,"")</f>
        <v/>
      </c>
      <c r="HE76" s="88" t="str">
        <f aca="false">IF($B76=HE$12,$O76,"")</f>
        <v/>
      </c>
      <c r="HF76" s="88" t="str">
        <f aca="false">IF($B76=HF$12,$O76,"")</f>
        <v/>
      </c>
      <c r="HG76" s="88" t="str">
        <f aca="false">IF($B76=HG$12,$O76,"")</f>
        <v/>
      </c>
      <c r="HH76" s="88" t="str">
        <f aca="false">IF($B76=HH$12,$O76,"")</f>
        <v/>
      </c>
      <c r="HI76" s="88" t="str">
        <f aca="false">IF($B76=HI$12,$O76,"")</f>
        <v/>
      </c>
      <c r="HJ76" s="88" t="str">
        <f aca="false">IF($B76=HJ$12,$O76,"")</f>
        <v/>
      </c>
      <c r="HK76" s="88" t="str">
        <f aca="false">IF($B76=HK$12,$O76,"")</f>
        <v/>
      </c>
      <c r="HL76" s="88" t="str">
        <f aca="false">IF($B76=HL$12,$O76,"")</f>
        <v/>
      </c>
      <c r="HM76" s="88" t="str">
        <f aca="false">IF($B76=HM$12,$O76,"")</f>
        <v/>
      </c>
      <c r="HN76" s="88" t="str">
        <f aca="false">IF($B76=HN$12,$O76,"")</f>
        <v/>
      </c>
      <c r="HO76" s="88" t="str">
        <f aca="false">IF($B76=HO$12,$O76,"")</f>
        <v/>
      </c>
      <c r="HP76" s="88" t="str">
        <f aca="false">IF($B76=HP$12,$O76,"")</f>
        <v/>
      </c>
      <c r="HQ76" s="88" t="str">
        <f aca="false">IF($B76=HQ$12,$O76,"")</f>
        <v/>
      </c>
      <c r="HR76" s="89" t="str">
        <f aca="false">IF($B76=HR$12,$O76,"")</f>
        <v/>
      </c>
    </row>
    <row r="77" customFormat="false" ht="10.5" hidden="false" customHeight="true" outlineLevel="0" collapsed="false">
      <c r="A77" s="73"/>
      <c r="B77" s="74"/>
      <c r="C77" s="75" t="str">
        <f aca="false">IF(A77=0,"",VLOOKUP(A77,[3]CO!$A$3:$F$5311,2,0))</f>
        <v/>
      </c>
      <c r="D77" s="76"/>
      <c r="E77" s="76"/>
      <c r="F77" s="76"/>
      <c r="G77" s="77" t="str">
        <f aca="false">IF(A77=0,"",VLOOKUP(A77,[3]CO!$A$3:$F$5311,3,0))</f>
        <v/>
      </c>
      <c r="H77" s="76"/>
      <c r="I77" s="78"/>
      <c r="J77" s="78"/>
      <c r="K77" s="78"/>
      <c r="L77" s="78"/>
      <c r="M77" s="79" t="str">
        <f aca="false">IF(L77=0,"",PRODUCT(I77:L77))</f>
        <v/>
      </c>
      <c r="N77" s="79" t="str">
        <f aca="false">IF(B77=0,"",IF(H77="M",HLOOKUP(B77,$Y$12:$DT$13,2),IF(A77=0,"",VLOOKUP(A77,[3]CO!$A$3:$F$5311,4,0))))</f>
        <v/>
      </c>
      <c r="O77" s="79" t="str">
        <f aca="false">IF(L77=0,"",PRODUCT(M77:N77))</f>
        <v/>
      </c>
      <c r="P77" s="80"/>
      <c r="Q77" s="81" t="str">
        <f aca="false">IF(P77=0,"",(HLOOKUP(P77,$DW$12:$HR$13,2)))</f>
        <v/>
      </c>
      <c r="R77" s="82" t="str">
        <f aca="false">IF(S77=0,"",IF(OR(G77="PEON",G77="OF",G77="JARD",G77="CARP",G77="MAESTRO",G77="SOLD",G77="BGRO",G77="CHOFER",G77="AYTE",G77="S.INTTE.",G77="ASEO",G77="P.PISOS",G77="VELADOR",G77="RESID",G77="PINTOR",G77="ELECT",G77="AZULE",G77="AUX CONT.",G77="SECRETARIA",G77="AUXILIAR ADMTVO.",G77="ARQUITECTO",G77="DIBUJANTE",G77="AUX. DE RESIDENTE"),VLOOKUP(B77,P$14:Q$131,2),"")*S77)</f>
        <v/>
      </c>
      <c r="S77" s="5"/>
      <c r="T77" s="65" t="str">
        <f aca="false">IF(A77=0,"",VLOOKUP(A77,[3]CO!$A$3:$F$5302,5,0))</f>
        <v/>
      </c>
      <c r="U77" s="55" t="n">
        <f aca="false">IF(T77=1,O77*0.1,)</f>
        <v>0</v>
      </c>
      <c r="V77" s="66"/>
      <c r="W77" s="83"/>
      <c r="X77" s="83"/>
      <c r="Y77" s="84" t="str">
        <f aca="false">IF($B77=Y$12,$U77,"")</f>
        <v/>
      </c>
      <c r="Z77" s="85" t="str">
        <f aca="false">IF($B77=Z$12,$U77,"")</f>
        <v/>
      </c>
      <c r="AA77" s="85" t="str">
        <f aca="false">IF($B77=AA$12,$U77,"")</f>
        <v/>
      </c>
      <c r="AB77" s="85" t="str">
        <f aca="false">IF($B77=AB$12,$U77,"")</f>
        <v/>
      </c>
      <c r="AC77" s="85" t="str">
        <f aca="false">IF($B77=AC$12,$U77,"")</f>
        <v/>
      </c>
      <c r="AD77" s="85" t="str">
        <f aca="false">IF($B77=AD$12,$U77,"")</f>
        <v/>
      </c>
      <c r="AE77" s="85" t="str">
        <f aca="false">IF($B77=AE$12,$U77,"")</f>
        <v/>
      </c>
      <c r="AF77" s="85" t="str">
        <f aca="false">IF($B77=AF$12,$U77,"")</f>
        <v/>
      </c>
      <c r="AG77" s="85" t="str">
        <f aca="false">IF($B77=AG$12,$U77,"")</f>
        <v/>
      </c>
      <c r="AH77" s="85" t="str">
        <f aca="false">IF($B77=AH$12,$U77,"")</f>
        <v/>
      </c>
      <c r="AI77" s="85" t="str">
        <f aca="false">IF($B77=AI$12,$U77,"")</f>
        <v/>
      </c>
      <c r="AJ77" s="85" t="str">
        <f aca="false">IF($B77=AJ$12,$U77,"")</f>
        <v/>
      </c>
      <c r="AK77" s="85" t="str">
        <f aca="false">IF($B77=AK$12,$U77,"")</f>
        <v/>
      </c>
      <c r="AL77" s="85" t="str">
        <f aca="false">IF($B77=AL$12,$U77,"")</f>
        <v/>
      </c>
      <c r="AM77" s="85" t="str">
        <f aca="false">IF($B77=AM$12,$U77,"")</f>
        <v/>
      </c>
      <c r="AN77" s="85" t="str">
        <f aca="false">IF($B77=AN$12,$U77,"")</f>
        <v/>
      </c>
      <c r="AO77" s="85" t="str">
        <f aca="false">IF($B77=AO$12,$U77,"")</f>
        <v/>
      </c>
      <c r="AP77" s="85" t="str">
        <f aca="false">IF($B77=AP$12,$U77,"")</f>
        <v/>
      </c>
      <c r="AQ77" s="85" t="str">
        <f aca="false">IF($B77=AQ$12,$U77,"")</f>
        <v/>
      </c>
      <c r="AR77" s="85" t="str">
        <f aca="false">IF($B77=AR$12,$U77,"")</f>
        <v/>
      </c>
      <c r="AS77" s="85" t="str">
        <f aca="false">IF($B77=AS$12,$U77,"")</f>
        <v/>
      </c>
      <c r="AT77" s="85" t="str">
        <f aca="false">IF($B77=AT$12,$U77,"")</f>
        <v/>
      </c>
      <c r="AU77" s="85" t="str">
        <f aca="false">IF($B77=AU$12,$U77,"")</f>
        <v/>
      </c>
      <c r="AV77" s="85" t="str">
        <f aca="false">IF($B77=AV$12,$U77,"")</f>
        <v/>
      </c>
      <c r="AW77" s="85" t="str">
        <f aca="false">IF($B77=AW$12,$U77,"")</f>
        <v/>
      </c>
      <c r="AX77" s="85" t="str">
        <f aca="false">IF($B77=AX$12,$U77,"")</f>
        <v/>
      </c>
      <c r="AY77" s="85" t="str">
        <f aca="false">IF($B77=AY$12,$U77,"")</f>
        <v/>
      </c>
      <c r="AZ77" s="85" t="str">
        <f aca="false">IF($B77=AZ$12,$U77,"")</f>
        <v/>
      </c>
      <c r="BA77" s="85" t="str">
        <f aca="false">IF($B77=BA$12,$U77,"")</f>
        <v/>
      </c>
      <c r="BB77" s="85" t="str">
        <f aca="false">IF($B77=BB$12,$U77,"")</f>
        <v/>
      </c>
      <c r="BC77" s="85" t="str">
        <f aca="false">IF($B77=BC$12,$U77,"")</f>
        <v/>
      </c>
      <c r="BD77" s="85" t="str">
        <f aca="false">IF($B77=BD$12,$U77,"")</f>
        <v/>
      </c>
      <c r="BE77" s="85" t="str">
        <f aca="false">IF($B77=BE$12,$U77,"")</f>
        <v/>
      </c>
      <c r="BF77" s="85" t="str">
        <f aca="false">IF($B77=BF$12,$U77,"")</f>
        <v/>
      </c>
      <c r="BG77" s="85" t="str">
        <f aca="false">IF($B77=BG$12,$U77,"")</f>
        <v/>
      </c>
      <c r="BH77" s="85" t="str">
        <f aca="false">IF($B77=BH$12,$U77,"")</f>
        <v/>
      </c>
      <c r="BI77" s="85" t="str">
        <f aca="false">IF($B77=BI$12,$U77,"")</f>
        <v/>
      </c>
      <c r="BJ77" s="85" t="str">
        <f aca="false">IF($B77=BJ$12,$U77,"")</f>
        <v/>
      </c>
      <c r="BK77" s="85" t="str">
        <f aca="false">IF($B77=BK$12,$U77,"")</f>
        <v/>
      </c>
      <c r="BL77" s="85" t="str">
        <f aca="false">IF($B77=BL$12,$U77,"")</f>
        <v/>
      </c>
      <c r="BM77" s="85" t="str">
        <f aca="false">IF($B77=BM$12,$U77,"")</f>
        <v/>
      </c>
      <c r="BN77" s="85" t="str">
        <f aca="false">IF($B77=BN$12,$U77,"")</f>
        <v/>
      </c>
      <c r="BO77" s="85" t="str">
        <f aca="false">IF($B77=BO$12,$U77,"")</f>
        <v/>
      </c>
      <c r="BP77" s="85" t="str">
        <f aca="false">IF($B77=BP$12,$U77,"")</f>
        <v/>
      </c>
      <c r="BQ77" s="85" t="str">
        <f aca="false">IF($B77=BQ$12,$U77,"")</f>
        <v/>
      </c>
      <c r="BR77" s="85" t="str">
        <f aca="false">IF($B77=BR$12,$U77,"")</f>
        <v/>
      </c>
      <c r="BS77" s="85" t="str">
        <f aca="false">IF($B77=BS$12,$U77,"")</f>
        <v/>
      </c>
      <c r="BT77" s="85" t="str">
        <f aca="false">IF($B77=BT$12,$U77,"")</f>
        <v/>
      </c>
      <c r="BU77" s="85" t="str">
        <f aca="false">IF($B77=BU$12,$U77,"")</f>
        <v/>
      </c>
      <c r="BV77" s="85" t="str">
        <f aca="false">IF($B77=BV$12,$U77,"")</f>
        <v/>
      </c>
      <c r="BW77" s="85" t="str">
        <f aca="false">IF($B77=BW$12,$U77,"")</f>
        <v/>
      </c>
      <c r="BX77" s="85" t="str">
        <f aca="false">IF($B77=BX$12,$U77,"")</f>
        <v/>
      </c>
      <c r="BY77" s="85" t="str">
        <f aca="false">IF($B77=BY$12,$U77,"")</f>
        <v/>
      </c>
      <c r="BZ77" s="85" t="str">
        <f aca="false">IF($B77=BZ$12,$U77,"")</f>
        <v/>
      </c>
      <c r="CA77" s="85" t="str">
        <f aca="false">IF($B77=CA$12,$U77,"")</f>
        <v/>
      </c>
      <c r="CB77" s="85" t="str">
        <f aca="false">IF($B77=CB$12,$U77,"")</f>
        <v/>
      </c>
      <c r="CC77" s="85" t="str">
        <f aca="false">IF($B77=CC$12,$U77,"")</f>
        <v/>
      </c>
      <c r="CD77" s="85" t="str">
        <f aca="false">IF($B77=CD$12,$U77,"")</f>
        <v/>
      </c>
      <c r="CE77" s="85" t="str">
        <f aca="false">IF($B77=CE$12,$U77,"")</f>
        <v/>
      </c>
      <c r="CF77" s="85" t="str">
        <f aca="false">IF($B77=CF$12,$U77,"")</f>
        <v/>
      </c>
      <c r="CG77" s="85" t="str">
        <f aca="false">IF($B77=CG$12,$U77,"")</f>
        <v/>
      </c>
      <c r="CH77" s="85" t="str">
        <f aca="false">IF($B77=CH$12,$U77,"")</f>
        <v/>
      </c>
      <c r="CI77" s="85" t="str">
        <f aca="false">IF($B77=CI$12,$U77,"")</f>
        <v/>
      </c>
      <c r="CJ77" s="85" t="str">
        <f aca="false">IF($B77=CJ$12,$U77,"")</f>
        <v/>
      </c>
      <c r="CK77" s="85" t="str">
        <f aca="false">IF($B77=CK$12,$U77,"")</f>
        <v/>
      </c>
      <c r="CL77" s="85" t="str">
        <f aca="false">IF($B77=CL$12,$U77,"")</f>
        <v/>
      </c>
      <c r="CM77" s="85" t="str">
        <f aca="false">IF($B77=CM$12,$U77,"")</f>
        <v/>
      </c>
      <c r="CN77" s="85" t="str">
        <f aca="false">IF($B77=CN$12,$U77,"")</f>
        <v/>
      </c>
      <c r="CO77" s="85" t="str">
        <f aca="false">IF($B77=CO$12,$U77,"")</f>
        <v/>
      </c>
      <c r="CP77" s="85" t="str">
        <f aca="false">IF($B77=CP$12,$U77,"")</f>
        <v/>
      </c>
      <c r="CQ77" s="85" t="str">
        <f aca="false">IF($B77=CQ$12,$U77,"")</f>
        <v/>
      </c>
      <c r="CR77" s="85" t="str">
        <f aca="false">IF($B77=CR$12,$U77,"")</f>
        <v/>
      </c>
      <c r="CS77" s="85" t="str">
        <f aca="false">IF($B77=CS$12,$U77,"")</f>
        <v/>
      </c>
      <c r="CT77" s="85" t="str">
        <f aca="false">IF($B77=CT$12,$U77,"")</f>
        <v/>
      </c>
      <c r="CU77" s="85" t="str">
        <f aca="false">IF($B77=CU$12,$U77,"")</f>
        <v/>
      </c>
      <c r="CV77" s="85" t="str">
        <f aca="false">IF($B77=CV$12,$U77,"")</f>
        <v/>
      </c>
      <c r="CW77" s="85" t="str">
        <f aca="false">IF($B77=CW$12,$U77,"")</f>
        <v/>
      </c>
      <c r="CX77" s="85" t="str">
        <f aca="false">IF($B77=CX$12,$U77,"")</f>
        <v/>
      </c>
      <c r="CY77" s="85" t="str">
        <f aca="false">IF($B77=CY$12,$U77,"")</f>
        <v/>
      </c>
      <c r="CZ77" s="85" t="str">
        <f aca="false">IF($B77=CZ$12,$U77,"")</f>
        <v/>
      </c>
      <c r="DA77" s="85" t="str">
        <f aca="false">IF($B77=DA$12,$U77,"")</f>
        <v/>
      </c>
      <c r="DB77" s="85" t="str">
        <f aca="false">IF($B77=DB$12,$U77,"")</f>
        <v/>
      </c>
      <c r="DC77" s="85" t="str">
        <f aca="false">IF($B77=DC$12,$U77,"")</f>
        <v/>
      </c>
      <c r="DD77" s="85" t="str">
        <f aca="false">IF($B77=DD$12,$U77,"")</f>
        <v/>
      </c>
      <c r="DE77" s="85" t="str">
        <f aca="false">IF($B77=DE$12,$U77,"")</f>
        <v/>
      </c>
      <c r="DF77" s="85" t="str">
        <f aca="false">IF($B77=DF$12,$U77,"")</f>
        <v/>
      </c>
      <c r="DG77" s="85" t="str">
        <f aca="false">IF($B77=DG$12,$U77,"")</f>
        <v/>
      </c>
      <c r="DH77" s="85" t="str">
        <f aca="false">IF($B77=DH$12,$U77,"")</f>
        <v/>
      </c>
      <c r="DI77" s="85" t="str">
        <f aca="false">IF($B77=DI$12,$U77,"")</f>
        <v/>
      </c>
      <c r="DJ77" s="85" t="str">
        <f aca="false">IF($B77=DJ$12,$U77,"")</f>
        <v/>
      </c>
      <c r="DK77" s="85" t="str">
        <f aca="false">IF($B77=DK$12,$U77,"")</f>
        <v/>
      </c>
      <c r="DL77" s="85" t="str">
        <f aca="false">IF($B77=DL$12,$U77,"")</f>
        <v/>
      </c>
      <c r="DM77" s="85" t="str">
        <f aca="false">IF($B77=DM$12,$U77,"")</f>
        <v/>
      </c>
      <c r="DN77" s="85" t="str">
        <f aca="false">IF($B77=DN$12,$U77,"")</f>
        <v/>
      </c>
      <c r="DO77" s="85" t="str">
        <f aca="false">IF($B77=DO$12,$U77,"")</f>
        <v/>
      </c>
      <c r="DP77" s="85" t="str">
        <f aca="false">IF($B77=DP$12,$U77,"")</f>
        <v/>
      </c>
      <c r="DQ77" s="85" t="str">
        <f aca="false">IF($B77=DQ$12,$U77,"")</f>
        <v/>
      </c>
      <c r="DR77" s="85" t="str">
        <f aca="false">IF($B77=DR$12,$U77,"")</f>
        <v/>
      </c>
      <c r="DS77" s="85" t="str">
        <f aca="false">IF($B77=DS$12,$U77,"")</f>
        <v/>
      </c>
      <c r="DT77" s="86" t="str">
        <f aca="false">IF($B77=DT$12,$U77,"")</f>
        <v/>
      </c>
      <c r="DU77" s="55"/>
      <c r="DV77" s="83"/>
      <c r="DW77" s="87" t="str">
        <f aca="false">IF($B77=DW$12,$O77,"")</f>
        <v/>
      </c>
      <c r="DX77" s="88" t="str">
        <f aca="false">IF($B77=DX$12,$O77,"")</f>
        <v/>
      </c>
      <c r="DY77" s="88" t="str">
        <f aca="false">IF($B77=DY$12,$O77,"")</f>
        <v/>
      </c>
      <c r="DZ77" s="88" t="str">
        <f aca="false">IF($B77=DZ$12,$O77,"")</f>
        <v/>
      </c>
      <c r="EA77" s="88" t="str">
        <f aca="false">IF($B77=EA$12,$O77,"")</f>
        <v/>
      </c>
      <c r="EB77" s="88" t="str">
        <f aca="false">IF($B77=EB$12,$O77,"")</f>
        <v/>
      </c>
      <c r="EC77" s="88" t="str">
        <f aca="false">IF($B77=EC$12,$O77,"")</f>
        <v/>
      </c>
      <c r="ED77" s="88" t="str">
        <f aca="false">IF($B77=ED$12,$O77,"")</f>
        <v/>
      </c>
      <c r="EE77" s="88" t="str">
        <f aca="false">IF($B77=EE$12,$O77,"")</f>
        <v/>
      </c>
      <c r="EF77" s="88" t="str">
        <f aca="false">IF($B77=EF$12,$O77,"")</f>
        <v/>
      </c>
      <c r="EG77" s="88" t="str">
        <f aca="false">IF($B77=EG$12,$O77,"")</f>
        <v/>
      </c>
      <c r="EH77" s="88" t="str">
        <f aca="false">IF($B77=EH$12,$O77,"")</f>
        <v/>
      </c>
      <c r="EI77" s="88" t="str">
        <f aca="false">IF($B77=EI$12,$O77,"")</f>
        <v/>
      </c>
      <c r="EJ77" s="88" t="str">
        <f aca="false">IF($B77=EJ$12,$O77,"")</f>
        <v/>
      </c>
      <c r="EK77" s="88" t="str">
        <f aca="false">IF($B77=EK$12,$O77,"")</f>
        <v/>
      </c>
      <c r="EL77" s="88" t="str">
        <f aca="false">IF($B77=EL$12,$O77,"")</f>
        <v/>
      </c>
      <c r="EM77" s="88" t="str">
        <f aca="false">IF($B77=EM$12,$O77,"")</f>
        <v/>
      </c>
      <c r="EN77" s="88" t="str">
        <f aca="false">IF($B77=EN$12,$O77,"")</f>
        <v/>
      </c>
      <c r="EO77" s="88" t="str">
        <f aca="false">IF($B77=EO$12,$O77,"")</f>
        <v/>
      </c>
      <c r="EP77" s="88" t="str">
        <f aca="false">IF($B77=EP$12,$O77,"")</f>
        <v/>
      </c>
      <c r="EQ77" s="88" t="str">
        <f aca="false">IF($B77=EQ$12,$O77,"")</f>
        <v/>
      </c>
      <c r="ER77" s="88" t="str">
        <f aca="false">IF($B77=ER$12,$O77,"")</f>
        <v/>
      </c>
      <c r="ES77" s="88" t="str">
        <f aca="false">IF($B77=ES$12,$O77,"")</f>
        <v/>
      </c>
      <c r="ET77" s="88" t="str">
        <f aca="false">IF($B77=ET$12,$O77,"")</f>
        <v/>
      </c>
      <c r="EU77" s="88" t="str">
        <f aca="false">IF($B77=EU$12,$O77,"")</f>
        <v/>
      </c>
      <c r="EV77" s="88" t="str">
        <f aca="false">IF($B77=EV$12,$O77,"")</f>
        <v/>
      </c>
      <c r="EW77" s="88" t="str">
        <f aca="false">IF($B77=EW$12,$O77,"")</f>
        <v/>
      </c>
      <c r="EX77" s="88" t="str">
        <f aca="false">IF($B77=EX$12,$O77,"")</f>
        <v/>
      </c>
      <c r="EY77" s="88" t="str">
        <f aca="false">IF($B77=EY$12,$O77,"")</f>
        <v/>
      </c>
      <c r="EZ77" s="88" t="str">
        <f aca="false">IF($B77=EZ$12,$O77,"")</f>
        <v/>
      </c>
      <c r="FA77" s="88" t="str">
        <f aca="false">IF($B77=FA$12,$O77,"")</f>
        <v/>
      </c>
      <c r="FB77" s="88" t="str">
        <f aca="false">IF($B77=FB$12,$O77,"")</f>
        <v/>
      </c>
      <c r="FC77" s="88" t="str">
        <f aca="false">IF($B77=FC$12,$O77,"")</f>
        <v/>
      </c>
      <c r="FD77" s="88" t="str">
        <f aca="false">IF($B77=FD$12,$O77,"")</f>
        <v/>
      </c>
      <c r="FE77" s="88" t="str">
        <f aca="false">IF($B77=FE$12,$O77,"")</f>
        <v/>
      </c>
      <c r="FF77" s="88" t="str">
        <f aca="false">IF($B77=FF$12,$O77,"")</f>
        <v/>
      </c>
      <c r="FG77" s="88" t="str">
        <f aca="false">IF($B77=FG$12,$O77,"")</f>
        <v/>
      </c>
      <c r="FH77" s="88" t="str">
        <f aca="false">IF($B77=FH$12,$O77,"")</f>
        <v/>
      </c>
      <c r="FI77" s="88" t="str">
        <f aca="false">IF($B77=FI$12,$O77,"")</f>
        <v/>
      </c>
      <c r="FJ77" s="88" t="str">
        <f aca="false">IF($B77=FJ$12,$O77,"")</f>
        <v/>
      </c>
      <c r="FK77" s="88" t="str">
        <f aca="false">IF($B77=FK$12,$O77,"")</f>
        <v/>
      </c>
      <c r="FL77" s="88" t="str">
        <f aca="false">IF($B77=FL$12,$O77,"")</f>
        <v/>
      </c>
      <c r="FM77" s="88" t="str">
        <f aca="false">IF($B77=FM$12,$O77,"")</f>
        <v/>
      </c>
      <c r="FN77" s="88" t="str">
        <f aca="false">IF($B77=FN$12,$O77,"")</f>
        <v/>
      </c>
      <c r="FO77" s="88" t="str">
        <f aca="false">IF($B77=FO$12,$O77,"")</f>
        <v/>
      </c>
      <c r="FP77" s="88" t="str">
        <f aca="false">IF($B77=FP$12,$O77,"")</f>
        <v/>
      </c>
      <c r="FQ77" s="88" t="str">
        <f aca="false">IF($B77=FQ$12,$O77,"")</f>
        <v/>
      </c>
      <c r="FR77" s="88" t="str">
        <f aca="false">IF($B77=FR$12,$O77,"")</f>
        <v/>
      </c>
      <c r="FS77" s="88" t="str">
        <f aca="false">IF($B77=FS$12,$O77,"")</f>
        <v/>
      </c>
      <c r="FT77" s="88" t="str">
        <f aca="false">IF($B77=FT$12,$O77,"")</f>
        <v/>
      </c>
      <c r="FU77" s="88" t="str">
        <f aca="false">IF($B77=FU$12,$O77,"")</f>
        <v/>
      </c>
      <c r="FV77" s="88" t="str">
        <f aca="false">IF($B77=FV$12,$O77,"")</f>
        <v/>
      </c>
      <c r="FW77" s="88" t="str">
        <f aca="false">IF($B77=FW$12,$O77,"")</f>
        <v/>
      </c>
      <c r="FX77" s="88" t="str">
        <f aca="false">IF($B77=FX$12,$O77,"")</f>
        <v/>
      </c>
      <c r="FY77" s="88" t="str">
        <f aca="false">IF($B77=FY$12,$O77,"")</f>
        <v/>
      </c>
      <c r="FZ77" s="88" t="str">
        <f aca="false">IF($B77=FZ$12,$O77,"")</f>
        <v/>
      </c>
      <c r="GA77" s="88" t="str">
        <f aca="false">IF($B77=GA$12,$O77,"")</f>
        <v/>
      </c>
      <c r="GB77" s="88" t="str">
        <f aca="false">IF($B77=GB$12,$O77,"")</f>
        <v/>
      </c>
      <c r="GC77" s="88" t="str">
        <f aca="false">IF($B77=GC$12,$O77,"")</f>
        <v/>
      </c>
      <c r="GD77" s="88" t="str">
        <f aca="false">IF($B77=GD$12,$O77,"")</f>
        <v/>
      </c>
      <c r="GE77" s="88" t="str">
        <f aca="false">IF($B77=GE$12,$O77,"")</f>
        <v/>
      </c>
      <c r="GF77" s="88" t="str">
        <f aca="false">IF($B77=GF$12,$O77,"")</f>
        <v/>
      </c>
      <c r="GG77" s="88" t="str">
        <f aca="false">IF($B77=GG$12,$O77,"")</f>
        <v/>
      </c>
      <c r="GH77" s="88" t="str">
        <f aca="false">IF($B77=GH$12,$O77,"")</f>
        <v/>
      </c>
      <c r="GI77" s="88" t="str">
        <f aca="false">IF($B77=GI$12,$O77,"")</f>
        <v/>
      </c>
      <c r="GJ77" s="88" t="str">
        <f aca="false">IF($B77=GJ$12,$O77,"")</f>
        <v/>
      </c>
      <c r="GK77" s="88" t="str">
        <f aca="false">IF($B77=GK$12,$O77,"")</f>
        <v/>
      </c>
      <c r="GL77" s="88" t="str">
        <f aca="false">IF($B77=GL$12,$O77,"")</f>
        <v/>
      </c>
      <c r="GM77" s="88" t="str">
        <f aca="false">IF($B77=GM$12,$O77,"")</f>
        <v/>
      </c>
      <c r="GN77" s="88" t="str">
        <f aca="false">IF($B77=GN$12,$O77,"")</f>
        <v/>
      </c>
      <c r="GO77" s="88" t="str">
        <f aca="false">IF($B77=GO$12,$O77,"")</f>
        <v/>
      </c>
      <c r="GP77" s="88" t="str">
        <f aca="false">IF($B77=GP$12,$O77,"")</f>
        <v/>
      </c>
      <c r="GQ77" s="88" t="str">
        <f aca="false">IF($B77=GQ$12,$O77,"")</f>
        <v/>
      </c>
      <c r="GR77" s="88" t="str">
        <f aca="false">IF($B77=GR$12,$O77,"")</f>
        <v/>
      </c>
      <c r="GS77" s="88" t="str">
        <f aca="false">IF($B77=GS$12,$O77,"")</f>
        <v/>
      </c>
      <c r="GT77" s="88" t="str">
        <f aca="false">IF($B77=GT$12,$O77,"")</f>
        <v/>
      </c>
      <c r="GU77" s="88" t="str">
        <f aca="false">IF($B77=GU$12,$O77,"")</f>
        <v/>
      </c>
      <c r="GV77" s="88" t="str">
        <f aca="false">IF($B77=GV$12,$O77,"")</f>
        <v/>
      </c>
      <c r="GW77" s="88" t="str">
        <f aca="false">IF($B77=GW$12,$O77,"")</f>
        <v/>
      </c>
      <c r="GX77" s="88" t="str">
        <f aca="false">IF($B77=GX$12,$O77,"")</f>
        <v/>
      </c>
      <c r="GY77" s="88" t="str">
        <f aca="false">IF($B77=GY$12,$O77,"")</f>
        <v/>
      </c>
      <c r="GZ77" s="88" t="str">
        <f aca="false">IF($B77=GZ$12,$O77,"")</f>
        <v/>
      </c>
      <c r="HA77" s="88" t="str">
        <f aca="false">IF($B77=HA$12,$O77,"")</f>
        <v/>
      </c>
      <c r="HB77" s="88" t="str">
        <f aca="false">IF($B77=HB$12,$O77,"")</f>
        <v/>
      </c>
      <c r="HC77" s="88" t="str">
        <f aca="false">IF($B77=HC$12,$O77,"")</f>
        <v/>
      </c>
      <c r="HD77" s="88" t="str">
        <f aca="false">IF($B77=HD$12,$O77,"")</f>
        <v/>
      </c>
      <c r="HE77" s="88" t="str">
        <f aca="false">IF($B77=HE$12,$O77,"")</f>
        <v/>
      </c>
      <c r="HF77" s="88" t="str">
        <f aca="false">IF($B77=HF$12,$O77,"")</f>
        <v/>
      </c>
      <c r="HG77" s="88" t="str">
        <f aca="false">IF($B77=HG$12,$O77,"")</f>
        <v/>
      </c>
      <c r="HH77" s="88" t="str">
        <f aca="false">IF($B77=HH$12,$O77,"")</f>
        <v/>
      </c>
      <c r="HI77" s="88" t="str">
        <f aca="false">IF($B77=HI$12,$O77,"")</f>
        <v/>
      </c>
      <c r="HJ77" s="88" t="str">
        <f aca="false">IF($B77=HJ$12,$O77,"")</f>
        <v/>
      </c>
      <c r="HK77" s="88" t="str">
        <f aca="false">IF($B77=HK$12,$O77,"")</f>
        <v/>
      </c>
      <c r="HL77" s="88" t="str">
        <f aca="false">IF($B77=HL$12,$O77,"")</f>
        <v/>
      </c>
      <c r="HM77" s="88" t="str">
        <f aca="false">IF($B77=HM$12,$O77,"")</f>
        <v/>
      </c>
      <c r="HN77" s="88" t="str">
        <f aca="false">IF($B77=HN$12,$O77,"")</f>
        <v/>
      </c>
      <c r="HO77" s="88" t="str">
        <f aca="false">IF($B77=HO$12,$O77,"")</f>
        <v/>
      </c>
      <c r="HP77" s="88" t="str">
        <f aca="false">IF($B77=HP$12,$O77,"")</f>
        <v/>
      </c>
      <c r="HQ77" s="88" t="str">
        <f aca="false">IF($B77=HQ$12,$O77,"")</f>
        <v/>
      </c>
      <c r="HR77" s="89" t="str">
        <f aca="false">IF($B77=HR$12,$O77,"")</f>
        <v/>
      </c>
    </row>
    <row r="78" customFormat="false" ht="10.5" hidden="false" customHeight="true" outlineLevel="0" collapsed="false">
      <c r="A78" s="73"/>
      <c r="B78" s="74"/>
      <c r="C78" s="75" t="str">
        <f aca="false">IF(A78=0,"",VLOOKUP(A78,[3]CO!$A$3:$F$5311,2,0))</f>
        <v/>
      </c>
      <c r="D78" s="76"/>
      <c r="E78" s="76"/>
      <c r="F78" s="76"/>
      <c r="G78" s="77" t="str">
        <f aca="false">IF(A78=0,"",VLOOKUP(A78,[3]CO!$A$3:$F$5311,3,0))</f>
        <v/>
      </c>
      <c r="H78" s="76"/>
      <c r="I78" s="78"/>
      <c r="J78" s="78"/>
      <c r="K78" s="78"/>
      <c r="L78" s="78"/>
      <c r="M78" s="79" t="str">
        <f aca="false">IF(L78=0,"",PRODUCT(I78:L78))</f>
        <v/>
      </c>
      <c r="N78" s="79" t="str">
        <f aca="false">IF(B78=0,"",IF(H78="M",HLOOKUP(B78,$Y$12:$DT$13,2),IF(A78=0,"",VLOOKUP(A78,[3]CO!$A$3:$F$5311,4,0))))</f>
        <v/>
      </c>
      <c r="O78" s="79" t="str">
        <f aca="false">IF(L78=0,"",PRODUCT(M78:N78))</f>
        <v/>
      </c>
      <c r="P78" s="80"/>
      <c r="Q78" s="81" t="str">
        <f aca="false">IF(P78=0,"",(HLOOKUP(P78,$DW$12:$HR$13,2)))</f>
        <v/>
      </c>
      <c r="R78" s="82" t="str">
        <f aca="false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RESIDENTE"),VLOOKUP(B78,P$14:Q$131,2),"")*S78)</f>
        <v/>
      </c>
      <c r="S78" s="5"/>
      <c r="T78" s="65" t="str">
        <f aca="false">IF(A78=0,"",VLOOKUP(A78,[3]CO!$A$3:$F$5302,5,0))</f>
        <v/>
      </c>
      <c r="U78" s="55" t="n">
        <f aca="false">IF(T78=1,O78*0.1,)</f>
        <v>0</v>
      </c>
      <c r="V78" s="66"/>
      <c r="W78" s="83"/>
      <c r="X78" s="83"/>
      <c r="Y78" s="84" t="str">
        <f aca="false">IF($B78=Y$12,$U78,"")</f>
        <v/>
      </c>
      <c r="Z78" s="85" t="str">
        <f aca="false">IF($B78=Z$12,$U78,"")</f>
        <v/>
      </c>
      <c r="AA78" s="85" t="str">
        <f aca="false">IF($B78=AA$12,$U78,"")</f>
        <v/>
      </c>
      <c r="AB78" s="85" t="str">
        <f aca="false">IF($B78=AB$12,$U78,"")</f>
        <v/>
      </c>
      <c r="AC78" s="85" t="str">
        <f aca="false">IF($B78=AC$12,$U78,"")</f>
        <v/>
      </c>
      <c r="AD78" s="85" t="str">
        <f aca="false">IF($B78=AD$12,$U78,"")</f>
        <v/>
      </c>
      <c r="AE78" s="85" t="str">
        <f aca="false">IF($B78=AE$12,$U78,"")</f>
        <v/>
      </c>
      <c r="AF78" s="85" t="str">
        <f aca="false">IF($B78=AF$12,$U78,"")</f>
        <v/>
      </c>
      <c r="AG78" s="85" t="str">
        <f aca="false">IF($B78=AG$12,$U78,"")</f>
        <v/>
      </c>
      <c r="AH78" s="85" t="str">
        <f aca="false">IF($B78=AH$12,$U78,"")</f>
        <v/>
      </c>
      <c r="AI78" s="85" t="str">
        <f aca="false">IF($B78=AI$12,$U78,"")</f>
        <v/>
      </c>
      <c r="AJ78" s="85" t="str">
        <f aca="false">IF($B78=AJ$12,$U78,"")</f>
        <v/>
      </c>
      <c r="AK78" s="85" t="str">
        <f aca="false">IF($B78=AK$12,$U78,"")</f>
        <v/>
      </c>
      <c r="AL78" s="85" t="str">
        <f aca="false">IF($B78=AL$12,$U78,"")</f>
        <v/>
      </c>
      <c r="AM78" s="85" t="str">
        <f aca="false">IF($B78=AM$12,$U78,"")</f>
        <v/>
      </c>
      <c r="AN78" s="85" t="str">
        <f aca="false">IF($B78=AN$12,$U78,"")</f>
        <v/>
      </c>
      <c r="AO78" s="85" t="str">
        <f aca="false">IF($B78=AO$12,$U78,"")</f>
        <v/>
      </c>
      <c r="AP78" s="85" t="str">
        <f aca="false">IF($B78=AP$12,$U78,"")</f>
        <v/>
      </c>
      <c r="AQ78" s="85" t="str">
        <f aca="false">IF($B78=AQ$12,$U78,"")</f>
        <v/>
      </c>
      <c r="AR78" s="85" t="str">
        <f aca="false">IF($B78=AR$12,$U78,"")</f>
        <v/>
      </c>
      <c r="AS78" s="85" t="str">
        <f aca="false">IF($B78=AS$12,$U78,"")</f>
        <v/>
      </c>
      <c r="AT78" s="85" t="str">
        <f aca="false">IF($B78=AT$12,$U78,"")</f>
        <v/>
      </c>
      <c r="AU78" s="85" t="str">
        <f aca="false">IF($B78=AU$12,$U78,"")</f>
        <v/>
      </c>
      <c r="AV78" s="85" t="str">
        <f aca="false">IF($B78=AV$12,$U78,"")</f>
        <v/>
      </c>
      <c r="AW78" s="85" t="str">
        <f aca="false">IF($B78=AW$12,$U78,"")</f>
        <v/>
      </c>
      <c r="AX78" s="85" t="str">
        <f aca="false">IF($B78=AX$12,$U78,"")</f>
        <v/>
      </c>
      <c r="AY78" s="85" t="str">
        <f aca="false">IF($B78=AY$12,$U78,"")</f>
        <v/>
      </c>
      <c r="AZ78" s="85" t="str">
        <f aca="false">IF($B78=AZ$12,$U78,"")</f>
        <v/>
      </c>
      <c r="BA78" s="85" t="str">
        <f aca="false">IF($B78=BA$12,$U78,"")</f>
        <v/>
      </c>
      <c r="BB78" s="85" t="str">
        <f aca="false">IF($B78=BB$12,$U78,"")</f>
        <v/>
      </c>
      <c r="BC78" s="85" t="str">
        <f aca="false">IF($B78=BC$12,$U78,"")</f>
        <v/>
      </c>
      <c r="BD78" s="85" t="str">
        <f aca="false">IF($B78=BD$12,$U78,"")</f>
        <v/>
      </c>
      <c r="BE78" s="85" t="str">
        <f aca="false">IF($B78=BE$12,$U78,"")</f>
        <v/>
      </c>
      <c r="BF78" s="85" t="str">
        <f aca="false">IF($B78=BF$12,$U78,"")</f>
        <v/>
      </c>
      <c r="BG78" s="85" t="str">
        <f aca="false">IF($B78=BG$12,$U78,"")</f>
        <v/>
      </c>
      <c r="BH78" s="85" t="str">
        <f aca="false">IF($B78=BH$12,$U78,"")</f>
        <v/>
      </c>
      <c r="BI78" s="85" t="str">
        <f aca="false">IF($B78=BI$12,$U78,"")</f>
        <v/>
      </c>
      <c r="BJ78" s="85" t="str">
        <f aca="false">IF($B78=BJ$12,$U78,"")</f>
        <v/>
      </c>
      <c r="BK78" s="85" t="str">
        <f aca="false">IF($B78=BK$12,$U78,"")</f>
        <v/>
      </c>
      <c r="BL78" s="85" t="str">
        <f aca="false">IF($B78=BL$12,$U78,"")</f>
        <v/>
      </c>
      <c r="BM78" s="85" t="str">
        <f aca="false">IF($B78=BM$12,$U78,"")</f>
        <v/>
      </c>
      <c r="BN78" s="85" t="str">
        <f aca="false">IF($B78=BN$12,$U78,"")</f>
        <v/>
      </c>
      <c r="BO78" s="85" t="str">
        <f aca="false">IF($B78=BO$12,$U78,"")</f>
        <v/>
      </c>
      <c r="BP78" s="85" t="str">
        <f aca="false">IF($B78=BP$12,$U78,"")</f>
        <v/>
      </c>
      <c r="BQ78" s="85" t="str">
        <f aca="false">IF($B78=BQ$12,$U78,"")</f>
        <v/>
      </c>
      <c r="BR78" s="85" t="str">
        <f aca="false">IF($B78=BR$12,$U78,"")</f>
        <v/>
      </c>
      <c r="BS78" s="85" t="str">
        <f aca="false">IF($B78=BS$12,$U78,"")</f>
        <v/>
      </c>
      <c r="BT78" s="85" t="str">
        <f aca="false">IF($B78=BT$12,$U78,"")</f>
        <v/>
      </c>
      <c r="BU78" s="85" t="str">
        <f aca="false">IF($B78=BU$12,$U78,"")</f>
        <v/>
      </c>
      <c r="BV78" s="85" t="str">
        <f aca="false">IF($B78=BV$12,$U78,"")</f>
        <v/>
      </c>
      <c r="BW78" s="85" t="str">
        <f aca="false">IF($B78=BW$12,$U78,"")</f>
        <v/>
      </c>
      <c r="BX78" s="85" t="str">
        <f aca="false">IF($B78=BX$12,$U78,"")</f>
        <v/>
      </c>
      <c r="BY78" s="85" t="str">
        <f aca="false">IF($B78=BY$12,$U78,"")</f>
        <v/>
      </c>
      <c r="BZ78" s="85" t="str">
        <f aca="false">IF($B78=BZ$12,$U78,"")</f>
        <v/>
      </c>
      <c r="CA78" s="85" t="str">
        <f aca="false">IF($B78=CA$12,$U78,"")</f>
        <v/>
      </c>
      <c r="CB78" s="85" t="str">
        <f aca="false">IF($B78=CB$12,$U78,"")</f>
        <v/>
      </c>
      <c r="CC78" s="85" t="str">
        <f aca="false">IF($B78=CC$12,$U78,"")</f>
        <v/>
      </c>
      <c r="CD78" s="85" t="str">
        <f aca="false">IF($B78=CD$12,$U78,"")</f>
        <v/>
      </c>
      <c r="CE78" s="85" t="str">
        <f aca="false">IF($B78=CE$12,$U78,"")</f>
        <v/>
      </c>
      <c r="CF78" s="85" t="str">
        <f aca="false">IF($B78=CF$12,$U78,"")</f>
        <v/>
      </c>
      <c r="CG78" s="85" t="str">
        <f aca="false">IF($B78=CG$12,$U78,"")</f>
        <v/>
      </c>
      <c r="CH78" s="85" t="str">
        <f aca="false">IF($B78=CH$12,$U78,"")</f>
        <v/>
      </c>
      <c r="CI78" s="85" t="str">
        <f aca="false">IF($B78=CI$12,$U78,"")</f>
        <v/>
      </c>
      <c r="CJ78" s="85" t="str">
        <f aca="false">IF($B78=CJ$12,$U78,"")</f>
        <v/>
      </c>
      <c r="CK78" s="85" t="str">
        <f aca="false">IF($B78=CK$12,$U78,"")</f>
        <v/>
      </c>
      <c r="CL78" s="85" t="str">
        <f aca="false">IF($B78=CL$12,$U78,"")</f>
        <v/>
      </c>
      <c r="CM78" s="85" t="str">
        <f aca="false">IF($B78=CM$12,$U78,"")</f>
        <v/>
      </c>
      <c r="CN78" s="85" t="str">
        <f aca="false">IF($B78=CN$12,$U78,"")</f>
        <v/>
      </c>
      <c r="CO78" s="85" t="str">
        <f aca="false">IF($B78=CO$12,$U78,"")</f>
        <v/>
      </c>
      <c r="CP78" s="85" t="str">
        <f aca="false">IF($B78=CP$12,$U78,"")</f>
        <v/>
      </c>
      <c r="CQ78" s="85" t="str">
        <f aca="false">IF($B78=CQ$12,$U78,"")</f>
        <v/>
      </c>
      <c r="CR78" s="85" t="str">
        <f aca="false">IF($B78=CR$12,$U78,"")</f>
        <v/>
      </c>
      <c r="CS78" s="85" t="str">
        <f aca="false">IF($B78=CS$12,$U78,"")</f>
        <v/>
      </c>
      <c r="CT78" s="85" t="str">
        <f aca="false">IF($B78=CT$12,$U78,"")</f>
        <v/>
      </c>
      <c r="CU78" s="85" t="str">
        <f aca="false">IF($B78=CU$12,$U78,"")</f>
        <v/>
      </c>
      <c r="CV78" s="85" t="str">
        <f aca="false">IF($B78=CV$12,$U78,"")</f>
        <v/>
      </c>
      <c r="CW78" s="85" t="str">
        <f aca="false">IF($B78=CW$12,$U78,"")</f>
        <v/>
      </c>
      <c r="CX78" s="85" t="str">
        <f aca="false">IF($B78=CX$12,$U78,"")</f>
        <v/>
      </c>
      <c r="CY78" s="85" t="str">
        <f aca="false">IF($B78=CY$12,$U78,"")</f>
        <v/>
      </c>
      <c r="CZ78" s="85" t="str">
        <f aca="false">IF($B78=CZ$12,$U78,"")</f>
        <v/>
      </c>
      <c r="DA78" s="85" t="str">
        <f aca="false">IF($B78=DA$12,$U78,"")</f>
        <v/>
      </c>
      <c r="DB78" s="85" t="str">
        <f aca="false">IF($B78=DB$12,$U78,"")</f>
        <v/>
      </c>
      <c r="DC78" s="85" t="str">
        <f aca="false">IF($B78=DC$12,$U78,"")</f>
        <v/>
      </c>
      <c r="DD78" s="85" t="str">
        <f aca="false">IF($B78=DD$12,$U78,"")</f>
        <v/>
      </c>
      <c r="DE78" s="85" t="str">
        <f aca="false">IF($B78=DE$12,$U78,"")</f>
        <v/>
      </c>
      <c r="DF78" s="85" t="str">
        <f aca="false">IF($B78=DF$12,$U78,"")</f>
        <v/>
      </c>
      <c r="DG78" s="85" t="str">
        <f aca="false">IF($B78=DG$12,$U78,"")</f>
        <v/>
      </c>
      <c r="DH78" s="85" t="str">
        <f aca="false">IF($B78=DH$12,$U78,"")</f>
        <v/>
      </c>
      <c r="DI78" s="85" t="str">
        <f aca="false">IF($B78=DI$12,$U78,"")</f>
        <v/>
      </c>
      <c r="DJ78" s="85" t="str">
        <f aca="false">IF($B78=DJ$12,$U78,"")</f>
        <v/>
      </c>
      <c r="DK78" s="85" t="str">
        <f aca="false">IF($B78=DK$12,$U78,"")</f>
        <v/>
      </c>
      <c r="DL78" s="85" t="str">
        <f aca="false">IF($B78=DL$12,$U78,"")</f>
        <v/>
      </c>
      <c r="DM78" s="85" t="str">
        <f aca="false">IF($B78=DM$12,$U78,"")</f>
        <v/>
      </c>
      <c r="DN78" s="85" t="str">
        <f aca="false">IF($B78=DN$12,$U78,"")</f>
        <v/>
      </c>
      <c r="DO78" s="85" t="str">
        <f aca="false">IF($B78=DO$12,$U78,"")</f>
        <v/>
      </c>
      <c r="DP78" s="85" t="str">
        <f aca="false">IF($B78=DP$12,$U78,"")</f>
        <v/>
      </c>
      <c r="DQ78" s="85" t="str">
        <f aca="false">IF($B78=DQ$12,$U78,"")</f>
        <v/>
      </c>
      <c r="DR78" s="85" t="str">
        <f aca="false">IF($B78=DR$12,$U78,"")</f>
        <v/>
      </c>
      <c r="DS78" s="85" t="str">
        <f aca="false">IF($B78=DS$12,$U78,"")</f>
        <v/>
      </c>
      <c r="DT78" s="86" t="str">
        <f aca="false">IF($B78=DT$12,$U78,"")</f>
        <v/>
      </c>
      <c r="DU78" s="55"/>
      <c r="DV78" s="83"/>
      <c r="DW78" s="87" t="str">
        <f aca="false">IF($B78=DW$12,$O78,"")</f>
        <v/>
      </c>
      <c r="DX78" s="88" t="str">
        <f aca="false">IF($B78=DX$12,$O78,"")</f>
        <v/>
      </c>
      <c r="DY78" s="88" t="str">
        <f aca="false">IF($B78=DY$12,$O78,"")</f>
        <v/>
      </c>
      <c r="DZ78" s="88" t="str">
        <f aca="false">IF($B78=DZ$12,$O78,"")</f>
        <v/>
      </c>
      <c r="EA78" s="88" t="str">
        <f aca="false">IF($B78=EA$12,$O78,"")</f>
        <v/>
      </c>
      <c r="EB78" s="88" t="str">
        <f aca="false">IF($B78=EB$12,$O78,"")</f>
        <v/>
      </c>
      <c r="EC78" s="88" t="str">
        <f aca="false">IF($B78=EC$12,$O78,"")</f>
        <v/>
      </c>
      <c r="ED78" s="88" t="str">
        <f aca="false">IF($B78=ED$12,$O78,"")</f>
        <v/>
      </c>
      <c r="EE78" s="88" t="str">
        <f aca="false">IF($B78=EE$12,$O78,"")</f>
        <v/>
      </c>
      <c r="EF78" s="88" t="str">
        <f aca="false">IF($B78=EF$12,$O78,"")</f>
        <v/>
      </c>
      <c r="EG78" s="88" t="str">
        <f aca="false">IF($B78=EG$12,$O78,"")</f>
        <v/>
      </c>
      <c r="EH78" s="88" t="str">
        <f aca="false">IF($B78=EH$12,$O78,"")</f>
        <v/>
      </c>
      <c r="EI78" s="88" t="str">
        <f aca="false">IF($B78=EI$12,$O78,"")</f>
        <v/>
      </c>
      <c r="EJ78" s="88" t="str">
        <f aca="false">IF($B78=EJ$12,$O78,"")</f>
        <v/>
      </c>
      <c r="EK78" s="88" t="str">
        <f aca="false">IF($B78=EK$12,$O78,"")</f>
        <v/>
      </c>
      <c r="EL78" s="88" t="str">
        <f aca="false">IF($B78=EL$12,$O78,"")</f>
        <v/>
      </c>
      <c r="EM78" s="88" t="str">
        <f aca="false">IF($B78=EM$12,$O78,"")</f>
        <v/>
      </c>
      <c r="EN78" s="88" t="str">
        <f aca="false">IF($B78=EN$12,$O78,"")</f>
        <v/>
      </c>
      <c r="EO78" s="88" t="str">
        <f aca="false">IF($B78=EO$12,$O78,"")</f>
        <v/>
      </c>
      <c r="EP78" s="88" t="str">
        <f aca="false">IF($B78=EP$12,$O78,"")</f>
        <v/>
      </c>
      <c r="EQ78" s="88" t="str">
        <f aca="false">IF($B78=EQ$12,$O78,"")</f>
        <v/>
      </c>
      <c r="ER78" s="88" t="str">
        <f aca="false">IF($B78=ER$12,$O78,"")</f>
        <v/>
      </c>
      <c r="ES78" s="88" t="str">
        <f aca="false">IF($B78=ES$12,$O78,"")</f>
        <v/>
      </c>
      <c r="ET78" s="88" t="str">
        <f aca="false">IF($B78=ET$12,$O78,"")</f>
        <v/>
      </c>
      <c r="EU78" s="88" t="str">
        <f aca="false">IF($B78=EU$12,$O78,"")</f>
        <v/>
      </c>
      <c r="EV78" s="88" t="str">
        <f aca="false">IF($B78=EV$12,$O78,"")</f>
        <v/>
      </c>
      <c r="EW78" s="88" t="str">
        <f aca="false">IF($B78=EW$12,$O78,"")</f>
        <v/>
      </c>
      <c r="EX78" s="88" t="str">
        <f aca="false">IF($B78=EX$12,$O78,"")</f>
        <v/>
      </c>
      <c r="EY78" s="88" t="str">
        <f aca="false">IF($B78=EY$12,$O78,"")</f>
        <v/>
      </c>
      <c r="EZ78" s="88" t="str">
        <f aca="false">IF($B78=EZ$12,$O78,"")</f>
        <v/>
      </c>
      <c r="FA78" s="88" t="str">
        <f aca="false">IF($B78=FA$12,$O78,"")</f>
        <v/>
      </c>
      <c r="FB78" s="88" t="str">
        <f aca="false">IF($B78=FB$12,$O78,"")</f>
        <v/>
      </c>
      <c r="FC78" s="88" t="str">
        <f aca="false">IF($B78=FC$12,$O78,"")</f>
        <v/>
      </c>
      <c r="FD78" s="88" t="str">
        <f aca="false">IF($B78=FD$12,$O78,"")</f>
        <v/>
      </c>
      <c r="FE78" s="88" t="str">
        <f aca="false">IF($B78=FE$12,$O78,"")</f>
        <v/>
      </c>
      <c r="FF78" s="88" t="str">
        <f aca="false">IF($B78=FF$12,$O78,"")</f>
        <v/>
      </c>
      <c r="FG78" s="88" t="str">
        <f aca="false">IF($B78=FG$12,$O78,"")</f>
        <v/>
      </c>
      <c r="FH78" s="88" t="str">
        <f aca="false">IF($B78=FH$12,$O78,"")</f>
        <v/>
      </c>
      <c r="FI78" s="88" t="str">
        <f aca="false">IF($B78=FI$12,$O78,"")</f>
        <v/>
      </c>
      <c r="FJ78" s="88" t="str">
        <f aca="false">IF($B78=FJ$12,$O78,"")</f>
        <v/>
      </c>
      <c r="FK78" s="88" t="str">
        <f aca="false">IF($B78=FK$12,$O78,"")</f>
        <v/>
      </c>
      <c r="FL78" s="88" t="str">
        <f aca="false">IF($B78=FL$12,$O78,"")</f>
        <v/>
      </c>
      <c r="FM78" s="88" t="str">
        <f aca="false">IF($B78=FM$12,$O78,"")</f>
        <v/>
      </c>
      <c r="FN78" s="88" t="str">
        <f aca="false">IF($B78=FN$12,$O78,"")</f>
        <v/>
      </c>
      <c r="FO78" s="88" t="str">
        <f aca="false">IF($B78=FO$12,$O78,"")</f>
        <v/>
      </c>
      <c r="FP78" s="88" t="str">
        <f aca="false">IF($B78=FP$12,$O78,"")</f>
        <v/>
      </c>
      <c r="FQ78" s="88" t="str">
        <f aca="false">IF($B78=FQ$12,$O78,"")</f>
        <v/>
      </c>
      <c r="FR78" s="88" t="str">
        <f aca="false">IF($B78=FR$12,$O78,"")</f>
        <v/>
      </c>
      <c r="FS78" s="88" t="str">
        <f aca="false">IF($B78=FS$12,$O78,"")</f>
        <v/>
      </c>
      <c r="FT78" s="88" t="str">
        <f aca="false">IF($B78=FT$12,$O78,"")</f>
        <v/>
      </c>
      <c r="FU78" s="88" t="str">
        <f aca="false">IF($B78=FU$12,$O78,"")</f>
        <v/>
      </c>
      <c r="FV78" s="88" t="str">
        <f aca="false">IF($B78=FV$12,$O78,"")</f>
        <v/>
      </c>
      <c r="FW78" s="88" t="str">
        <f aca="false">IF($B78=FW$12,$O78,"")</f>
        <v/>
      </c>
      <c r="FX78" s="88" t="str">
        <f aca="false">IF($B78=FX$12,$O78,"")</f>
        <v/>
      </c>
      <c r="FY78" s="88" t="str">
        <f aca="false">IF($B78=FY$12,$O78,"")</f>
        <v/>
      </c>
      <c r="FZ78" s="88" t="str">
        <f aca="false">IF($B78=FZ$12,$O78,"")</f>
        <v/>
      </c>
      <c r="GA78" s="88" t="str">
        <f aca="false">IF($B78=GA$12,$O78,"")</f>
        <v/>
      </c>
      <c r="GB78" s="88" t="str">
        <f aca="false">IF($B78=GB$12,$O78,"")</f>
        <v/>
      </c>
      <c r="GC78" s="88" t="str">
        <f aca="false">IF($B78=GC$12,$O78,"")</f>
        <v/>
      </c>
      <c r="GD78" s="88" t="str">
        <f aca="false">IF($B78=GD$12,$O78,"")</f>
        <v/>
      </c>
      <c r="GE78" s="88" t="str">
        <f aca="false">IF($B78=GE$12,$O78,"")</f>
        <v/>
      </c>
      <c r="GF78" s="88" t="str">
        <f aca="false">IF($B78=GF$12,$O78,"")</f>
        <v/>
      </c>
      <c r="GG78" s="88" t="str">
        <f aca="false">IF($B78=GG$12,$O78,"")</f>
        <v/>
      </c>
      <c r="GH78" s="88" t="str">
        <f aca="false">IF($B78=GH$12,$O78,"")</f>
        <v/>
      </c>
      <c r="GI78" s="88" t="str">
        <f aca="false">IF($B78=GI$12,$O78,"")</f>
        <v/>
      </c>
      <c r="GJ78" s="88" t="str">
        <f aca="false">IF($B78=GJ$12,$O78,"")</f>
        <v/>
      </c>
      <c r="GK78" s="88" t="str">
        <f aca="false">IF($B78=GK$12,$O78,"")</f>
        <v/>
      </c>
      <c r="GL78" s="88" t="str">
        <f aca="false">IF($B78=GL$12,$O78,"")</f>
        <v/>
      </c>
      <c r="GM78" s="88" t="str">
        <f aca="false">IF($B78=GM$12,$O78,"")</f>
        <v/>
      </c>
      <c r="GN78" s="88" t="str">
        <f aca="false">IF($B78=GN$12,$O78,"")</f>
        <v/>
      </c>
      <c r="GO78" s="88" t="str">
        <f aca="false">IF($B78=GO$12,$O78,"")</f>
        <v/>
      </c>
      <c r="GP78" s="88" t="str">
        <f aca="false">IF($B78=GP$12,$O78,"")</f>
        <v/>
      </c>
      <c r="GQ78" s="88" t="str">
        <f aca="false">IF($B78=GQ$12,$O78,"")</f>
        <v/>
      </c>
      <c r="GR78" s="88" t="str">
        <f aca="false">IF($B78=GR$12,$O78,"")</f>
        <v/>
      </c>
      <c r="GS78" s="88" t="str">
        <f aca="false">IF($B78=GS$12,$O78,"")</f>
        <v/>
      </c>
      <c r="GT78" s="88" t="str">
        <f aca="false">IF($B78=GT$12,$O78,"")</f>
        <v/>
      </c>
      <c r="GU78" s="88" t="str">
        <f aca="false">IF($B78=GU$12,$O78,"")</f>
        <v/>
      </c>
      <c r="GV78" s="88" t="str">
        <f aca="false">IF($B78=GV$12,$O78,"")</f>
        <v/>
      </c>
      <c r="GW78" s="88" t="str">
        <f aca="false">IF($B78=GW$12,$O78,"")</f>
        <v/>
      </c>
      <c r="GX78" s="88" t="str">
        <f aca="false">IF($B78=GX$12,$O78,"")</f>
        <v/>
      </c>
      <c r="GY78" s="88" t="str">
        <f aca="false">IF($B78=GY$12,$O78,"")</f>
        <v/>
      </c>
      <c r="GZ78" s="88" t="str">
        <f aca="false">IF($B78=GZ$12,$O78,"")</f>
        <v/>
      </c>
      <c r="HA78" s="88" t="str">
        <f aca="false">IF($B78=HA$12,$O78,"")</f>
        <v/>
      </c>
      <c r="HB78" s="88" t="str">
        <f aca="false">IF($B78=HB$12,$O78,"")</f>
        <v/>
      </c>
      <c r="HC78" s="88" t="str">
        <f aca="false">IF($B78=HC$12,$O78,"")</f>
        <v/>
      </c>
      <c r="HD78" s="88" t="str">
        <f aca="false">IF($B78=HD$12,$O78,"")</f>
        <v/>
      </c>
      <c r="HE78" s="88" t="str">
        <f aca="false">IF($B78=HE$12,$O78,"")</f>
        <v/>
      </c>
      <c r="HF78" s="88" t="str">
        <f aca="false">IF($B78=HF$12,$O78,"")</f>
        <v/>
      </c>
      <c r="HG78" s="88" t="str">
        <f aca="false">IF($B78=HG$12,$O78,"")</f>
        <v/>
      </c>
      <c r="HH78" s="88" t="str">
        <f aca="false">IF($B78=HH$12,$O78,"")</f>
        <v/>
      </c>
      <c r="HI78" s="88" t="str">
        <f aca="false">IF($B78=HI$12,$O78,"")</f>
        <v/>
      </c>
      <c r="HJ78" s="88" t="str">
        <f aca="false">IF($B78=HJ$12,$O78,"")</f>
        <v/>
      </c>
      <c r="HK78" s="88" t="str">
        <f aca="false">IF($B78=HK$12,$O78,"")</f>
        <v/>
      </c>
      <c r="HL78" s="88" t="str">
        <f aca="false">IF($B78=HL$12,$O78,"")</f>
        <v/>
      </c>
      <c r="HM78" s="88" t="str">
        <f aca="false">IF($B78=HM$12,$O78,"")</f>
        <v/>
      </c>
      <c r="HN78" s="88" t="str">
        <f aca="false">IF($B78=HN$12,$O78,"")</f>
        <v/>
      </c>
      <c r="HO78" s="88" t="str">
        <f aca="false">IF($B78=HO$12,$O78,"")</f>
        <v/>
      </c>
      <c r="HP78" s="88" t="str">
        <f aca="false">IF($B78=HP$12,$O78,"")</f>
        <v/>
      </c>
      <c r="HQ78" s="88" t="str">
        <f aca="false">IF($B78=HQ$12,$O78,"")</f>
        <v/>
      </c>
      <c r="HR78" s="89" t="str">
        <f aca="false">IF($B78=HR$12,$O78,"")</f>
        <v/>
      </c>
    </row>
    <row r="79" customFormat="false" ht="10.5" hidden="false" customHeight="true" outlineLevel="0" collapsed="false">
      <c r="A79" s="73"/>
      <c r="B79" s="74"/>
      <c r="C79" s="75" t="str">
        <f aca="false">IF(A79=0,"",VLOOKUP(A79,[3]CO!$A$3:$F$5311,2,0))</f>
        <v/>
      </c>
      <c r="D79" s="76"/>
      <c r="E79" s="76"/>
      <c r="F79" s="76"/>
      <c r="G79" s="77" t="str">
        <f aca="false">IF(A79=0,"",VLOOKUP(A79,[3]CO!$A$3:$F$5311,3,0))</f>
        <v/>
      </c>
      <c r="H79" s="76"/>
      <c r="I79" s="78"/>
      <c r="J79" s="78"/>
      <c r="K79" s="78"/>
      <c r="L79" s="78"/>
      <c r="M79" s="79" t="str">
        <f aca="false">IF(L79=0,"",PRODUCT(I79:L79))</f>
        <v/>
      </c>
      <c r="N79" s="79" t="str">
        <f aca="false">IF(B79=0,"",IF(H79="M",HLOOKUP(B79,$Y$12:$DT$13,2),IF(A79=0,"",VLOOKUP(A79,[3]CO!$A$3:$F$5311,4,0))))</f>
        <v/>
      </c>
      <c r="O79" s="79" t="str">
        <f aca="false">IF(L79=0,"",PRODUCT(M79:N79))</f>
        <v/>
      </c>
      <c r="P79" s="80"/>
      <c r="Q79" s="81" t="str">
        <f aca="false">IF(P79=0,"",(HLOOKUP(P79,$DW$12:$HR$13,2)))</f>
        <v/>
      </c>
      <c r="R79" s="82" t="str">
        <f aca="false">IF(S79=0,"",IF(OR(G79="PEON",G79="OF",G79="JARD",G79="CARP",G79="MAESTRO",G79="SOLD",G79="BGRO",G79="CHOFER",G79="AYTE",G79="S.INTTE.",G79="ASEO",G79="P.PISOS",G79="VELADOR",G79="RESID",G79="PINTOR",G79="ELECT",G79="AZULE",G79="AUX CONT.",G79="SECRETARIA",G79="AUXILIAR ADMTVO.",G79="ARQUITECTO",G79="DIBUJANTE",G79="AUX. DE RESIDENTE"),VLOOKUP(B79,P$14:Q$131,2),"")*S79)</f>
        <v/>
      </c>
      <c r="S79" s="5"/>
      <c r="T79" s="65" t="str">
        <f aca="false">IF(A79=0,"",VLOOKUP(A79,[3]CO!$A$3:$F$5302,5,0))</f>
        <v/>
      </c>
      <c r="U79" s="55" t="n">
        <f aca="false">IF(T79=1,O79*0.1,)</f>
        <v>0</v>
      </c>
      <c r="V79" s="66"/>
      <c r="W79" s="83"/>
      <c r="X79" s="83"/>
      <c r="Y79" s="84" t="str">
        <f aca="false">IF($B79=Y$12,$U79,"")</f>
        <v/>
      </c>
      <c r="Z79" s="85" t="str">
        <f aca="false">IF($B79=Z$12,$U79,"")</f>
        <v/>
      </c>
      <c r="AA79" s="85" t="str">
        <f aca="false">IF($B79=AA$12,$U79,"")</f>
        <v/>
      </c>
      <c r="AB79" s="85" t="str">
        <f aca="false">IF($B79=AB$12,$U79,"")</f>
        <v/>
      </c>
      <c r="AC79" s="85" t="str">
        <f aca="false">IF($B79=AC$12,$U79,"")</f>
        <v/>
      </c>
      <c r="AD79" s="85" t="str">
        <f aca="false">IF($B79=AD$12,$U79,"")</f>
        <v/>
      </c>
      <c r="AE79" s="85" t="str">
        <f aca="false">IF($B79=AE$12,$U79,"")</f>
        <v/>
      </c>
      <c r="AF79" s="85" t="str">
        <f aca="false">IF($B79=AF$12,$U79,"")</f>
        <v/>
      </c>
      <c r="AG79" s="85" t="str">
        <f aca="false">IF($B79=AG$12,$U79,"")</f>
        <v/>
      </c>
      <c r="AH79" s="85" t="str">
        <f aca="false">IF($B79=AH$12,$U79,"")</f>
        <v/>
      </c>
      <c r="AI79" s="85" t="str">
        <f aca="false">IF($B79=AI$12,$U79,"")</f>
        <v/>
      </c>
      <c r="AJ79" s="85" t="str">
        <f aca="false">IF($B79=AJ$12,$U79,"")</f>
        <v/>
      </c>
      <c r="AK79" s="85" t="str">
        <f aca="false">IF($B79=AK$12,$U79,"")</f>
        <v/>
      </c>
      <c r="AL79" s="85" t="str">
        <f aca="false">IF($B79=AL$12,$U79,"")</f>
        <v/>
      </c>
      <c r="AM79" s="85" t="str">
        <f aca="false">IF($B79=AM$12,$U79,"")</f>
        <v/>
      </c>
      <c r="AN79" s="85" t="str">
        <f aca="false">IF($B79=AN$12,$U79,"")</f>
        <v/>
      </c>
      <c r="AO79" s="85" t="str">
        <f aca="false">IF($B79=AO$12,$U79,"")</f>
        <v/>
      </c>
      <c r="AP79" s="85" t="str">
        <f aca="false">IF($B79=AP$12,$U79,"")</f>
        <v/>
      </c>
      <c r="AQ79" s="85" t="str">
        <f aca="false">IF($B79=AQ$12,$U79,"")</f>
        <v/>
      </c>
      <c r="AR79" s="85" t="str">
        <f aca="false">IF($B79=AR$12,$U79,"")</f>
        <v/>
      </c>
      <c r="AS79" s="85" t="str">
        <f aca="false">IF($B79=AS$12,$U79,"")</f>
        <v/>
      </c>
      <c r="AT79" s="85" t="str">
        <f aca="false">IF($B79=AT$12,$U79,"")</f>
        <v/>
      </c>
      <c r="AU79" s="85" t="str">
        <f aca="false">IF($B79=AU$12,$U79,"")</f>
        <v/>
      </c>
      <c r="AV79" s="85" t="str">
        <f aca="false">IF($B79=AV$12,$U79,"")</f>
        <v/>
      </c>
      <c r="AW79" s="85" t="str">
        <f aca="false">IF($B79=AW$12,$U79,"")</f>
        <v/>
      </c>
      <c r="AX79" s="85" t="str">
        <f aca="false">IF($B79=AX$12,$U79,"")</f>
        <v/>
      </c>
      <c r="AY79" s="85" t="str">
        <f aca="false">IF($B79=AY$12,$U79,"")</f>
        <v/>
      </c>
      <c r="AZ79" s="85" t="str">
        <f aca="false">IF($B79=AZ$12,$U79,"")</f>
        <v/>
      </c>
      <c r="BA79" s="85" t="str">
        <f aca="false">IF($B79=BA$12,$U79,"")</f>
        <v/>
      </c>
      <c r="BB79" s="85" t="str">
        <f aca="false">IF($B79=BB$12,$U79,"")</f>
        <v/>
      </c>
      <c r="BC79" s="85" t="str">
        <f aca="false">IF($B79=BC$12,$U79,"")</f>
        <v/>
      </c>
      <c r="BD79" s="85" t="str">
        <f aca="false">IF($B79=BD$12,$U79,"")</f>
        <v/>
      </c>
      <c r="BE79" s="85" t="str">
        <f aca="false">IF($B79=BE$12,$U79,"")</f>
        <v/>
      </c>
      <c r="BF79" s="85" t="str">
        <f aca="false">IF($B79=BF$12,$U79,"")</f>
        <v/>
      </c>
      <c r="BG79" s="85" t="str">
        <f aca="false">IF($B79=BG$12,$U79,"")</f>
        <v/>
      </c>
      <c r="BH79" s="85" t="str">
        <f aca="false">IF($B79=BH$12,$U79,"")</f>
        <v/>
      </c>
      <c r="BI79" s="85" t="str">
        <f aca="false">IF($B79=BI$12,$U79,"")</f>
        <v/>
      </c>
      <c r="BJ79" s="85" t="str">
        <f aca="false">IF($B79=BJ$12,$U79,"")</f>
        <v/>
      </c>
      <c r="BK79" s="85" t="str">
        <f aca="false">IF($B79=BK$12,$U79,"")</f>
        <v/>
      </c>
      <c r="BL79" s="85" t="str">
        <f aca="false">IF($B79=BL$12,$U79,"")</f>
        <v/>
      </c>
      <c r="BM79" s="85" t="str">
        <f aca="false">IF($B79=BM$12,$U79,"")</f>
        <v/>
      </c>
      <c r="BN79" s="85" t="str">
        <f aca="false">IF($B79=BN$12,$U79,"")</f>
        <v/>
      </c>
      <c r="BO79" s="85" t="str">
        <f aca="false">IF($B79=BO$12,$U79,"")</f>
        <v/>
      </c>
      <c r="BP79" s="85" t="str">
        <f aca="false">IF($B79=BP$12,$U79,"")</f>
        <v/>
      </c>
      <c r="BQ79" s="85" t="str">
        <f aca="false">IF($B79=BQ$12,$U79,"")</f>
        <v/>
      </c>
      <c r="BR79" s="85" t="str">
        <f aca="false">IF($B79=BR$12,$U79,"")</f>
        <v/>
      </c>
      <c r="BS79" s="85" t="str">
        <f aca="false">IF($B79=BS$12,$U79,"")</f>
        <v/>
      </c>
      <c r="BT79" s="85" t="str">
        <f aca="false">IF($B79=BT$12,$U79,"")</f>
        <v/>
      </c>
      <c r="BU79" s="85" t="str">
        <f aca="false">IF($B79=BU$12,$U79,"")</f>
        <v/>
      </c>
      <c r="BV79" s="85" t="str">
        <f aca="false">IF($B79=BV$12,$U79,"")</f>
        <v/>
      </c>
      <c r="BW79" s="85" t="str">
        <f aca="false">IF($B79=BW$12,$U79,"")</f>
        <v/>
      </c>
      <c r="BX79" s="85" t="str">
        <f aca="false">IF($B79=BX$12,$U79,"")</f>
        <v/>
      </c>
      <c r="BY79" s="85" t="str">
        <f aca="false">IF($B79=BY$12,$U79,"")</f>
        <v/>
      </c>
      <c r="BZ79" s="85" t="str">
        <f aca="false">IF($B79=BZ$12,$U79,"")</f>
        <v/>
      </c>
      <c r="CA79" s="85" t="str">
        <f aca="false">IF($B79=CA$12,$U79,"")</f>
        <v/>
      </c>
      <c r="CB79" s="85" t="str">
        <f aca="false">IF($B79=CB$12,$U79,"")</f>
        <v/>
      </c>
      <c r="CC79" s="85" t="str">
        <f aca="false">IF($B79=CC$12,$U79,"")</f>
        <v/>
      </c>
      <c r="CD79" s="85" t="str">
        <f aca="false">IF($B79=CD$12,$U79,"")</f>
        <v/>
      </c>
      <c r="CE79" s="85" t="str">
        <f aca="false">IF($B79=CE$12,$U79,"")</f>
        <v/>
      </c>
      <c r="CF79" s="85" t="str">
        <f aca="false">IF($B79=CF$12,$U79,"")</f>
        <v/>
      </c>
      <c r="CG79" s="85" t="str">
        <f aca="false">IF($B79=CG$12,$U79,"")</f>
        <v/>
      </c>
      <c r="CH79" s="85" t="str">
        <f aca="false">IF($B79=CH$12,$U79,"")</f>
        <v/>
      </c>
      <c r="CI79" s="85" t="str">
        <f aca="false">IF($B79=CI$12,$U79,"")</f>
        <v/>
      </c>
      <c r="CJ79" s="85" t="str">
        <f aca="false">IF($B79=CJ$12,$U79,"")</f>
        <v/>
      </c>
      <c r="CK79" s="85" t="str">
        <f aca="false">IF($B79=CK$12,$U79,"")</f>
        <v/>
      </c>
      <c r="CL79" s="85" t="str">
        <f aca="false">IF($B79=CL$12,$U79,"")</f>
        <v/>
      </c>
      <c r="CM79" s="85" t="str">
        <f aca="false">IF($B79=CM$12,$U79,"")</f>
        <v/>
      </c>
      <c r="CN79" s="85" t="str">
        <f aca="false">IF($B79=CN$12,$U79,"")</f>
        <v/>
      </c>
      <c r="CO79" s="85" t="str">
        <f aca="false">IF($B79=CO$12,$U79,"")</f>
        <v/>
      </c>
      <c r="CP79" s="85" t="str">
        <f aca="false">IF($B79=CP$12,$U79,"")</f>
        <v/>
      </c>
      <c r="CQ79" s="85" t="str">
        <f aca="false">IF($B79=CQ$12,$U79,"")</f>
        <v/>
      </c>
      <c r="CR79" s="85" t="str">
        <f aca="false">IF($B79=CR$12,$U79,"")</f>
        <v/>
      </c>
      <c r="CS79" s="85" t="str">
        <f aca="false">IF($B79=CS$12,$U79,"")</f>
        <v/>
      </c>
      <c r="CT79" s="85" t="str">
        <f aca="false">IF($B79=CT$12,$U79,"")</f>
        <v/>
      </c>
      <c r="CU79" s="85" t="str">
        <f aca="false">IF($B79=CU$12,$U79,"")</f>
        <v/>
      </c>
      <c r="CV79" s="85" t="str">
        <f aca="false">IF($B79=CV$12,$U79,"")</f>
        <v/>
      </c>
      <c r="CW79" s="85" t="str">
        <f aca="false">IF($B79=CW$12,$U79,"")</f>
        <v/>
      </c>
      <c r="CX79" s="85" t="str">
        <f aca="false">IF($B79=CX$12,$U79,"")</f>
        <v/>
      </c>
      <c r="CY79" s="85" t="str">
        <f aca="false">IF($B79=CY$12,$U79,"")</f>
        <v/>
      </c>
      <c r="CZ79" s="85" t="str">
        <f aca="false">IF($B79=CZ$12,$U79,"")</f>
        <v/>
      </c>
      <c r="DA79" s="85" t="str">
        <f aca="false">IF($B79=DA$12,$U79,"")</f>
        <v/>
      </c>
      <c r="DB79" s="85" t="str">
        <f aca="false">IF($B79=DB$12,$U79,"")</f>
        <v/>
      </c>
      <c r="DC79" s="85" t="str">
        <f aca="false">IF($B79=DC$12,$U79,"")</f>
        <v/>
      </c>
      <c r="DD79" s="85" t="str">
        <f aca="false">IF($B79=DD$12,$U79,"")</f>
        <v/>
      </c>
      <c r="DE79" s="85" t="str">
        <f aca="false">IF($B79=DE$12,$U79,"")</f>
        <v/>
      </c>
      <c r="DF79" s="85" t="str">
        <f aca="false">IF($B79=DF$12,$U79,"")</f>
        <v/>
      </c>
      <c r="DG79" s="85" t="str">
        <f aca="false">IF($B79=DG$12,$U79,"")</f>
        <v/>
      </c>
      <c r="DH79" s="85" t="str">
        <f aca="false">IF($B79=DH$12,$U79,"")</f>
        <v/>
      </c>
      <c r="DI79" s="85" t="str">
        <f aca="false">IF($B79=DI$12,$U79,"")</f>
        <v/>
      </c>
      <c r="DJ79" s="85" t="str">
        <f aca="false">IF($B79=DJ$12,$U79,"")</f>
        <v/>
      </c>
      <c r="DK79" s="85" t="str">
        <f aca="false">IF($B79=DK$12,$U79,"")</f>
        <v/>
      </c>
      <c r="DL79" s="85" t="str">
        <f aca="false">IF($B79=DL$12,$U79,"")</f>
        <v/>
      </c>
      <c r="DM79" s="85" t="str">
        <f aca="false">IF($B79=DM$12,$U79,"")</f>
        <v/>
      </c>
      <c r="DN79" s="85" t="str">
        <f aca="false">IF($B79=DN$12,$U79,"")</f>
        <v/>
      </c>
      <c r="DO79" s="85" t="str">
        <f aca="false">IF($B79=DO$12,$U79,"")</f>
        <v/>
      </c>
      <c r="DP79" s="85" t="str">
        <f aca="false">IF($B79=DP$12,$U79,"")</f>
        <v/>
      </c>
      <c r="DQ79" s="85" t="str">
        <f aca="false">IF($B79=DQ$12,$U79,"")</f>
        <v/>
      </c>
      <c r="DR79" s="85" t="str">
        <f aca="false">IF($B79=DR$12,$U79,"")</f>
        <v/>
      </c>
      <c r="DS79" s="85" t="str">
        <f aca="false">IF($B79=DS$12,$U79,"")</f>
        <v/>
      </c>
      <c r="DT79" s="86" t="str">
        <f aca="false">IF($B79=DT$12,$U79,"")</f>
        <v/>
      </c>
      <c r="DU79" s="55"/>
      <c r="DV79" s="83"/>
      <c r="DW79" s="87" t="str">
        <f aca="false">IF($B79=DW$12,$O79,"")</f>
        <v/>
      </c>
      <c r="DX79" s="88" t="str">
        <f aca="false">IF($B79=DX$12,$O79,"")</f>
        <v/>
      </c>
      <c r="DY79" s="88" t="str">
        <f aca="false">IF($B79=DY$12,$O79,"")</f>
        <v/>
      </c>
      <c r="DZ79" s="88" t="str">
        <f aca="false">IF($B79=DZ$12,$O79,"")</f>
        <v/>
      </c>
      <c r="EA79" s="88" t="str">
        <f aca="false">IF($B79=EA$12,$O79,"")</f>
        <v/>
      </c>
      <c r="EB79" s="88" t="str">
        <f aca="false">IF($B79=EB$12,$O79,"")</f>
        <v/>
      </c>
      <c r="EC79" s="88" t="str">
        <f aca="false">IF($B79=EC$12,$O79,"")</f>
        <v/>
      </c>
      <c r="ED79" s="88" t="str">
        <f aca="false">IF($B79=ED$12,$O79,"")</f>
        <v/>
      </c>
      <c r="EE79" s="88" t="str">
        <f aca="false">IF($B79=EE$12,$O79,"")</f>
        <v/>
      </c>
      <c r="EF79" s="88" t="str">
        <f aca="false">IF($B79=EF$12,$O79,"")</f>
        <v/>
      </c>
      <c r="EG79" s="88" t="str">
        <f aca="false">IF($B79=EG$12,$O79,"")</f>
        <v/>
      </c>
      <c r="EH79" s="88" t="str">
        <f aca="false">IF($B79=EH$12,$O79,"")</f>
        <v/>
      </c>
      <c r="EI79" s="88" t="str">
        <f aca="false">IF($B79=EI$12,$O79,"")</f>
        <v/>
      </c>
      <c r="EJ79" s="88" t="str">
        <f aca="false">IF($B79=EJ$12,$O79,"")</f>
        <v/>
      </c>
      <c r="EK79" s="88" t="str">
        <f aca="false">IF($B79=EK$12,$O79,"")</f>
        <v/>
      </c>
      <c r="EL79" s="88" t="str">
        <f aca="false">IF($B79=EL$12,$O79,"")</f>
        <v/>
      </c>
      <c r="EM79" s="88" t="str">
        <f aca="false">IF($B79=EM$12,$O79,"")</f>
        <v/>
      </c>
      <c r="EN79" s="88" t="str">
        <f aca="false">IF($B79=EN$12,$O79,"")</f>
        <v/>
      </c>
      <c r="EO79" s="88" t="str">
        <f aca="false">IF($B79=EO$12,$O79,"")</f>
        <v/>
      </c>
      <c r="EP79" s="88" t="str">
        <f aca="false">IF($B79=EP$12,$O79,"")</f>
        <v/>
      </c>
      <c r="EQ79" s="88" t="str">
        <f aca="false">IF($B79=EQ$12,$O79,"")</f>
        <v/>
      </c>
      <c r="ER79" s="88" t="str">
        <f aca="false">IF($B79=ER$12,$O79,"")</f>
        <v/>
      </c>
      <c r="ES79" s="88" t="str">
        <f aca="false">IF($B79=ES$12,$O79,"")</f>
        <v/>
      </c>
      <c r="ET79" s="88" t="str">
        <f aca="false">IF($B79=ET$12,$O79,"")</f>
        <v/>
      </c>
      <c r="EU79" s="88" t="str">
        <f aca="false">IF($B79=EU$12,$O79,"")</f>
        <v/>
      </c>
      <c r="EV79" s="88" t="str">
        <f aca="false">IF($B79=EV$12,$O79,"")</f>
        <v/>
      </c>
      <c r="EW79" s="88" t="str">
        <f aca="false">IF($B79=EW$12,$O79,"")</f>
        <v/>
      </c>
      <c r="EX79" s="88" t="str">
        <f aca="false">IF($B79=EX$12,$O79,"")</f>
        <v/>
      </c>
      <c r="EY79" s="88" t="str">
        <f aca="false">IF($B79=EY$12,$O79,"")</f>
        <v/>
      </c>
      <c r="EZ79" s="88" t="str">
        <f aca="false">IF($B79=EZ$12,$O79,"")</f>
        <v/>
      </c>
      <c r="FA79" s="88" t="str">
        <f aca="false">IF($B79=FA$12,$O79,"")</f>
        <v/>
      </c>
      <c r="FB79" s="88" t="str">
        <f aca="false">IF($B79=FB$12,$O79,"")</f>
        <v/>
      </c>
      <c r="FC79" s="88" t="str">
        <f aca="false">IF($B79=FC$12,$O79,"")</f>
        <v/>
      </c>
      <c r="FD79" s="88" t="str">
        <f aca="false">IF($B79=FD$12,$O79,"")</f>
        <v/>
      </c>
      <c r="FE79" s="88" t="str">
        <f aca="false">IF($B79=FE$12,$O79,"")</f>
        <v/>
      </c>
      <c r="FF79" s="88" t="str">
        <f aca="false">IF($B79=FF$12,$O79,"")</f>
        <v/>
      </c>
      <c r="FG79" s="88" t="str">
        <f aca="false">IF($B79=FG$12,$O79,"")</f>
        <v/>
      </c>
      <c r="FH79" s="88" t="str">
        <f aca="false">IF($B79=FH$12,$O79,"")</f>
        <v/>
      </c>
      <c r="FI79" s="88" t="str">
        <f aca="false">IF($B79=FI$12,$O79,"")</f>
        <v/>
      </c>
      <c r="FJ79" s="88" t="str">
        <f aca="false">IF($B79=FJ$12,$O79,"")</f>
        <v/>
      </c>
      <c r="FK79" s="88" t="str">
        <f aca="false">IF($B79=FK$12,$O79,"")</f>
        <v/>
      </c>
      <c r="FL79" s="88" t="str">
        <f aca="false">IF($B79=FL$12,$O79,"")</f>
        <v/>
      </c>
      <c r="FM79" s="88" t="str">
        <f aca="false">IF($B79=FM$12,$O79,"")</f>
        <v/>
      </c>
      <c r="FN79" s="88" t="str">
        <f aca="false">IF($B79=FN$12,$O79,"")</f>
        <v/>
      </c>
      <c r="FO79" s="88" t="str">
        <f aca="false">IF($B79=FO$12,$O79,"")</f>
        <v/>
      </c>
      <c r="FP79" s="88" t="str">
        <f aca="false">IF($B79=FP$12,$O79,"")</f>
        <v/>
      </c>
      <c r="FQ79" s="88" t="str">
        <f aca="false">IF($B79=FQ$12,$O79,"")</f>
        <v/>
      </c>
      <c r="FR79" s="88" t="str">
        <f aca="false">IF($B79=FR$12,$O79,"")</f>
        <v/>
      </c>
      <c r="FS79" s="88" t="str">
        <f aca="false">IF($B79=FS$12,$O79,"")</f>
        <v/>
      </c>
      <c r="FT79" s="88" t="str">
        <f aca="false">IF($B79=FT$12,$O79,"")</f>
        <v/>
      </c>
      <c r="FU79" s="88" t="str">
        <f aca="false">IF($B79=FU$12,$O79,"")</f>
        <v/>
      </c>
      <c r="FV79" s="88" t="str">
        <f aca="false">IF($B79=FV$12,$O79,"")</f>
        <v/>
      </c>
      <c r="FW79" s="88" t="str">
        <f aca="false">IF($B79=FW$12,$O79,"")</f>
        <v/>
      </c>
      <c r="FX79" s="88" t="str">
        <f aca="false">IF($B79=FX$12,$O79,"")</f>
        <v/>
      </c>
      <c r="FY79" s="88" t="str">
        <f aca="false">IF($B79=FY$12,$O79,"")</f>
        <v/>
      </c>
      <c r="FZ79" s="88" t="str">
        <f aca="false">IF($B79=FZ$12,$O79,"")</f>
        <v/>
      </c>
      <c r="GA79" s="88" t="str">
        <f aca="false">IF($B79=GA$12,$O79,"")</f>
        <v/>
      </c>
      <c r="GB79" s="88" t="str">
        <f aca="false">IF($B79=GB$12,$O79,"")</f>
        <v/>
      </c>
      <c r="GC79" s="88" t="str">
        <f aca="false">IF($B79=GC$12,$O79,"")</f>
        <v/>
      </c>
      <c r="GD79" s="88" t="str">
        <f aca="false">IF($B79=GD$12,$O79,"")</f>
        <v/>
      </c>
      <c r="GE79" s="88" t="str">
        <f aca="false">IF($B79=GE$12,$O79,"")</f>
        <v/>
      </c>
      <c r="GF79" s="88" t="str">
        <f aca="false">IF($B79=GF$12,$O79,"")</f>
        <v/>
      </c>
      <c r="GG79" s="88" t="str">
        <f aca="false">IF($B79=GG$12,$O79,"")</f>
        <v/>
      </c>
      <c r="GH79" s="88" t="str">
        <f aca="false">IF($B79=GH$12,$O79,"")</f>
        <v/>
      </c>
      <c r="GI79" s="88" t="str">
        <f aca="false">IF($B79=GI$12,$O79,"")</f>
        <v/>
      </c>
      <c r="GJ79" s="88" t="str">
        <f aca="false">IF($B79=GJ$12,$O79,"")</f>
        <v/>
      </c>
      <c r="GK79" s="88" t="str">
        <f aca="false">IF($B79=GK$12,$O79,"")</f>
        <v/>
      </c>
      <c r="GL79" s="88" t="str">
        <f aca="false">IF($B79=GL$12,$O79,"")</f>
        <v/>
      </c>
      <c r="GM79" s="88" t="str">
        <f aca="false">IF($B79=GM$12,$O79,"")</f>
        <v/>
      </c>
      <c r="GN79" s="88" t="str">
        <f aca="false">IF($B79=GN$12,$O79,"")</f>
        <v/>
      </c>
      <c r="GO79" s="88" t="str">
        <f aca="false">IF($B79=GO$12,$O79,"")</f>
        <v/>
      </c>
      <c r="GP79" s="88" t="str">
        <f aca="false">IF($B79=GP$12,$O79,"")</f>
        <v/>
      </c>
      <c r="GQ79" s="88" t="str">
        <f aca="false">IF($B79=GQ$12,$O79,"")</f>
        <v/>
      </c>
      <c r="GR79" s="88" t="str">
        <f aca="false">IF($B79=GR$12,$O79,"")</f>
        <v/>
      </c>
      <c r="GS79" s="88" t="str">
        <f aca="false">IF($B79=GS$12,$O79,"")</f>
        <v/>
      </c>
      <c r="GT79" s="88" t="str">
        <f aca="false">IF($B79=GT$12,$O79,"")</f>
        <v/>
      </c>
      <c r="GU79" s="88" t="str">
        <f aca="false">IF($B79=GU$12,$O79,"")</f>
        <v/>
      </c>
      <c r="GV79" s="88" t="str">
        <f aca="false">IF($B79=GV$12,$O79,"")</f>
        <v/>
      </c>
      <c r="GW79" s="88" t="str">
        <f aca="false">IF($B79=GW$12,$O79,"")</f>
        <v/>
      </c>
      <c r="GX79" s="88" t="str">
        <f aca="false">IF($B79=GX$12,$O79,"")</f>
        <v/>
      </c>
      <c r="GY79" s="88" t="str">
        <f aca="false">IF($B79=GY$12,$O79,"")</f>
        <v/>
      </c>
      <c r="GZ79" s="88" t="str">
        <f aca="false">IF($B79=GZ$12,$O79,"")</f>
        <v/>
      </c>
      <c r="HA79" s="88" t="str">
        <f aca="false">IF($B79=HA$12,$O79,"")</f>
        <v/>
      </c>
      <c r="HB79" s="88" t="str">
        <f aca="false">IF($B79=HB$12,$O79,"")</f>
        <v/>
      </c>
      <c r="HC79" s="88" t="str">
        <f aca="false">IF($B79=HC$12,$O79,"")</f>
        <v/>
      </c>
      <c r="HD79" s="88" t="str">
        <f aca="false">IF($B79=HD$12,$O79,"")</f>
        <v/>
      </c>
      <c r="HE79" s="88" t="str">
        <f aca="false">IF($B79=HE$12,$O79,"")</f>
        <v/>
      </c>
      <c r="HF79" s="88" t="str">
        <f aca="false">IF($B79=HF$12,$O79,"")</f>
        <v/>
      </c>
      <c r="HG79" s="88" t="str">
        <f aca="false">IF($B79=HG$12,$O79,"")</f>
        <v/>
      </c>
      <c r="HH79" s="88" t="str">
        <f aca="false">IF($B79=HH$12,$O79,"")</f>
        <v/>
      </c>
      <c r="HI79" s="88" t="str">
        <f aca="false">IF($B79=HI$12,$O79,"")</f>
        <v/>
      </c>
      <c r="HJ79" s="88" t="str">
        <f aca="false">IF($B79=HJ$12,$O79,"")</f>
        <v/>
      </c>
      <c r="HK79" s="88" t="str">
        <f aca="false">IF($B79=HK$12,$O79,"")</f>
        <v/>
      </c>
      <c r="HL79" s="88" t="str">
        <f aca="false">IF($B79=HL$12,$O79,"")</f>
        <v/>
      </c>
      <c r="HM79" s="88" t="str">
        <f aca="false">IF($B79=HM$12,$O79,"")</f>
        <v/>
      </c>
      <c r="HN79" s="88" t="str">
        <f aca="false">IF($B79=HN$12,$O79,"")</f>
        <v/>
      </c>
      <c r="HO79" s="88" t="str">
        <f aca="false">IF($B79=HO$12,$O79,"")</f>
        <v/>
      </c>
      <c r="HP79" s="88" t="str">
        <f aca="false">IF($B79=HP$12,$O79,"")</f>
        <v/>
      </c>
      <c r="HQ79" s="88" t="str">
        <f aca="false">IF($B79=HQ$12,$O79,"")</f>
        <v/>
      </c>
      <c r="HR79" s="89" t="str">
        <f aca="false">IF($B79=HR$12,$O79,"")</f>
        <v/>
      </c>
    </row>
    <row r="80" customFormat="false" ht="10.5" hidden="false" customHeight="true" outlineLevel="0" collapsed="false">
      <c r="A80" s="73"/>
      <c r="B80" s="74"/>
      <c r="C80" s="75" t="str">
        <f aca="false">IF(A80=0,"",VLOOKUP(A80,[3]CO!$A$3:$F$5311,2,0))</f>
        <v/>
      </c>
      <c r="D80" s="76"/>
      <c r="E80" s="76"/>
      <c r="F80" s="76"/>
      <c r="G80" s="77" t="str">
        <f aca="false">IF(A80=0,"",VLOOKUP(A80,[3]CO!$A$3:$F$5311,3,0))</f>
        <v/>
      </c>
      <c r="H80" s="76"/>
      <c r="I80" s="78"/>
      <c r="J80" s="78"/>
      <c r="K80" s="78"/>
      <c r="L80" s="78"/>
      <c r="M80" s="79" t="str">
        <f aca="false">IF(L80=0,"",PRODUCT(I80:L80))</f>
        <v/>
      </c>
      <c r="N80" s="79" t="str">
        <f aca="false">IF(B80=0,"",IF(H80="M",HLOOKUP(B80,$Y$12:$DT$13,2),IF(A80=0,"",VLOOKUP(A80,[3]CO!$A$3:$F$5311,4,0))))</f>
        <v/>
      </c>
      <c r="O80" s="79" t="str">
        <f aca="false">IF(L80=0,"",PRODUCT(M80:N80))</f>
        <v/>
      </c>
      <c r="P80" s="80"/>
      <c r="Q80" s="81" t="str">
        <f aca="false">IF(P80=0,"",(HLOOKUP(P80,$DW$12:$HR$13,2)))</f>
        <v/>
      </c>
      <c r="R80" s="82" t="str">
        <f aca="false">IF(S80=0,"",IF(OR(G80="PEON",G80="OF",G80="JARD",G80="CARP",G80="MAESTRO",G80="SOLD",G80="BGRO",G80="CHOFER",G80="AYTE",G80="S.INTTE.",G80="ASEO",G80="P.PISOS",G80="VELADOR",G80="RESID",G80="PINTOR",G80="ELECT",G80="AZULE",G80="AUX CONT.",G80="SECRETARIA",G80="AUXILIAR ADMTVO.",G80="ARQUITECTO",G80="DIBUJANTE",G80="AUX. DE RESIDENTE"),VLOOKUP(B80,P$14:Q$131,2),"")*S80)</f>
        <v/>
      </c>
      <c r="S80" s="5"/>
      <c r="T80" s="65" t="str">
        <f aca="false">IF(A80=0,"",VLOOKUP(A80,[3]CO!$A$3:$F$5302,5,0))</f>
        <v/>
      </c>
      <c r="U80" s="55" t="n">
        <f aca="false">IF(T80=1,O80*0.1,)</f>
        <v>0</v>
      </c>
      <c r="V80" s="66"/>
      <c r="W80" s="83"/>
      <c r="X80" s="83"/>
      <c r="Y80" s="84" t="str">
        <f aca="false">IF($B80=Y$12,$U80,"")</f>
        <v/>
      </c>
      <c r="Z80" s="85" t="str">
        <f aca="false">IF($B80=Z$12,$U80,"")</f>
        <v/>
      </c>
      <c r="AA80" s="85" t="str">
        <f aca="false">IF($B80=AA$12,$U80,"")</f>
        <v/>
      </c>
      <c r="AB80" s="85" t="str">
        <f aca="false">IF($B80=AB$12,$U80,"")</f>
        <v/>
      </c>
      <c r="AC80" s="85" t="str">
        <f aca="false">IF($B80=AC$12,$U80,"")</f>
        <v/>
      </c>
      <c r="AD80" s="85" t="str">
        <f aca="false">IF($B80=AD$12,$U80,"")</f>
        <v/>
      </c>
      <c r="AE80" s="85" t="str">
        <f aca="false">IF($B80=AE$12,$U80,"")</f>
        <v/>
      </c>
      <c r="AF80" s="85" t="str">
        <f aca="false">IF($B80=AF$12,$U80,"")</f>
        <v/>
      </c>
      <c r="AG80" s="85" t="str">
        <f aca="false">IF($B80=AG$12,$U80,"")</f>
        <v/>
      </c>
      <c r="AH80" s="85" t="str">
        <f aca="false">IF($B80=AH$12,$U80,"")</f>
        <v/>
      </c>
      <c r="AI80" s="85" t="str">
        <f aca="false">IF($B80=AI$12,$U80,"")</f>
        <v/>
      </c>
      <c r="AJ80" s="85" t="str">
        <f aca="false">IF($B80=AJ$12,$U80,"")</f>
        <v/>
      </c>
      <c r="AK80" s="85" t="str">
        <f aca="false">IF($B80=AK$12,$U80,"")</f>
        <v/>
      </c>
      <c r="AL80" s="85" t="str">
        <f aca="false">IF($B80=AL$12,$U80,"")</f>
        <v/>
      </c>
      <c r="AM80" s="85" t="str">
        <f aca="false">IF($B80=AM$12,$U80,"")</f>
        <v/>
      </c>
      <c r="AN80" s="85" t="str">
        <f aca="false">IF($B80=AN$12,$U80,"")</f>
        <v/>
      </c>
      <c r="AO80" s="85" t="str">
        <f aca="false">IF($B80=AO$12,$U80,"")</f>
        <v/>
      </c>
      <c r="AP80" s="85" t="str">
        <f aca="false">IF($B80=AP$12,$U80,"")</f>
        <v/>
      </c>
      <c r="AQ80" s="85" t="str">
        <f aca="false">IF($B80=AQ$12,$U80,"")</f>
        <v/>
      </c>
      <c r="AR80" s="85" t="str">
        <f aca="false">IF($B80=AR$12,$U80,"")</f>
        <v/>
      </c>
      <c r="AS80" s="85" t="str">
        <f aca="false">IF($B80=AS$12,$U80,"")</f>
        <v/>
      </c>
      <c r="AT80" s="85" t="str">
        <f aca="false">IF($B80=AT$12,$U80,"")</f>
        <v/>
      </c>
      <c r="AU80" s="85" t="str">
        <f aca="false">IF($B80=AU$12,$U80,"")</f>
        <v/>
      </c>
      <c r="AV80" s="85" t="str">
        <f aca="false">IF($B80=AV$12,$U80,"")</f>
        <v/>
      </c>
      <c r="AW80" s="85" t="str">
        <f aca="false">IF($B80=AW$12,$U80,"")</f>
        <v/>
      </c>
      <c r="AX80" s="85" t="str">
        <f aca="false">IF($B80=AX$12,$U80,"")</f>
        <v/>
      </c>
      <c r="AY80" s="85" t="str">
        <f aca="false">IF($B80=AY$12,$U80,"")</f>
        <v/>
      </c>
      <c r="AZ80" s="85" t="str">
        <f aca="false">IF($B80=AZ$12,$U80,"")</f>
        <v/>
      </c>
      <c r="BA80" s="85" t="str">
        <f aca="false">IF($B80=BA$12,$U80,"")</f>
        <v/>
      </c>
      <c r="BB80" s="85" t="str">
        <f aca="false">IF($B80=BB$12,$U80,"")</f>
        <v/>
      </c>
      <c r="BC80" s="85" t="str">
        <f aca="false">IF($B80=BC$12,$U80,"")</f>
        <v/>
      </c>
      <c r="BD80" s="85" t="str">
        <f aca="false">IF($B80=BD$12,$U80,"")</f>
        <v/>
      </c>
      <c r="BE80" s="85" t="str">
        <f aca="false">IF($B80=BE$12,$U80,"")</f>
        <v/>
      </c>
      <c r="BF80" s="85" t="str">
        <f aca="false">IF($B80=BF$12,$U80,"")</f>
        <v/>
      </c>
      <c r="BG80" s="85" t="str">
        <f aca="false">IF($B80=BG$12,$U80,"")</f>
        <v/>
      </c>
      <c r="BH80" s="85" t="str">
        <f aca="false">IF($B80=BH$12,$U80,"")</f>
        <v/>
      </c>
      <c r="BI80" s="85" t="str">
        <f aca="false">IF($B80=BI$12,$U80,"")</f>
        <v/>
      </c>
      <c r="BJ80" s="85" t="str">
        <f aca="false">IF($B80=BJ$12,$U80,"")</f>
        <v/>
      </c>
      <c r="BK80" s="85" t="str">
        <f aca="false">IF($B80=BK$12,$U80,"")</f>
        <v/>
      </c>
      <c r="BL80" s="85" t="str">
        <f aca="false">IF($B80=BL$12,$U80,"")</f>
        <v/>
      </c>
      <c r="BM80" s="85" t="str">
        <f aca="false">IF($B80=BM$12,$U80,"")</f>
        <v/>
      </c>
      <c r="BN80" s="85" t="str">
        <f aca="false">IF($B80=BN$12,$U80,"")</f>
        <v/>
      </c>
      <c r="BO80" s="85" t="str">
        <f aca="false">IF($B80=BO$12,$U80,"")</f>
        <v/>
      </c>
      <c r="BP80" s="85" t="str">
        <f aca="false">IF($B80=BP$12,$U80,"")</f>
        <v/>
      </c>
      <c r="BQ80" s="85" t="str">
        <f aca="false">IF($B80=BQ$12,$U80,"")</f>
        <v/>
      </c>
      <c r="BR80" s="85" t="str">
        <f aca="false">IF($B80=BR$12,$U80,"")</f>
        <v/>
      </c>
      <c r="BS80" s="85" t="str">
        <f aca="false">IF($B80=BS$12,$U80,"")</f>
        <v/>
      </c>
      <c r="BT80" s="85" t="str">
        <f aca="false">IF($B80=BT$12,$U80,"")</f>
        <v/>
      </c>
      <c r="BU80" s="85" t="str">
        <f aca="false">IF($B80=BU$12,$U80,"")</f>
        <v/>
      </c>
      <c r="BV80" s="85" t="str">
        <f aca="false">IF($B80=BV$12,$U80,"")</f>
        <v/>
      </c>
      <c r="BW80" s="85" t="str">
        <f aca="false">IF($B80=BW$12,$U80,"")</f>
        <v/>
      </c>
      <c r="BX80" s="85" t="str">
        <f aca="false">IF($B80=BX$12,$U80,"")</f>
        <v/>
      </c>
      <c r="BY80" s="85" t="str">
        <f aca="false">IF($B80=BY$12,$U80,"")</f>
        <v/>
      </c>
      <c r="BZ80" s="85" t="str">
        <f aca="false">IF($B80=BZ$12,$U80,"")</f>
        <v/>
      </c>
      <c r="CA80" s="85" t="str">
        <f aca="false">IF($B80=CA$12,$U80,"")</f>
        <v/>
      </c>
      <c r="CB80" s="85" t="str">
        <f aca="false">IF($B80=CB$12,$U80,"")</f>
        <v/>
      </c>
      <c r="CC80" s="85" t="str">
        <f aca="false">IF($B80=CC$12,$U80,"")</f>
        <v/>
      </c>
      <c r="CD80" s="85" t="str">
        <f aca="false">IF($B80=CD$12,$U80,"")</f>
        <v/>
      </c>
      <c r="CE80" s="85" t="str">
        <f aca="false">IF($B80=CE$12,$U80,"")</f>
        <v/>
      </c>
      <c r="CF80" s="85" t="str">
        <f aca="false">IF($B80=CF$12,$U80,"")</f>
        <v/>
      </c>
      <c r="CG80" s="85" t="str">
        <f aca="false">IF($B80=CG$12,$U80,"")</f>
        <v/>
      </c>
      <c r="CH80" s="85" t="str">
        <f aca="false">IF($B80=CH$12,$U80,"")</f>
        <v/>
      </c>
      <c r="CI80" s="85" t="str">
        <f aca="false">IF($B80=CI$12,$U80,"")</f>
        <v/>
      </c>
      <c r="CJ80" s="85" t="str">
        <f aca="false">IF($B80=CJ$12,$U80,"")</f>
        <v/>
      </c>
      <c r="CK80" s="85" t="str">
        <f aca="false">IF($B80=CK$12,$U80,"")</f>
        <v/>
      </c>
      <c r="CL80" s="85" t="str">
        <f aca="false">IF($B80=CL$12,$U80,"")</f>
        <v/>
      </c>
      <c r="CM80" s="85" t="str">
        <f aca="false">IF($B80=CM$12,$U80,"")</f>
        <v/>
      </c>
      <c r="CN80" s="85" t="str">
        <f aca="false">IF($B80=CN$12,$U80,"")</f>
        <v/>
      </c>
      <c r="CO80" s="85" t="str">
        <f aca="false">IF($B80=CO$12,$U80,"")</f>
        <v/>
      </c>
      <c r="CP80" s="85" t="str">
        <f aca="false">IF($B80=CP$12,$U80,"")</f>
        <v/>
      </c>
      <c r="CQ80" s="85" t="str">
        <f aca="false">IF($B80=CQ$12,$U80,"")</f>
        <v/>
      </c>
      <c r="CR80" s="85" t="str">
        <f aca="false">IF($B80=CR$12,$U80,"")</f>
        <v/>
      </c>
      <c r="CS80" s="85" t="str">
        <f aca="false">IF($B80=CS$12,$U80,"")</f>
        <v/>
      </c>
      <c r="CT80" s="85" t="str">
        <f aca="false">IF($B80=CT$12,$U80,"")</f>
        <v/>
      </c>
      <c r="CU80" s="85" t="str">
        <f aca="false">IF($B80=CU$12,$U80,"")</f>
        <v/>
      </c>
      <c r="CV80" s="85" t="str">
        <f aca="false">IF($B80=CV$12,$U80,"")</f>
        <v/>
      </c>
      <c r="CW80" s="85" t="str">
        <f aca="false">IF($B80=CW$12,$U80,"")</f>
        <v/>
      </c>
      <c r="CX80" s="85" t="str">
        <f aca="false">IF($B80=CX$12,$U80,"")</f>
        <v/>
      </c>
      <c r="CY80" s="85" t="str">
        <f aca="false">IF($B80=CY$12,$U80,"")</f>
        <v/>
      </c>
      <c r="CZ80" s="85" t="str">
        <f aca="false">IF($B80=CZ$12,$U80,"")</f>
        <v/>
      </c>
      <c r="DA80" s="85" t="str">
        <f aca="false">IF($B80=DA$12,$U80,"")</f>
        <v/>
      </c>
      <c r="DB80" s="85" t="str">
        <f aca="false">IF($B80=DB$12,$U80,"")</f>
        <v/>
      </c>
      <c r="DC80" s="85" t="str">
        <f aca="false">IF($B80=DC$12,$U80,"")</f>
        <v/>
      </c>
      <c r="DD80" s="85" t="str">
        <f aca="false">IF($B80=DD$12,$U80,"")</f>
        <v/>
      </c>
      <c r="DE80" s="85" t="str">
        <f aca="false">IF($B80=DE$12,$U80,"")</f>
        <v/>
      </c>
      <c r="DF80" s="85" t="str">
        <f aca="false">IF($B80=DF$12,$U80,"")</f>
        <v/>
      </c>
      <c r="DG80" s="85" t="str">
        <f aca="false">IF($B80=DG$12,$U80,"")</f>
        <v/>
      </c>
      <c r="DH80" s="85" t="str">
        <f aca="false">IF($B80=DH$12,$U80,"")</f>
        <v/>
      </c>
      <c r="DI80" s="85" t="str">
        <f aca="false">IF($B80=DI$12,$U80,"")</f>
        <v/>
      </c>
      <c r="DJ80" s="85" t="str">
        <f aca="false">IF($B80=DJ$12,$U80,"")</f>
        <v/>
      </c>
      <c r="DK80" s="85" t="str">
        <f aca="false">IF($B80=DK$12,$U80,"")</f>
        <v/>
      </c>
      <c r="DL80" s="85" t="str">
        <f aca="false">IF($B80=DL$12,$U80,"")</f>
        <v/>
      </c>
      <c r="DM80" s="85" t="str">
        <f aca="false">IF($B80=DM$12,$U80,"")</f>
        <v/>
      </c>
      <c r="DN80" s="85" t="str">
        <f aca="false">IF($B80=DN$12,$U80,"")</f>
        <v/>
      </c>
      <c r="DO80" s="85" t="str">
        <f aca="false">IF($B80=DO$12,$U80,"")</f>
        <v/>
      </c>
      <c r="DP80" s="85" t="str">
        <f aca="false">IF($B80=DP$12,$U80,"")</f>
        <v/>
      </c>
      <c r="DQ80" s="85" t="str">
        <f aca="false">IF($B80=DQ$12,$U80,"")</f>
        <v/>
      </c>
      <c r="DR80" s="85" t="str">
        <f aca="false">IF($B80=DR$12,$U80,"")</f>
        <v/>
      </c>
      <c r="DS80" s="85" t="str">
        <f aca="false">IF($B80=DS$12,$U80,"")</f>
        <v/>
      </c>
      <c r="DT80" s="86" t="str">
        <f aca="false">IF($B80=DT$12,$U80,"")</f>
        <v/>
      </c>
      <c r="DU80" s="55"/>
      <c r="DV80" s="83"/>
      <c r="DW80" s="87" t="str">
        <f aca="false">IF($B80=DW$12,$O80,"")</f>
        <v/>
      </c>
      <c r="DX80" s="88" t="str">
        <f aca="false">IF($B80=DX$12,$O80,"")</f>
        <v/>
      </c>
      <c r="DY80" s="88" t="str">
        <f aca="false">IF($B80=DY$12,$O80,"")</f>
        <v/>
      </c>
      <c r="DZ80" s="88" t="str">
        <f aca="false">IF($B80=DZ$12,$O80,"")</f>
        <v/>
      </c>
      <c r="EA80" s="88" t="str">
        <f aca="false">IF($B80=EA$12,$O80,"")</f>
        <v/>
      </c>
      <c r="EB80" s="88" t="str">
        <f aca="false">IF($B80=EB$12,$O80,"")</f>
        <v/>
      </c>
      <c r="EC80" s="88" t="str">
        <f aca="false">IF($B80=EC$12,$O80,"")</f>
        <v/>
      </c>
      <c r="ED80" s="88" t="str">
        <f aca="false">IF($B80=ED$12,$O80,"")</f>
        <v/>
      </c>
      <c r="EE80" s="88" t="str">
        <f aca="false">IF($B80=EE$12,$O80,"")</f>
        <v/>
      </c>
      <c r="EF80" s="88" t="str">
        <f aca="false">IF($B80=EF$12,$O80,"")</f>
        <v/>
      </c>
      <c r="EG80" s="88" t="str">
        <f aca="false">IF($B80=EG$12,$O80,"")</f>
        <v/>
      </c>
      <c r="EH80" s="88" t="str">
        <f aca="false">IF($B80=EH$12,$O80,"")</f>
        <v/>
      </c>
      <c r="EI80" s="88" t="str">
        <f aca="false">IF($B80=EI$12,$O80,"")</f>
        <v/>
      </c>
      <c r="EJ80" s="88" t="str">
        <f aca="false">IF($B80=EJ$12,$O80,"")</f>
        <v/>
      </c>
      <c r="EK80" s="88" t="str">
        <f aca="false">IF($B80=EK$12,$O80,"")</f>
        <v/>
      </c>
      <c r="EL80" s="88" t="str">
        <f aca="false">IF($B80=EL$12,$O80,"")</f>
        <v/>
      </c>
      <c r="EM80" s="88" t="str">
        <f aca="false">IF($B80=EM$12,$O80,"")</f>
        <v/>
      </c>
      <c r="EN80" s="88" t="str">
        <f aca="false">IF($B80=EN$12,$O80,"")</f>
        <v/>
      </c>
      <c r="EO80" s="88" t="str">
        <f aca="false">IF($B80=EO$12,$O80,"")</f>
        <v/>
      </c>
      <c r="EP80" s="88" t="str">
        <f aca="false">IF($B80=EP$12,$O80,"")</f>
        <v/>
      </c>
      <c r="EQ80" s="88" t="str">
        <f aca="false">IF($B80=EQ$12,$O80,"")</f>
        <v/>
      </c>
      <c r="ER80" s="88" t="str">
        <f aca="false">IF($B80=ER$12,$O80,"")</f>
        <v/>
      </c>
      <c r="ES80" s="88" t="str">
        <f aca="false">IF($B80=ES$12,$O80,"")</f>
        <v/>
      </c>
      <c r="ET80" s="88" t="str">
        <f aca="false">IF($B80=ET$12,$O80,"")</f>
        <v/>
      </c>
      <c r="EU80" s="88" t="str">
        <f aca="false">IF($B80=EU$12,$O80,"")</f>
        <v/>
      </c>
      <c r="EV80" s="88" t="str">
        <f aca="false">IF($B80=EV$12,$O80,"")</f>
        <v/>
      </c>
      <c r="EW80" s="88" t="str">
        <f aca="false">IF($B80=EW$12,$O80,"")</f>
        <v/>
      </c>
      <c r="EX80" s="88" t="str">
        <f aca="false">IF($B80=EX$12,$O80,"")</f>
        <v/>
      </c>
      <c r="EY80" s="88" t="str">
        <f aca="false">IF($B80=EY$12,$O80,"")</f>
        <v/>
      </c>
      <c r="EZ80" s="88" t="str">
        <f aca="false">IF($B80=EZ$12,$O80,"")</f>
        <v/>
      </c>
      <c r="FA80" s="88" t="str">
        <f aca="false">IF($B80=FA$12,$O80,"")</f>
        <v/>
      </c>
      <c r="FB80" s="88" t="str">
        <f aca="false">IF($B80=FB$12,$O80,"")</f>
        <v/>
      </c>
      <c r="FC80" s="88" t="str">
        <f aca="false">IF($B80=FC$12,$O80,"")</f>
        <v/>
      </c>
      <c r="FD80" s="88" t="str">
        <f aca="false">IF($B80=FD$12,$O80,"")</f>
        <v/>
      </c>
      <c r="FE80" s="88" t="str">
        <f aca="false">IF($B80=FE$12,$O80,"")</f>
        <v/>
      </c>
      <c r="FF80" s="88" t="str">
        <f aca="false">IF($B80=FF$12,$O80,"")</f>
        <v/>
      </c>
      <c r="FG80" s="88" t="str">
        <f aca="false">IF($B80=FG$12,$O80,"")</f>
        <v/>
      </c>
      <c r="FH80" s="88" t="str">
        <f aca="false">IF($B80=FH$12,$O80,"")</f>
        <v/>
      </c>
      <c r="FI80" s="88" t="str">
        <f aca="false">IF($B80=FI$12,$O80,"")</f>
        <v/>
      </c>
      <c r="FJ80" s="88" t="str">
        <f aca="false">IF($B80=FJ$12,$O80,"")</f>
        <v/>
      </c>
      <c r="FK80" s="88" t="str">
        <f aca="false">IF($B80=FK$12,$O80,"")</f>
        <v/>
      </c>
      <c r="FL80" s="88" t="str">
        <f aca="false">IF($B80=FL$12,$O80,"")</f>
        <v/>
      </c>
      <c r="FM80" s="88" t="str">
        <f aca="false">IF($B80=FM$12,$O80,"")</f>
        <v/>
      </c>
      <c r="FN80" s="88" t="str">
        <f aca="false">IF($B80=FN$12,$O80,"")</f>
        <v/>
      </c>
      <c r="FO80" s="88" t="str">
        <f aca="false">IF($B80=FO$12,$O80,"")</f>
        <v/>
      </c>
      <c r="FP80" s="88" t="str">
        <f aca="false">IF($B80=FP$12,$O80,"")</f>
        <v/>
      </c>
      <c r="FQ80" s="88" t="str">
        <f aca="false">IF($B80=FQ$12,$O80,"")</f>
        <v/>
      </c>
      <c r="FR80" s="88" t="str">
        <f aca="false">IF($B80=FR$12,$O80,"")</f>
        <v/>
      </c>
      <c r="FS80" s="88" t="str">
        <f aca="false">IF($B80=FS$12,$O80,"")</f>
        <v/>
      </c>
      <c r="FT80" s="88" t="str">
        <f aca="false">IF($B80=FT$12,$O80,"")</f>
        <v/>
      </c>
      <c r="FU80" s="88" t="str">
        <f aca="false">IF($B80=FU$12,$O80,"")</f>
        <v/>
      </c>
      <c r="FV80" s="88" t="str">
        <f aca="false">IF($B80=FV$12,$O80,"")</f>
        <v/>
      </c>
      <c r="FW80" s="88" t="str">
        <f aca="false">IF($B80=FW$12,$O80,"")</f>
        <v/>
      </c>
      <c r="FX80" s="88" t="str">
        <f aca="false">IF($B80=FX$12,$O80,"")</f>
        <v/>
      </c>
      <c r="FY80" s="88" t="str">
        <f aca="false">IF($B80=FY$12,$O80,"")</f>
        <v/>
      </c>
      <c r="FZ80" s="88" t="str">
        <f aca="false">IF($B80=FZ$12,$O80,"")</f>
        <v/>
      </c>
      <c r="GA80" s="88" t="str">
        <f aca="false">IF($B80=GA$12,$O80,"")</f>
        <v/>
      </c>
      <c r="GB80" s="88" t="str">
        <f aca="false">IF($B80=GB$12,$O80,"")</f>
        <v/>
      </c>
      <c r="GC80" s="88" t="str">
        <f aca="false">IF($B80=GC$12,$O80,"")</f>
        <v/>
      </c>
      <c r="GD80" s="88" t="str">
        <f aca="false">IF($B80=GD$12,$O80,"")</f>
        <v/>
      </c>
      <c r="GE80" s="88" t="str">
        <f aca="false">IF($B80=GE$12,$O80,"")</f>
        <v/>
      </c>
      <c r="GF80" s="88" t="str">
        <f aca="false">IF($B80=GF$12,$O80,"")</f>
        <v/>
      </c>
      <c r="GG80" s="88" t="str">
        <f aca="false">IF($B80=GG$12,$O80,"")</f>
        <v/>
      </c>
      <c r="GH80" s="88" t="str">
        <f aca="false">IF($B80=GH$12,$O80,"")</f>
        <v/>
      </c>
      <c r="GI80" s="88" t="str">
        <f aca="false">IF($B80=GI$12,$O80,"")</f>
        <v/>
      </c>
      <c r="GJ80" s="88" t="str">
        <f aca="false">IF($B80=GJ$12,$O80,"")</f>
        <v/>
      </c>
      <c r="GK80" s="88" t="str">
        <f aca="false">IF($B80=GK$12,$O80,"")</f>
        <v/>
      </c>
      <c r="GL80" s="88" t="str">
        <f aca="false">IF($B80=GL$12,$O80,"")</f>
        <v/>
      </c>
      <c r="GM80" s="88" t="str">
        <f aca="false">IF($B80=GM$12,$O80,"")</f>
        <v/>
      </c>
      <c r="GN80" s="88" t="str">
        <f aca="false">IF($B80=GN$12,$O80,"")</f>
        <v/>
      </c>
      <c r="GO80" s="88" t="str">
        <f aca="false">IF($B80=GO$12,$O80,"")</f>
        <v/>
      </c>
      <c r="GP80" s="88" t="str">
        <f aca="false">IF($B80=GP$12,$O80,"")</f>
        <v/>
      </c>
      <c r="GQ80" s="88" t="str">
        <f aca="false">IF($B80=GQ$12,$O80,"")</f>
        <v/>
      </c>
      <c r="GR80" s="88" t="str">
        <f aca="false">IF($B80=GR$12,$O80,"")</f>
        <v/>
      </c>
      <c r="GS80" s="88" t="str">
        <f aca="false">IF($B80=GS$12,$O80,"")</f>
        <v/>
      </c>
      <c r="GT80" s="88" t="str">
        <f aca="false">IF($B80=GT$12,$O80,"")</f>
        <v/>
      </c>
      <c r="GU80" s="88" t="str">
        <f aca="false">IF($B80=GU$12,$O80,"")</f>
        <v/>
      </c>
      <c r="GV80" s="88" t="str">
        <f aca="false">IF($B80=GV$12,$O80,"")</f>
        <v/>
      </c>
      <c r="GW80" s="88" t="str">
        <f aca="false">IF($B80=GW$12,$O80,"")</f>
        <v/>
      </c>
      <c r="GX80" s="88" t="str">
        <f aca="false">IF($B80=GX$12,$O80,"")</f>
        <v/>
      </c>
      <c r="GY80" s="88" t="str">
        <f aca="false">IF($B80=GY$12,$O80,"")</f>
        <v/>
      </c>
      <c r="GZ80" s="88" t="str">
        <f aca="false">IF($B80=GZ$12,$O80,"")</f>
        <v/>
      </c>
      <c r="HA80" s="88" t="str">
        <f aca="false">IF($B80=HA$12,$O80,"")</f>
        <v/>
      </c>
      <c r="HB80" s="88" t="str">
        <f aca="false">IF($B80=HB$12,$O80,"")</f>
        <v/>
      </c>
      <c r="HC80" s="88" t="str">
        <f aca="false">IF($B80=HC$12,$O80,"")</f>
        <v/>
      </c>
      <c r="HD80" s="88" t="str">
        <f aca="false">IF($B80=HD$12,$O80,"")</f>
        <v/>
      </c>
      <c r="HE80" s="88" t="str">
        <f aca="false">IF($B80=HE$12,$O80,"")</f>
        <v/>
      </c>
      <c r="HF80" s="88" t="str">
        <f aca="false">IF($B80=HF$12,$O80,"")</f>
        <v/>
      </c>
      <c r="HG80" s="88" t="str">
        <f aca="false">IF($B80=HG$12,$O80,"")</f>
        <v/>
      </c>
      <c r="HH80" s="88" t="str">
        <f aca="false">IF($B80=HH$12,$O80,"")</f>
        <v/>
      </c>
      <c r="HI80" s="88" t="str">
        <f aca="false">IF($B80=HI$12,$O80,"")</f>
        <v/>
      </c>
      <c r="HJ80" s="88" t="str">
        <f aca="false">IF($B80=HJ$12,$O80,"")</f>
        <v/>
      </c>
      <c r="HK80" s="88" t="str">
        <f aca="false">IF($B80=HK$12,$O80,"")</f>
        <v/>
      </c>
      <c r="HL80" s="88" t="str">
        <f aca="false">IF($B80=HL$12,$O80,"")</f>
        <v/>
      </c>
      <c r="HM80" s="88" t="str">
        <f aca="false">IF($B80=HM$12,$O80,"")</f>
        <v/>
      </c>
      <c r="HN80" s="88" t="str">
        <f aca="false">IF($B80=HN$12,$O80,"")</f>
        <v/>
      </c>
      <c r="HO80" s="88" t="str">
        <f aca="false">IF($B80=HO$12,$O80,"")</f>
        <v/>
      </c>
      <c r="HP80" s="88" t="str">
        <f aca="false">IF($B80=HP$12,$O80,"")</f>
        <v/>
      </c>
      <c r="HQ80" s="88" t="str">
        <f aca="false">IF($B80=HQ$12,$O80,"")</f>
        <v/>
      </c>
      <c r="HR80" s="89" t="str">
        <f aca="false">IF($B80=HR$12,$O80,"")</f>
        <v/>
      </c>
    </row>
    <row r="81" customFormat="false" ht="10.5" hidden="false" customHeight="true" outlineLevel="0" collapsed="false">
      <c r="A81" s="73"/>
      <c r="B81" s="74"/>
      <c r="C81" s="75" t="str">
        <f aca="false">IF(A81=0,"",VLOOKUP(A81,[3]CO!$A$3:$F$5311,2,0))</f>
        <v/>
      </c>
      <c r="D81" s="76"/>
      <c r="E81" s="76"/>
      <c r="F81" s="76"/>
      <c r="G81" s="77" t="str">
        <f aca="false">IF(A81=0,"",VLOOKUP(A81,[3]CO!$A$3:$F$5311,3,0))</f>
        <v/>
      </c>
      <c r="H81" s="76"/>
      <c r="I81" s="78"/>
      <c r="J81" s="78"/>
      <c r="K81" s="78"/>
      <c r="L81" s="78"/>
      <c r="M81" s="79" t="str">
        <f aca="false">IF(L81=0,"",PRODUCT(I81:L81))</f>
        <v/>
      </c>
      <c r="N81" s="79" t="str">
        <f aca="false">IF(B81=0,"",IF(H81="M",HLOOKUP(B81,$Y$12:$DT$13,2),IF(A81=0,"",VLOOKUP(A81,[3]CO!$A$3:$F$5311,4,0))))</f>
        <v/>
      </c>
      <c r="O81" s="79" t="str">
        <f aca="false">IF(L81=0,"",PRODUCT(M81:N81))</f>
        <v/>
      </c>
      <c r="P81" s="80"/>
      <c r="Q81" s="81" t="str">
        <f aca="false">IF(P81=0,"",(HLOOKUP(P81,$DW$12:$HR$13,2)))</f>
        <v/>
      </c>
      <c r="R81" s="82" t="str">
        <f aca="false">IF(S81=0,"",IF(OR(G81="PEON",G81="OF",G81="JARD",G81="CARP",G81="MAESTRO",G81="SOLD",G81="BGRO",G81="CHOFER",G81="AYTE",G81="S.INTTE.",G81="ASEO",G81="P.PISOS",G81="VELADOR",G81="RESID",G81="PINTOR",G81="ELECT",G81="AZULE",G81="AUX CONT.",G81="SECRETARIA",G81="AUXILIAR ADMTVO.",G81="ARQUITECTO",G81="DIBUJANTE",G81="AUX. DE RESIDENTE"),VLOOKUP(B81,P$14:Q$131,2),"")*S81)</f>
        <v/>
      </c>
      <c r="S81" s="5"/>
      <c r="T81" s="65" t="str">
        <f aca="false">IF(A81=0,"",VLOOKUP(A81,[3]CO!$A$3:$F$5302,5,0))</f>
        <v/>
      </c>
      <c r="U81" s="55" t="n">
        <f aca="false">IF(T81=1,O81*0.1,)</f>
        <v>0</v>
      </c>
      <c r="V81" s="66"/>
      <c r="W81" s="83"/>
      <c r="X81" s="83"/>
      <c r="Y81" s="84" t="str">
        <f aca="false">IF($B81=Y$12,$U81,"")</f>
        <v/>
      </c>
      <c r="Z81" s="85" t="str">
        <f aca="false">IF($B81=Z$12,$U81,"")</f>
        <v/>
      </c>
      <c r="AA81" s="85" t="str">
        <f aca="false">IF($B81=AA$12,$U81,"")</f>
        <v/>
      </c>
      <c r="AB81" s="85" t="str">
        <f aca="false">IF($B81=AB$12,$U81,"")</f>
        <v/>
      </c>
      <c r="AC81" s="85" t="str">
        <f aca="false">IF($B81=AC$12,$U81,"")</f>
        <v/>
      </c>
      <c r="AD81" s="85" t="str">
        <f aca="false">IF($B81=AD$12,$U81,"")</f>
        <v/>
      </c>
      <c r="AE81" s="85" t="str">
        <f aca="false">IF($B81=AE$12,$U81,"")</f>
        <v/>
      </c>
      <c r="AF81" s="85" t="str">
        <f aca="false">IF($B81=AF$12,$U81,"")</f>
        <v/>
      </c>
      <c r="AG81" s="85" t="str">
        <f aca="false">IF($B81=AG$12,$U81,"")</f>
        <v/>
      </c>
      <c r="AH81" s="85" t="str">
        <f aca="false">IF($B81=AH$12,$U81,"")</f>
        <v/>
      </c>
      <c r="AI81" s="85" t="str">
        <f aca="false">IF($B81=AI$12,$U81,"")</f>
        <v/>
      </c>
      <c r="AJ81" s="85" t="str">
        <f aca="false">IF($B81=AJ$12,$U81,"")</f>
        <v/>
      </c>
      <c r="AK81" s="85" t="str">
        <f aca="false">IF($B81=AK$12,$U81,"")</f>
        <v/>
      </c>
      <c r="AL81" s="85" t="str">
        <f aca="false">IF($B81=AL$12,$U81,"")</f>
        <v/>
      </c>
      <c r="AM81" s="85" t="str">
        <f aca="false">IF($B81=AM$12,$U81,"")</f>
        <v/>
      </c>
      <c r="AN81" s="85" t="str">
        <f aca="false">IF($B81=AN$12,$U81,"")</f>
        <v/>
      </c>
      <c r="AO81" s="85" t="str">
        <f aca="false">IF($B81=AO$12,$U81,"")</f>
        <v/>
      </c>
      <c r="AP81" s="85" t="str">
        <f aca="false">IF($B81=AP$12,$U81,"")</f>
        <v/>
      </c>
      <c r="AQ81" s="85" t="str">
        <f aca="false">IF($B81=AQ$12,$U81,"")</f>
        <v/>
      </c>
      <c r="AR81" s="85" t="str">
        <f aca="false">IF($B81=AR$12,$U81,"")</f>
        <v/>
      </c>
      <c r="AS81" s="85" t="str">
        <f aca="false">IF($B81=AS$12,$U81,"")</f>
        <v/>
      </c>
      <c r="AT81" s="85" t="str">
        <f aca="false">IF($B81=AT$12,$U81,"")</f>
        <v/>
      </c>
      <c r="AU81" s="85" t="str">
        <f aca="false">IF($B81=AU$12,$U81,"")</f>
        <v/>
      </c>
      <c r="AV81" s="85" t="str">
        <f aca="false">IF($B81=AV$12,$U81,"")</f>
        <v/>
      </c>
      <c r="AW81" s="85" t="str">
        <f aca="false">IF($B81=AW$12,$U81,"")</f>
        <v/>
      </c>
      <c r="AX81" s="85" t="str">
        <f aca="false">IF($B81=AX$12,$U81,"")</f>
        <v/>
      </c>
      <c r="AY81" s="85" t="str">
        <f aca="false">IF($B81=AY$12,$U81,"")</f>
        <v/>
      </c>
      <c r="AZ81" s="85" t="str">
        <f aca="false">IF($B81=AZ$12,$U81,"")</f>
        <v/>
      </c>
      <c r="BA81" s="85" t="str">
        <f aca="false">IF($B81=BA$12,$U81,"")</f>
        <v/>
      </c>
      <c r="BB81" s="85" t="str">
        <f aca="false">IF($B81=BB$12,$U81,"")</f>
        <v/>
      </c>
      <c r="BC81" s="85" t="str">
        <f aca="false">IF($B81=BC$12,$U81,"")</f>
        <v/>
      </c>
      <c r="BD81" s="85" t="str">
        <f aca="false">IF($B81=BD$12,$U81,"")</f>
        <v/>
      </c>
      <c r="BE81" s="85" t="str">
        <f aca="false">IF($B81=BE$12,$U81,"")</f>
        <v/>
      </c>
      <c r="BF81" s="85" t="str">
        <f aca="false">IF($B81=BF$12,$U81,"")</f>
        <v/>
      </c>
      <c r="BG81" s="85" t="str">
        <f aca="false">IF($B81=BG$12,$U81,"")</f>
        <v/>
      </c>
      <c r="BH81" s="85" t="str">
        <f aca="false">IF($B81=BH$12,$U81,"")</f>
        <v/>
      </c>
      <c r="BI81" s="85" t="str">
        <f aca="false">IF($B81=BI$12,$U81,"")</f>
        <v/>
      </c>
      <c r="BJ81" s="85" t="str">
        <f aca="false">IF($B81=BJ$12,$U81,"")</f>
        <v/>
      </c>
      <c r="BK81" s="85" t="str">
        <f aca="false">IF($B81=BK$12,$U81,"")</f>
        <v/>
      </c>
      <c r="BL81" s="85" t="str">
        <f aca="false">IF($B81=BL$12,$U81,"")</f>
        <v/>
      </c>
      <c r="BM81" s="85" t="str">
        <f aca="false">IF($B81=BM$12,$U81,"")</f>
        <v/>
      </c>
      <c r="BN81" s="85" t="str">
        <f aca="false">IF($B81=BN$12,$U81,"")</f>
        <v/>
      </c>
      <c r="BO81" s="85" t="str">
        <f aca="false">IF($B81=BO$12,$U81,"")</f>
        <v/>
      </c>
      <c r="BP81" s="85" t="str">
        <f aca="false">IF($B81=BP$12,$U81,"")</f>
        <v/>
      </c>
      <c r="BQ81" s="85" t="str">
        <f aca="false">IF($B81=BQ$12,$U81,"")</f>
        <v/>
      </c>
      <c r="BR81" s="85" t="str">
        <f aca="false">IF($B81=BR$12,$U81,"")</f>
        <v/>
      </c>
      <c r="BS81" s="85" t="str">
        <f aca="false">IF($B81=BS$12,$U81,"")</f>
        <v/>
      </c>
      <c r="BT81" s="85" t="str">
        <f aca="false">IF($B81=BT$12,$U81,"")</f>
        <v/>
      </c>
      <c r="BU81" s="85" t="str">
        <f aca="false">IF($B81=BU$12,$U81,"")</f>
        <v/>
      </c>
      <c r="BV81" s="85" t="str">
        <f aca="false">IF($B81=BV$12,$U81,"")</f>
        <v/>
      </c>
      <c r="BW81" s="85" t="str">
        <f aca="false">IF($B81=BW$12,$U81,"")</f>
        <v/>
      </c>
      <c r="BX81" s="85" t="str">
        <f aca="false">IF($B81=BX$12,$U81,"")</f>
        <v/>
      </c>
      <c r="BY81" s="85" t="str">
        <f aca="false">IF($B81=BY$12,$U81,"")</f>
        <v/>
      </c>
      <c r="BZ81" s="85" t="str">
        <f aca="false">IF($B81=BZ$12,$U81,"")</f>
        <v/>
      </c>
      <c r="CA81" s="85" t="str">
        <f aca="false">IF($B81=CA$12,$U81,"")</f>
        <v/>
      </c>
      <c r="CB81" s="85" t="str">
        <f aca="false">IF($B81=CB$12,$U81,"")</f>
        <v/>
      </c>
      <c r="CC81" s="85" t="str">
        <f aca="false">IF($B81=CC$12,$U81,"")</f>
        <v/>
      </c>
      <c r="CD81" s="85" t="str">
        <f aca="false">IF($B81=CD$12,$U81,"")</f>
        <v/>
      </c>
      <c r="CE81" s="85" t="str">
        <f aca="false">IF($B81=CE$12,$U81,"")</f>
        <v/>
      </c>
      <c r="CF81" s="85" t="str">
        <f aca="false">IF($B81=CF$12,$U81,"")</f>
        <v/>
      </c>
      <c r="CG81" s="85" t="str">
        <f aca="false">IF($B81=CG$12,$U81,"")</f>
        <v/>
      </c>
      <c r="CH81" s="85" t="str">
        <f aca="false">IF($B81=CH$12,$U81,"")</f>
        <v/>
      </c>
      <c r="CI81" s="85" t="str">
        <f aca="false">IF($B81=CI$12,$U81,"")</f>
        <v/>
      </c>
      <c r="CJ81" s="85" t="str">
        <f aca="false">IF($B81=CJ$12,$U81,"")</f>
        <v/>
      </c>
      <c r="CK81" s="85" t="str">
        <f aca="false">IF($B81=CK$12,$U81,"")</f>
        <v/>
      </c>
      <c r="CL81" s="85" t="str">
        <f aca="false">IF($B81=CL$12,$U81,"")</f>
        <v/>
      </c>
      <c r="CM81" s="85" t="str">
        <f aca="false">IF($B81=CM$12,$U81,"")</f>
        <v/>
      </c>
      <c r="CN81" s="85" t="str">
        <f aca="false">IF($B81=CN$12,$U81,"")</f>
        <v/>
      </c>
      <c r="CO81" s="85" t="str">
        <f aca="false">IF($B81=CO$12,$U81,"")</f>
        <v/>
      </c>
      <c r="CP81" s="85" t="str">
        <f aca="false">IF($B81=CP$12,$U81,"")</f>
        <v/>
      </c>
      <c r="CQ81" s="85" t="str">
        <f aca="false">IF($B81=CQ$12,$U81,"")</f>
        <v/>
      </c>
      <c r="CR81" s="85" t="str">
        <f aca="false">IF($B81=CR$12,$U81,"")</f>
        <v/>
      </c>
      <c r="CS81" s="85" t="str">
        <f aca="false">IF($B81=CS$12,$U81,"")</f>
        <v/>
      </c>
      <c r="CT81" s="85" t="str">
        <f aca="false">IF($B81=CT$12,$U81,"")</f>
        <v/>
      </c>
      <c r="CU81" s="85" t="str">
        <f aca="false">IF($B81=CU$12,$U81,"")</f>
        <v/>
      </c>
      <c r="CV81" s="85" t="str">
        <f aca="false">IF($B81=CV$12,$U81,"")</f>
        <v/>
      </c>
      <c r="CW81" s="85" t="str">
        <f aca="false">IF($B81=CW$12,$U81,"")</f>
        <v/>
      </c>
      <c r="CX81" s="85" t="str">
        <f aca="false">IF($B81=CX$12,$U81,"")</f>
        <v/>
      </c>
      <c r="CY81" s="85" t="str">
        <f aca="false">IF($B81=CY$12,$U81,"")</f>
        <v/>
      </c>
      <c r="CZ81" s="85" t="str">
        <f aca="false">IF($B81=CZ$12,$U81,"")</f>
        <v/>
      </c>
      <c r="DA81" s="85" t="str">
        <f aca="false">IF($B81=DA$12,$U81,"")</f>
        <v/>
      </c>
      <c r="DB81" s="85" t="str">
        <f aca="false">IF($B81=DB$12,$U81,"")</f>
        <v/>
      </c>
      <c r="DC81" s="85" t="str">
        <f aca="false">IF($B81=DC$12,$U81,"")</f>
        <v/>
      </c>
      <c r="DD81" s="85" t="str">
        <f aca="false">IF($B81=DD$12,$U81,"")</f>
        <v/>
      </c>
      <c r="DE81" s="85" t="str">
        <f aca="false">IF($B81=DE$12,$U81,"")</f>
        <v/>
      </c>
      <c r="DF81" s="85" t="str">
        <f aca="false">IF($B81=DF$12,$U81,"")</f>
        <v/>
      </c>
      <c r="DG81" s="85" t="str">
        <f aca="false">IF($B81=DG$12,$U81,"")</f>
        <v/>
      </c>
      <c r="DH81" s="85" t="str">
        <f aca="false">IF($B81=DH$12,$U81,"")</f>
        <v/>
      </c>
      <c r="DI81" s="85" t="str">
        <f aca="false">IF($B81=DI$12,$U81,"")</f>
        <v/>
      </c>
      <c r="DJ81" s="85" t="str">
        <f aca="false">IF($B81=DJ$12,$U81,"")</f>
        <v/>
      </c>
      <c r="DK81" s="85" t="str">
        <f aca="false">IF($B81=DK$12,$U81,"")</f>
        <v/>
      </c>
      <c r="DL81" s="85" t="str">
        <f aca="false">IF($B81=DL$12,$U81,"")</f>
        <v/>
      </c>
      <c r="DM81" s="85" t="str">
        <f aca="false">IF($B81=DM$12,$U81,"")</f>
        <v/>
      </c>
      <c r="DN81" s="85" t="str">
        <f aca="false">IF($B81=DN$12,$U81,"")</f>
        <v/>
      </c>
      <c r="DO81" s="85" t="str">
        <f aca="false">IF($B81=DO$12,$U81,"")</f>
        <v/>
      </c>
      <c r="DP81" s="85" t="str">
        <f aca="false">IF($B81=DP$12,$U81,"")</f>
        <v/>
      </c>
      <c r="DQ81" s="85" t="str">
        <f aca="false">IF($B81=DQ$12,$U81,"")</f>
        <v/>
      </c>
      <c r="DR81" s="85" t="str">
        <f aca="false">IF($B81=DR$12,$U81,"")</f>
        <v/>
      </c>
      <c r="DS81" s="85" t="str">
        <f aca="false">IF($B81=DS$12,$U81,"")</f>
        <v/>
      </c>
      <c r="DT81" s="86" t="str">
        <f aca="false">IF($B81=DT$12,$U81,"")</f>
        <v/>
      </c>
      <c r="DU81" s="55"/>
      <c r="DV81" s="83"/>
      <c r="DW81" s="87" t="str">
        <f aca="false">IF($B81=DW$12,$O81,"")</f>
        <v/>
      </c>
      <c r="DX81" s="88" t="str">
        <f aca="false">IF($B81=DX$12,$O81,"")</f>
        <v/>
      </c>
      <c r="DY81" s="88" t="str">
        <f aca="false">IF($B81=DY$12,$O81,"")</f>
        <v/>
      </c>
      <c r="DZ81" s="88" t="str">
        <f aca="false">IF($B81=DZ$12,$O81,"")</f>
        <v/>
      </c>
      <c r="EA81" s="88" t="str">
        <f aca="false">IF($B81=EA$12,$O81,"")</f>
        <v/>
      </c>
      <c r="EB81" s="88" t="str">
        <f aca="false">IF($B81=EB$12,$O81,"")</f>
        <v/>
      </c>
      <c r="EC81" s="88" t="str">
        <f aca="false">IF($B81=EC$12,$O81,"")</f>
        <v/>
      </c>
      <c r="ED81" s="88" t="str">
        <f aca="false">IF($B81=ED$12,$O81,"")</f>
        <v/>
      </c>
      <c r="EE81" s="88" t="str">
        <f aca="false">IF($B81=EE$12,$O81,"")</f>
        <v/>
      </c>
      <c r="EF81" s="88" t="str">
        <f aca="false">IF($B81=EF$12,$O81,"")</f>
        <v/>
      </c>
      <c r="EG81" s="88" t="str">
        <f aca="false">IF($B81=EG$12,$O81,"")</f>
        <v/>
      </c>
      <c r="EH81" s="88" t="str">
        <f aca="false">IF($B81=EH$12,$O81,"")</f>
        <v/>
      </c>
      <c r="EI81" s="88" t="str">
        <f aca="false">IF($B81=EI$12,$O81,"")</f>
        <v/>
      </c>
      <c r="EJ81" s="88" t="str">
        <f aca="false">IF($B81=EJ$12,$O81,"")</f>
        <v/>
      </c>
      <c r="EK81" s="88" t="str">
        <f aca="false">IF($B81=EK$12,$O81,"")</f>
        <v/>
      </c>
      <c r="EL81" s="88" t="str">
        <f aca="false">IF($B81=EL$12,$O81,"")</f>
        <v/>
      </c>
      <c r="EM81" s="88" t="str">
        <f aca="false">IF($B81=EM$12,$O81,"")</f>
        <v/>
      </c>
      <c r="EN81" s="88" t="str">
        <f aca="false">IF($B81=EN$12,$O81,"")</f>
        <v/>
      </c>
      <c r="EO81" s="88" t="str">
        <f aca="false">IF($B81=EO$12,$O81,"")</f>
        <v/>
      </c>
      <c r="EP81" s="88" t="str">
        <f aca="false">IF($B81=EP$12,$O81,"")</f>
        <v/>
      </c>
      <c r="EQ81" s="88" t="str">
        <f aca="false">IF($B81=EQ$12,$O81,"")</f>
        <v/>
      </c>
      <c r="ER81" s="88" t="str">
        <f aca="false">IF($B81=ER$12,$O81,"")</f>
        <v/>
      </c>
      <c r="ES81" s="88" t="str">
        <f aca="false">IF($B81=ES$12,$O81,"")</f>
        <v/>
      </c>
      <c r="ET81" s="88" t="str">
        <f aca="false">IF($B81=ET$12,$O81,"")</f>
        <v/>
      </c>
      <c r="EU81" s="88" t="str">
        <f aca="false">IF($B81=EU$12,$O81,"")</f>
        <v/>
      </c>
      <c r="EV81" s="88" t="str">
        <f aca="false">IF($B81=EV$12,$O81,"")</f>
        <v/>
      </c>
      <c r="EW81" s="88" t="str">
        <f aca="false">IF($B81=EW$12,$O81,"")</f>
        <v/>
      </c>
      <c r="EX81" s="88" t="str">
        <f aca="false">IF($B81=EX$12,$O81,"")</f>
        <v/>
      </c>
      <c r="EY81" s="88" t="str">
        <f aca="false">IF($B81=EY$12,$O81,"")</f>
        <v/>
      </c>
      <c r="EZ81" s="88" t="str">
        <f aca="false">IF($B81=EZ$12,$O81,"")</f>
        <v/>
      </c>
      <c r="FA81" s="88" t="str">
        <f aca="false">IF($B81=FA$12,$O81,"")</f>
        <v/>
      </c>
      <c r="FB81" s="88" t="str">
        <f aca="false">IF($B81=FB$12,$O81,"")</f>
        <v/>
      </c>
      <c r="FC81" s="88" t="str">
        <f aca="false">IF($B81=FC$12,$O81,"")</f>
        <v/>
      </c>
      <c r="FD81" s="88" t="str">
        <f aca="false">IF($B81=FD$12,$O81,"")</f>
        <v/>
      </c>
      <c r="FE81" s="88" t="str">
        <f aca="false">IF($B81=FE$12,$O81,"")</f>
        <v/>
      </c>
      <c r="FF81" s="88" t="str">
        <f aca="false">IF($B81=FF$12,$O81,"")</f>
        <v/>
      </c>
      <c r="FG81" s="88" t="str">
        <f aca="false">IF($B81=FG$12,$O81,"")</f>
        <v/>
      </c>
      <c r="FH81" s="88" t="str">
        <f aca="false">IF($B81=FH$12,$O81,"")</f>
        <v/>
      </c>
      <c r="FI81" s="88" t="str">
        <f aca="false">IF($B81=FI$12,$O81,"")</f>
        <v/>
      </c>
      <c r="FJ81" s="88" t="str">
        <f aca="false">IF($B81=FJ$12,$O81,"")</f>
        <v/>
      </c>
      <c r="FK81" s="88" t="str">
        <f aca="false">IF($B81=FK$12,$O81,"")</f>
        <v/>
      </c>
      <c r="FL81" s="88" t="str">
        <f aca="false">IF($B81=FL$12,$O81,"")</f>
        <v/>
      </c>
      <c r="FM81" s="88" t="str">
        <f aca="false">IF($B81=FM$12,$O81,"")</f>
        <v/>
      </c>
      <c r="FN81" s="88" t="str">
        <f aca="false">IF($B81=FN$12,$O81,"")</f>
        <v/>
      </c>
      <c r="FO81" s="88" t="str">
        <f aca="false">IF($B81=FO$12,$O81,"")</f>
        <v/>
      </c>
      <c r="FP81" s="88" t="str">
        <f aca="false">IF($B81=FP$12,$O81,"")</f>
        <v/>
      </c>
      <c r="FQ81" s="88" t="str">
        <f aca="false">IF($B81=FQ$12,$O81,"")</f>
        <v/>
      </c>
      <c r="FR81" s="88" t="str">
        <f aca="false">IF($B81=FR$12,$O81,"")</f>
        <v/>
      </c>
      <c r="FS81" s="88" t="str">
        <f aca="false">IF($B81=FS$12,$O81,"")</f>
        <v/>
      </c>
      <c r="FT81" s="88" t="str">
        <f aca="false">IF($B81=FT$12,$O81,"")</f>
        <v/>
      </c>
      <c r="FU81" s="88" t="str">
        <f aca="false">IF($B81=FU$12,$O81,"")</f>
        <v/>
      </c>
      <c r="FV81" s="88" t="str">
        <f aca="false">IF($B81=FV$12,$O81,"")</f>
        <v/>
      </c>
      <c r="FW81" s="88" t="str">
        <f aca="false">IF($B81=FW$12,$O81,"")</f>
        <v/>
      </c>
      <c r="FX81" s="88" t="str">
        <f aca="false">IF($B81=FX$12,$O81,"")</f>
        <v/>
      </c>
      <c r="FY81" s="88" t="str">
        <f aca="false">IF($B81=FY$12,$O81,"")</f>
        <v/>
      </c>
      <c r="FZ81" s="88" t="str">
        <f aca="false">IF($B81=FZ$12,$O81,"")</f>
        <v/>
      </c>
      <c r="GA81" s="88" t="str">
        <f aca="false">IF($B81=GA$12,$O81,"")</f>
        <v/>
      </c>
      <c r="GB81" s="88" t="str">
        <f aca="false">IF($B81=GB$12,$O81,"")</f>
        <v/>
      </c>
      <c r="GC81" s="88" t="str">
        <f aca="false">IF($B81=GC$12,$O81,"")</f>
        <v/>
      </c>
      <c r="GD81" s="88" t="str">
        <f aca="false">IF($B81=GD$12,$O81,"")</f>
        <v/>
      </c>
      <c r="GE81" s="88" t="str">
        <f aca="false">IF($B81=GE$12,$O81,"")</f>
        <v/>
      </c>
      <c r="GF81" s="88" t="str">
        <f aca="false">IF($B81=GF$12,$O81,"")</f>
        <v/>
      </c>
      <c r="GG81" s="88" t="str">
        <f aca="false">IF($B81=GG$12,$O81,"")</f>
        <v/>
      </c>
      <c r="GH81" s="88" t="str">
        <f aca="false">IF($B81=GH$12,$O81,"")</f>
        <v/>
      </c>
      <c r="GI81" s="88" t="str">
        <f aca="false">IF($B81=GI$12,$O81,"")</f>
        <v/>
      </c>
      <c r="GJ81" s="88" t="str">
        <f aca="false">IF($B81=GJ$12,$O81,"")</f>
        <v/>
      </c>
      <c r="GK81" s="88" t="str">
        <f aca="false">IF($B81=GK$12,$O81,"")</f>
        <v/>
      </c>
      <c r="GL81" s="88" t="str">
        <f aca="false">IF($B81=GL$12,$O81,"")</f>
        <v/>
      </c>
      <c r="GM81" s="88" t="str">
        <f aca="false">IF($B81=GM$12,$O81,"")</f>
        <v/>
      </c>
      <c r="GN81" s="88" t="str">
        <f aca="false">IF($B81=GN$12,$O81,"")</f>
        <v/>
      </c>
      <c r="GO81" s="88" t="str">
        <f aca="false">IF($B81=GO$12,$O81,"")</f>
        <v/>
      </c>
      <c r="GP81" s="88" t="str">
        <f aca="false">IF($B81=GP$12,$O81,"")</f>
        <v/>
      </c>
      <c r="GQ81" s="88" t="str">
        <f aca="false">IF($B81=GQ$12,$O81,"")</f>
        <v/>
      </c>
      <c r="GR81" s="88" t="str">
        <f aca="false">IF($B81=GR$12,$O81,"")</f>
        <v/>
      </c>
      <c r="GS81" s="88" t="str">
        <f aca="false">IF($B81=GS$12,$O81,"")</f>
        <v/>
      </c>
      <c r="GT81" s="88" t="str">
        <f aca="false">IF($B81=GT$12,$O81,"")</f>
        <v/>
      </c>
      <c r="GU81" s="88" t="str">
        <f aca="false">IF($B81=GU$12,$O81,"")</f>
        <v/>
      </c>
      <c r="GV81" s="88" t="str">
        <f aca="false">IF($B81=GV$12,$O81,"")</f>
        <v/>
      </c>
      <c r="GW81" s="88" t="str">
        <f aca="false">IF($B81=GW$12,$O81,"")</f>
        <v/>
      </c>
      <c r="GX81" s="88" t="str">
        <f aca="false">IF($B81=GX$12,$O81,"")</f>
        <v/>
      </c>
      <c r="GY81" s="88" t="str">
        <f aca="false">IF($B81=GY$12,$O81,"")</f>
        <v/>
      </c>
      <c r="GZ81" s="88" t="str">
        <f aca="false">IF($B81=GZ$12,$O81,"")</f>
        <v/>
      </c>
      <c r="HA81" s="88" t="str">
        <f aca="false">IF($B81=HA$12,$O81,"")</f>
        <v/>
      </c>
      <c r="HB81" s="88" t="str">
        <f aca="false">IF($B81=HB$12,$O81,"")</f>
        <v/>
      </c>
      <c r="HC81" s="88" t="str">
        <f aca="false">IF($B81=HC$12,$O81,"")</f>
        <v/>
      </c>
      <c r="HD81" s="88" t="str">
        <f aca="false">IF($B81=HD$12,$O81,"")</f>
        <v/>
      </c>
      <c r="HE81" s="88" t="str">
        <f aca="false">IF($B81=HE$12,$O81,"")</f>
        <v/>
      </c>
      <c r="HF81" s="88" t="str">
        <f aca="false">IF($B81=HF$12,$O81,"")</f>
        <v/>
      </c>
      <c r="HG81" s="88" t="str">
        <f aca="false">IF($B81=HG$12,$O81,"")</f>
        <v/>
      </c>
      <c r="HH81" s="88" t="str">
        <f aca="false">IF($B81=HH$12,$O81,"")</f>
        <v/>
      </c>
      <c r="HI81" s="88" t="str">
        <f aca="false">IF($B81=HI$12,$O81,"")</f>
        <v/>
      </c>
      <c r="HJ81" s="88" t="str">
        <f aca="false">IF($B81=HJ$12,$O81,"")</f>
        <v/>
      </c>
      <c r="HK81" s="88" t="str">
        <f aca="false">IF($B81=HK$12,$O81,"")</f>
        <v/>
      </c>
      <c r="HL81" s="88" t="str">
        <f aca="false">IF($B81=HL$12,$O81,"")</f>
        <v/>
      </c>
      <c r="HM81" s="88" t="str">
        <f aca="false">IF($B81=HM$12,$O81,"")</f>
        <v/>
      </c>
      <c r="HN81" s="88" t="str">
        <f aca="false">IF($B81=HN$12,$O81,"")</f>
        <v/>
      </c>
      <c r="HO81" s="88" t="str">
        <f aca="false">IF($B81=HO$12,$O81,"")</f>
        <v/>
      </c>
      <c r="HP81" s="88" t="str">
        <f aca="false">IF($B81=HP$12,$O81,"")</f>
        <v/>
      </c>
      <c r="HQ81" s="88" t="str">
        <f aca="false">IF($B81=HQ$12,$O81,"")</f>
        <v/>
      </c>
      <c r="HR81" s="89" t="str">
        <f aca="false">IF($B81=HR$12,$O81,"")</f>
        <v/>
      </c>
    </row>
    <row r="82" customFormat="false" ht="10.5" hidden="false" customHeight="true" outlineLevel="0" collapsed="false">
      <c r="A82" s="73"/>
      <c r="B82" s="74"/>
      <c r="C82" s="75" t="str">
        <f aca="false">IF(A82=0,"",VLOOKUP(A82,[3]CO!$A$3:$F$5311,2,0))</f>
        <v/>
      </c>
      <c r="D82" s="76"/>
      <c r="E82" s="76"/>
      <c r="F82" s="76"/>
      <c r="G82" s="77" t="str">
        <f aca="false">IF(A82=0,"",VLOOKUP(A82,[3]CO!$A$3:$F$5311,3,0))</f>
        <v/>
      </c>
      <c r="H82" s="76"/>
      <c r="I82" s="78"/>
      <c r="J82" s="78"/>
      <c r="K82" s="78"/>
      <c r="L82" s="78"/>
      <c r="M82" s="79" t="str">
        <f aca="false">IF(L82=0,"",PRODUCT(I82:L82))</f>
        <v/>
      </c>
      <c r="N82" s="79" t="str">
        <f aca="false">IF(B82=0,"",IF(H82="M",HLOOKUP(B82,$Y$12:$DT$13,2),IF(A82=0,"",VLOOKUP(A82,[3]CO!$A$3:$F$5311,4,0))))</f>
        <v/>
      </c>
      <c r="O82" s="79" t="str">
        <f aca="false">IF(L82=0,"",PRODUCT(M82:N82))</f>
        <v/>
      </c>
      <c r="P82" s="80"/>
      <c r="Q82" s="81" t="str">
        <f aca="false">IF(P82=0,"",(HLOOKUP(P82,$DW$12:$HR$13,2)))</f>
        <v/>
      </c>
      <c r="R82" s="82" t="str">
        <f aca="false">IF(S82=0,"",IF(OR(G82="PEON",G82="OF",G82="JARD",G82="CARP",G82="MAESTRO",G82="SOLD",G82="BGRO",G82="CHOFER",G82="AYTE",G82="S.INTTE.",G82="ASEO",G82="P.PISOS",G82="VELADOR",G82="RESID",G82="PINTOR",G82="ELECT",G82="AZULE",G82="AUX CONT.",G82="SECRETARIA",G82="AUXILIAR ADMTVO.",G82="ARQUITECTO",G82="DIBUJANTE",G82="AUX. DE RESIDENTE"),VLOOKUP(B82,P$14:Q$131,2),"")*S82)</f>
        <v/>
      </c>
      <c r="S82" s="5"/>
      <c r="T82" s="65" t="str">
        <f aca="false">IF(A82=0,"",VLOOKUP(A82,[3]CO!$A$3:$F$5302,5,0))</f>
        <v/>
      </c>
      <c r="U82" s="55" t="n">
        <f aca="false">IF(T82=1,O82*0.1,)</f>
        <v>0</v>
      </c>
      <c r="V82" s="66"/>
      <c r="W82" s="83"/>
      <c r="X82" s="83"/>
      <c r="Y82" s="84" t="str">
        <f aca="false">IF($B82=Y$12,$U82,"")</f>
        <v/>
      </c>
      <c r="Z82" s="85" t="str">
        <f aca="false">IF($B82=Z$12,$U82,"")</f>
        <v/>
      </c>
      <c r="AA82" s="85" t="str">
        <f aca="false">IF($B82=AA$12,$U82,"")</f>
        <v/>
      </c>
      <c r="AB82" s="85" t="str">
        <f aca="false">IF($B82=AB$12,$U82,"")</f>
        <v/>
      </c>
      <c r="AC82" s="85" t="str">
        <f aca="false">IF($B82=AC$12,$U82,"")</f>
        <v/>
      </c>
      <c r="AD82" s="85" t="str">
        <f aca="false">IF($B82=AD$12,$U82,"")</f>
        <v/>
      </c>
      <c r="AE82" s="85" t="str">
        <f aca="false">IF($B82=AE$12,$U82,"")</f>
        <v/>
      </c>
      <c r="AF82" s="85" t="str">
        <f aca="false">IF($B82=AF$12,$U82,"")</f>
        <v/>
      </c>
      <c r="AG82" s="85" t="str">
        <f aca="false">IF($B82=AG$12,$U82,"")</f>
        <v/>
      </c>
      <c r="AH82" s="85" t="str">
        <f aca="false">IF($B82=AH$12,$U82,"")</f>
        <v/>
      </c>
      <c r="AI82" s="85" t="str">
        <f aca="false">IF($B82=AI$12,$U82,"")</f>
        <v/>
      </c>
      <c r="AJ82" s="85" t="str">
        <f aca="false">IF($B82=AJ$12,$U82,"")</f>
        <v/>
      </c>
      <c r="AK82" s="85" t="str">
        <f aca="false">IF($B82=AK$12,$U82,"")</f>
        <v/>
      </c>
      <c r="AL82" s="85" t="str">
        <f aca="false">IF($B82=AL$12,$U82,"")</f>
        <v/>
      </c>
      <c r="AM82" s="85" t="str">
        <f aca="false">IF($B82=AM$12,$U82,"")</f>
        <v/>
      </c>
      <c r="AN82" s="85" t="str">
        <f aca="false">IF($B82=AN$12,$U82,"")</f>
        <v/>
      </c>
      <c r="AO82" s="85" t="str">
        <f aca="false">IF($B82=AO$12,$U82,"")</f>
        <v/>
      </c>
      <c r="AP82" s="85" t="str">
        <f aca="false">IF($B82=AP$12,$U82,"")</f>
        <v/>
      </c>
      <c r="AQ82" s="85" t="str">
        <f aca="false">IF($B82=AQ$12,$U82,"")</f>
        <v/>
      </c>
      <c r="AR82" s="85" t="str">
        <f aca="false">IF($B82=AR$12,$U82,"")</f>
        <v/>
      </c>
      <c r="AS82" s="85" t="str">
        <f aca="false">IF($B82=AS$12,$U82,"")</f>
        <v/>
      </c>
      <c r="AT82" s="85" t="str">
        <f aca="false">IF($B82=AT$12,$U82,"")</f>
        <v/>
      </c>
      <c r="AU82" s="85" t="str">
        <f aca="false">IF($B82=AU$12,$U82,"")</f>
        <v/>
      </c>
      <c r="AV82" s="85" t="str">
        <f aca="false">IF($B82=AV$12,$U82,"")</f>
        <v/>
      </c>
      <c r="AW82" s="85" t="str">
        <f aca="false">IF($B82=AW$12,$U82,"")</f>
        <v/>
      </c>
      <c r="AX82" s="85" t="str">
        <f aca="false">IF($B82=AX$12,$U82,"")</f>
        <v/>
      </c>
      <c r="AY82" s="85" t="str">
        <f aca="false">IF($B82=AY$12,$U82,"")</f>
        <v/>
      </c>
      <c r="AZ82" s="85" t="str">
        <f aca="false">IF($B82=AZ$12,$U82,"")</f>
        <v/>
      </c>
      <c r="BA82" s="85" t="str">
        <f aca="false">IF($B82=BA$12,$U82,"")</f>
        <v/>
      </c>
      <c r="BB82" s="85" t="str">
        <f aca="false">IF($B82=BB$12,$U82,"")</f>
        <v/>
      </c>
      <c r="BC82" s="85" t="str">
        <f aca="false">IF($B82=BC$12,$U82,"")</f>
        <v/>
      </c>
      <c r="BD82" s="85" t="str">
        <f aca="false">IF($B82=BD$12,$U82,"")</f>
        <v/>
      </c>
      <c r="BE82" s="85" t="str">
        <f aca="false">IF($B82=BE$12,$U82,"")</f>
        <v/>
      </c>
      <c r="BF82" s="85" t="str">
        <f aca="false">IF($B82=BF$12,$U82,"")</f>
        <v/>
      </c>
      <c r="BG82" s="85" t="str">
        <f aca="false">IF($B82=BG$12,$U82,"")</f>
        <v/>
      </c>
      <c r="BH82" s="85" t="str">
        <f aca="false">IF($B82=BH$12,$U82,"")</f>
        <v/>
      </c>
      <c r="BI82" s="85" t="str">
        <f aca="false">IF($B82=BI$12,$U82,"")</f>
        <v/>
      </c>
      <c r="BJ82" s="85" t="str">
        <f aca="false">IF($B82=BJ$12,$U82,"")</f>
        <v/>
      </c>
      <c r="BK82" s="85" t="str">
        <f aca="false">IF($B82=BK$12,$U82,"")</f>
        <v/>
      </c>
      <c r="BL82" s="85" t="str">
        <f aca="false">IF($B82=BL$12,$U82,"")</f>
        <v/>
      </c>
      <c r="BM82" s="85" t="str">
        <f aca="false">IF($B82=BM$12,$U82,"")</f>
        <v/>
      </c>
      <c r="BN82" s="85" t="str">
        <f aca="false">IF($B82=BN$12,$U82,"")</f>
        <v/>
      </c>
      <c r="BO82" s="85" t="str">
        <f aca="false">IF($B82=BO$12,$U82,"")</f>
        <v/>
      </c>
      <c r="BP82" s="85" t="str">
        <f aca="false">IF($B82=BP$12,$U82,"")</f>
        <v/>
      </c>
      <c r="BQ82" s="85" t="str">
        <f aca="false">IF($B82=BQ$12,$U82,"")</f>
        <v/>
      </c>
      <c r="BR82" s="85" t="str">
        <f aca="false">IF($B82=BR$12,$U82,"")</f>
        <v/>
      </c>
      <c r="BS82" s="85" t="str">
        <f aca="false">IF($B82=BS$12,$U82,"")</f>
        <v/>
      </c>
      <c r="BT82" s="85" t="str">
        <f aca="false">IF($B82=BT$12,$U82,"")</f>
        <v/>
      </c>
      <c r="BU82" s="85" t="str">
        <f aca="false">IF($B82=BU$12,$U82,"")</f>
        <v/>
      </c>
      <c r="BV82" s="85" t="str">
        <f aca="false">IF($B82=BV$12,$U82,"")</f>
        <v/>
      </c>
      <c r="BW82" s="85" t="str">
        <f aca="false">IF($B82=BW$12,$U82,"")</f>
        <v/>
      </c>
      <c r="BX82" s="85" t="str">
        <f aca="false">IF($B82=BX$12,$U82,"")</f>
        <v/>
      </c>
      <c r="BY82" s="85" t="str">
        <f aca="false">IF($B82=BY$12,$U82,"")</f>
        <v/>
      </c>
      <c r="BZ82" s="85" t="str">
        <f aca="false">IF($B82=BZ$12,$U82,"")</f>
        <v/>
      </c>
      <c r="CA82" s="85" t="str">
        <f aca="false">IF($B82=CA$12,$U82,"")</f>
        <v/>
      </c>
      <c r="CB82" s="85" t="str">
        <f aca="false">IF($B82=CB$12,$U82,"")</f>
        <v/>
      </c>
      <c r="CC82" s="85" t="str">
        <f aca="false">IF($B82=CC$12,$U82,"")</f>
        <v/>
      </c>
      <c r="CD82" s="85" t="str">
        <f aca="false">IF($B82=CD$12,$U82,"")</f>
        <v/>
      </c>
      <c r="CE82" s="85" t="str">
        <f aca="false">IF($B82=CE$12,$U82,"")</f>
        <v/>
      </c>
      <c r="CF82" s="85" t="str">
        <f aca="false">IF($B82=CF$12,$U82,"")</f>
        <v/>
      </c>
      <c r="CG82" s="85" t="str">
        <f aca="false">IF($B82=CG$12,$U82,"")</f>
        <v/>
      </c>
      <c r="CH82" s="85" t="str">
        <f aca="false">IF($B82=CH$12,$U82,"")</f>
        <v/>
      </c>
      <c r="CI82" s="85" t="str">
        <f aca="false">IF($B82=CI$12,$U82,"")</f>
        <v/>
      </c>
      <c r="CJ82" s="85" t="str">
        <f aca="false">IF($B82=CJ$12,$U82,"")</f>
        <v/>
      </c>
      <c r="CK82" s="85" t="str">
        <f aca="false">IF($B82=CK$12,$U82,"")</f>
        <v/>
      </c>
      <c r="CL82" s="85" t="str">
        <f aca="false">IF($B82=CL$12,$U82,"")</f>
        <v/>
      </c>
      <c r="CM82" s="85" t="str">
        <f aca="false">IF($B82=CM$12,$U82,"")</f>
        <v/>
      </c>
      <c r="CN82" s="85" t="str">
        <f aca="false">IF($B82=CN$12,$U82,"")</f>
        <v/>
      </c>
      <c r="CO82" s="85" t="str">
        <f aca="false">IF($B82=CO$12,$U82,"")</f>
        <v/>
      </c>
      <c r="CP82" s="85" t="str">
        <f aca="false">IF($B82=CP$12,$U82,"")</f>
        <v/>
      </c>
      <c r="CQ82" s="85" t="str">
        <f aca="false">IF($B82=CQ$12,$U82,"")</f>
        <v/>
      </c>
      <c r="CR82" s="85" t="str">
        <f aca="false">IF($B82=CR$12,$U82,"")</f>
        <v/>
      </c>
      <c r="CS82" s="85" t="str">
        <f aca="false">IF($B82=CS$12,$U82,"")</f>
        <v/>
      </c>
      <c r="CT82" s="85" t="str">
        <f aca="false">IF($B82=CT$12,$U82,"")</f>
        <v/>
      </c>
      <c r="CU82" s="85" t="str">
        <f aca="false">IF($B82=CU$12,$U82,"")</f>
        <v/>
      </c>
      <c r="CV82" s="85" t="str">
        <f aca="false">IF($B82=CV$12,$U82,"")</f>
        <v/>
      </c>
      <c r="CW82" s="85" t="str">
        <f aca="false">IF($B82=CW$12,$U82,"")</f>
        <v/>
      </c>
      <c r="CX82" s="85" t="str">
        <f aca="false">IF($B82=CX$12,$U82,"")</f>
        <v/>
      </c>
      <c r="CY82" s="85" t="str">
        <f aca="false">IF($B82=CY$12,$U82,"")</f>
        <v/>
      </c>
      <c r="CZ82" s="85" t="str">
        <f aca="false">IF($B82=CZ$12,$U82,"")</f>
        <v/>
      </c>
      <c r="DA82" s="85" t="str">
        <f aca="false">IF($B82=DA$12,$U82,"")</f>
        <v/>
      </c>
      <c r="DB82" s="85" t="str">
        <f aca="false">IF($B82=DB$12,$U82,"")</f>
        <v/>
      </c>
      <c r="DC82" s="85" t="str">
        <f aca="false">IF($B82=DC$12,$U82,"")</f>
        <v/>
      </c>
      <c r="DD82" s="85" t="str">
        <f aca="false">IF($B82=DD$12,$U82,"")</f>
        <v/>
      </c>
      <c r="DE82" s="85" t="str">
        <f aca="false">IF($B82=DE$12,$U82,"")</f>
        <v/>
      </c>
      <c r="DF82" s="85" t="str">
        <f aca="false">IF($B82=DF$12,$U82,"")</f>
        <v/>
      </c>
      <c r="DG82" s="85" t="str">
        <f aca="false">IF($B82=DG$12,$U82,"")</f>
        <v/>
      </c>
      <c r="DH82" s="85" t="str">
        <f aca="false">IF($B82=DH$12,$U82,"")</f>
        <v/>
      </c>
      <c r="DI82" s="85" t="str">
        <f aca="false">IF($B82=DI$12,$U82,"")</f>
        <v/>
      </c>
      <c r="DJ82" s="85" t="str">
        <f aca="false">IF($B82=DJ$12,$U82,"")</f>
        <v/>
      </c>
      <c r="DK82" s="85" t="str">
        <f aca="false">IF($B82=DK$12,$U82,"")</f>
        <v/>
      </c>
      <c r="DL82" s="85" t="str">
        <f aca="false">IF($B82=DL$12,$U82,"")</f>
        <v/>
      </c>
      <c r="DM82" s="85" t="str">
        <f aca="false">IF($B82=DM$12,$U82,"")</f>
        <v/>
      </c>
      <c r="DN82" s="85" t="str">
        <f aca="false">IF($B82=DN$12,$U82,"")</f>
        <v/>
      </c>
      <c r="DO82" s="85" t="str">
        <f aca="false">IF($B82=DO$12,$U82,"")</f>
        <v/>
      </c>
      <c r="DP82" s="85" t="str">
        <f aca="false">IF($B82=DP$12,$U82,"")</f>
        <v/>
      </c>
      <c r="DQ82" s="85" t="str">
        <f aca="false">IF($B82=DQ$12,$U82,"")</f>
        <v/>
      </c>
      <c r="DR82" s="85" t="str">
        <f aca="false">IF($B82=DR$12,$U82,"")</f>
        <v/>
      </c>
      <c r="DS82" s="85" t="str">
        <f aca="false">IF($B82=DS$12,$U82,"")</f>
        <v/>
      </c>
      <c r="DT82" s="86" t="str">
        <f aca="false">IF($B82=DT$12,$U82,"")</f>
        <v/>
      </c>
      <c r="DU82" s="55"/>
      <c r="DV82" s="83"/>
      <c r="DW82" s="87" t="str">
        <f aca="false">IF($B82=DW$12,$O82,"")</f>
        <v/>
      </c>
      <c r="DX82" s="88" t="str">
        <f aca="false">IF($B82=DX$12,$O82,"")</f>
        <v/>
      </c>
      <c r="DY82" s="88" t="str">
        <f aca="false">IF($B82=DY$12,$O82,"")</f>
        <v/>
      </c>
      <c r="DZ82" s="88" t="str">
        <f aca="false">IF($B82=DZ$12,$O82,"")</f>
        <v/>
      </c>
      <c r="EA82" s="88" t="str">
        <f aca="false">IF($B82=EA$12,$O82,"")</f>
        <v/>
      </c>
      <c r="EB82" s="88" t="str">
        <f aca="false">IF($B82=EB$12,$O82,"")</f>
        <v/>
      </c>
      <c r="EC82" s="88" t="str">
        <f aca="false">IF($B82=EC$12,$O82,"")</f>
        <v/>
      </c>
      <c r="ED82" s="88" t="str">
        <f aca="false">IF($B82=ED$12,$O82,"")</f>
        <v/>
      </c>
      <c r="EE82" s="88" t="str">
        <f aca="false">IF($B82=EE$12,$O82,"")</f>
        <v/>
      </c>
      <c r="EF82" s="88" t="str">
        <f aca="false">IF($B82=EF$12,$O82,"")</f>
        <v/>
      </c>
      <c r="EG82" s="88" t="str">
        <f aca="false">IF($B82=EG$12,$O82,"")</f>
        <v/>
      </c>
      <c r="EH82" s="88" t="str">
        <f aca="false">IF($B82=EH$12,$O82,"")</f>
        <v/>
      </c>
      <c r="EI82" s="88" t="str">
        <f aca="false">IF($B82=EI$12,$O82,"")</f>
        <v/>
      </c>
      <c r="EJ82" s="88" t="str">
        <f aca="false">IF($B82=EJ$12,$O82,"")</f>
        <v/>
      </c>
      <c r="EK82" s="88" t="str">
        <f aca="false">IF($B82=EK$12,$O82,"")</f>
        <v/>
      </c>
      <c r="EL82" s="88" t="str">
        <f aca="false">IF($B82=EL$12,$O82,"")</f>
        <v/>
      </c>
      <c r="EM82" s="88" t="str">
        <f aca="false">IF($B82=EM$12,$O82,"")</f>
        <v/>
      </c>
      <c r="EN82" s="88" t="str">
        <f aca="false">IF($B82=EN$12,$O82,"")</f>
        <v/>
      </c>
      <c r="EO82" s="88" t="str">
        <f aca="false">IF($B82=EO$12,$O82,"")</f>
        <v/>
      </c>
      <c r="EP82" s="88" t="str">
        <f aca="false">IF($B82=EP$12,$O82,"")</f>
        <v/>
      </c>
      <c r="EQ82" s="88" t="str">
        <f aca="false">IF($B82=EQ$12,$O82,"")</f>
        <v/>
      </c>
      <c r="ER82" s="88" t="str">
        <f aca="false">IF($B82=ER$12,$O82,"")</f>
        <v/>
      </c>
      <c r="ES82" s="88" t="str">
        <f aca="false">IF($B82=ES$12,$O82,"")</f>
        <v/>
      </c>
      <c r="ET82" s="88" t="str">
        <f aca="false">IF($B82=ET$12,$O82,"")</f>
        <v/>
      </c>
      <c r="EU82" s="88" t="str">
        <f aca="false">IF($B82=EU$12,$O82,"")</f>
        <v/>
      </c>
      <c r="EV82" s="88" t="str">
        <f aca="false">IF($B82=EV$12,$O82,"")</f>
        <v/>
      </c>
      <c r="EW82" s="88" t="str">
        <f aca="false">IF($B82=EW$12,$O82,"")</f>
        <v/>
      </c>
      <c r="EX82" s="88" t="str">
        <f aca="false">IF($B82=EX$12,$O82,"")</f>
        <v/>
      </c>
      <c r="EY82" s="88" t="str">
        <f aca="false">IF($B82=EY$12,$O82,"")</f>
        <v/>
      </c>
      <c r="EZ82" s="88" t="str">
        <f aca="false">IF($B82=EZ$12,$O82,"")</f>
        <v/>
      </c>
      <c r="FA82" s="88" t="str">
        <f aca="false">IF($B82=FA$12,$O82,"")</f>
        <v/>
      </c>
      <c r="FB82" s="88" t="str">
        <f aca="false">IF($B82=FB$12,$O82,"")</f>
        <v/>
      </c>
      <c r="FC82" s="88" t="str">
        <f aca="false">IF($B82=FC$12,$O82,"")</f>
        <v/>
      </c>
      <c r="FD82" s="88" t="str">
        <f aca="false">IF($B82=FD$12,$O82,"")</f>
        <v/>
      </c>
      <c r="FE82" s="88" t="str">
        <f aca="false">IF($B82=FE$12,$O82,"")</f>
        <v/>
      </c>
      <c r="FF82" s="88" t="str">
        <f aca="false">IF($B82=FF$12,$O82,"")</f>
        <v/>
      </c>
      <c r="FG82" s="88" t="str">
        <f aca="false">IF($B82=FG$12,$O82,"")</f>
        <v/>
      </c>
      <c r="FH82" s="88" t="str">
        <f aca="false">IF($B82=FH$12,$O82,"")</f>
        <v/>
      </c>
      <c r="FI82" s="88" t="str">
        <f aca="false">IF($B82=FI$12,$O82,"")</f>
        <v/>
      </c>
      <c r="FJ82" s="88" t="str">
        <f aca="false">IF($B82=FJ$12,$O82,"")</f>
        <v/>
      </c>
      <c r="FK82" s="88" t="str">
        <f aca="false">IF($B82=FK$12,$O82,"")</f>
        <v/>
      </c>
      <c r="FL82" s="88" t="str">
        <f aca="false">IF($B82=FL$12,$O82,"")</f>
        <v/>
      </c>
      <c r="FM82" s="88" t="str">
        <f aca="false">IF($B82=FM$12,$O82,"")</f>
        <v/>
      </c>
      <c r="FN82" s="88" t="str">
        <f aca="false">IF($B82=FN$12,$O82,"")</f>
        <v/>
      </c>
      <c r="FO82" s="88" t="str">
        <f aca="false">IF($B82=FO$12,$O82,"")</f>
        <v/>
      </c>
      <c r="FP82" s="88" t="str">
        <f aca="false">IF($B82=FP$12,$O82,"")</f>
        <v/>
      </c>
      <c r="FQ82" s="88" t="str">
        <f aca="false">IF($B82=FQ$12,$O82,"")</f>
        <v/>
      </c>
      <c r="FR82" s="88" t="str">
        <f aca="false">IF($B82=FR$12,$O82,"")</f>
        <v/>
      </c>
      <c r="FS82" s="88" t="str">
        <f aca="false">IF($B82=FS$12,$O82,"")</f>
        <v/>
      </c>
      <c r="FT82" s="88" t="str">
        <f aca="false">IF($B82=FT$12,$O82,"")</f>
        <v/>
      </c>
      <c r="FU82" s="88" t="str">
        <f aca="false">IF($B82=FU$12,$O82,"")</f>
        <v/>
      </c>
      <c r="FV82" s="88" t="str">
        <f aca="false">IF($B82=FV$12,$O82,"")</f>
        <v/>
      </c>
      <c r="FW82" s="88" t="str">
        <f aca="false">IF($B82=FW$12,$O82,"")</f>
        <v/>
      </c>
      <c r="FX82" s="88" t="str">
        <f aca="false">IF($B82=FX$12,$O82,"")</f>
        <v/>
      </c>
      <c r="FY82" s="88" t="str">
        <f aca="false">IF($B82=FY$12,$O82,"")</f>
        <v/>
      </c>
      <c r="FZ82" s="88" t="str">
        <f aca="false">IF($B82=FZ$12,$O82,"")</f>
        <v/>
      </c>
      <c r="GA82" s="88" t="str">
        <f aca="false">IF($B82=GA$12,$O82,"")</f>
        <v/>
      </c>
      <c r="GB82" s="88" t="str">
        <f aca="false">IF($B82=GB$12,$O82,"")</f>
        <v/>
      </c>
      <c r="GC82" s="88" t="str">
        <f aca="false">IF($B82=GC$12,$O82,"")</f>
        <v/>
      </c>
      <c r="GD82" s="88" t="str">
        <f aca="false">IF($B82=GD$12,$O82,"")</f>
        <v/>
      </c>
      <c r="GE82" s="88" t="str">
        <f aca="false">IF($B82=GE$12,$O82,"")</f>
        <v/>
      </c>
      <c r="GF82" s="88" t="str">
        <f aca="false">IF($B82=GF$12,$O82,"")</f>
        <v/>
      </c>
      <c r="GG82" s="88" t="str">
        <f aca="false">IF($B82=GG$12,$O82,"")</f>
        <v/>
      </c>
      <c r="GH82" s="88" t="str">
        <f aca="false">IF($B82=GH$12,$O82,"")</f>
        <v/>
      </c>
      <c r="GI82" s="88" t="str">
        <f aca="false">IF($B82=GI$12,$O82,"")</f>
        <v/>
      </c>
      <c r="GJ82" s="88" t="str">
        <f aca="false">IF($B82=GJ$12,$O82,"")</f>
        <v/>
      </c>
      <c r="GK82" s="88" t="str">
        <f aca="false">IF($B82=GK$12,$O82,"")</f>
        <v/>
      </c>
      <c r="GL82" s="88" t="str">
        <f aca="false">IF($B82=GL$12,$O82,"")</f>
        <v/>
      </c>
      <c r="GM82" s="88" t="str">
        <f aca="false">IF($B82=GM$12,$O82,"")</f>
        <v/>
      </c>
      <c r="GN82" s="88" t="str">
        <f aca="false">IF($B82=GN$12,$O82,"")</f>
        <v/>
      </c>
      <c r="GO82" s="88" t="str">
        <f aca="false">IF($B82=GO$12,$O82,"")</f>
        <v/>
      </c>
      <c r="GP82" s="88" t="str">
        <f aca="false">IF($B82=GP$12,$O82,"")</f>
        <v/>
      </c>
      <c r="GQ82" s="88" t="str">
        <f aca="false">IF($B82=GQ$12,$O82,"")</f>
        <v/>
      </c>
      <c r="GR82" s="88" t="str">
        <f aca="false">IF($B82=GR$12,$O82,"")</f>
        <v/>
      </c>
      <c r="GS82" s="88" t="str">
        <f aca="false">IF($B82=GS$12,$O82,"")</f>
        <v/>
      </c>
      <c r="GT82" s="88" t="str">
        <f aca="false">IF($B82=GT$12,$O82,"")</f>
        <v/>
      </c>
      <c r="GU82" s="88" t="str">
        <f aca="false">IF($B82=GU$12,$O82,"")</f>
        <v/>
      </c>
      <c r="GV82" s="88" t="str">
        <f aca="false">IF($B82=GV$12,$O82,"")</f>
        <v/>
      </c>
      <c r="GW82" s="88" t="str">
        <f aca="false">IF($B82=GW$12,$O82,"")</f>
        <v/>
      </c>
      <c r="GX82" s="88" t="str">
        <f aca="false">IF($B82=GX$12,$O82,"")</f>
        <v/>
      </c>
      <c r="GY82" s="88" t="str">
        <f aca="false">IF($B82=GY$12,$O82,"")</f>
        <v/>
      </c>
      <c r="GZ82" s="88" t="str">
        <f aca="false">IF($B82=GZ$12,$O82,"")</f>
        <v/>
      </c>
      <c r="HA82" s="88" t="str">
        <f aca="false">IF($B82=HA$12,$O82,"")</f>
        <v/>
      </c>
      <c r="HB82" s="88" t="str">
        <f aca="false">IF($B82=HB$12,$O82,"")</f>
        <v/>
      </c>
      <c r="HC82" s="88" t="str">
        <f aca="false">IF($B82=HC$12,$O82,"")</f>
        <v/>
      </c>
      <c r="HD82" s="88" t="str">
        <f aca="false">IF($B82=HD$12,$O82,"")</f>
        <v/>
      </c>
      <c r="HE82" s="88" t="str">
        <f aca="false">IF($B82=HE$12,$O82,"")</f>
        <v/>
      </c>
      <c r="HF82" s="88" t="str">
        <f aca="false">IF($B82=HF$12,$O82,"")</f>
        <v/>
      </c>
      <c r="HG82" s="88" t="str">
        <f aca="false">IF($B82=HG$12,$O82,"")</f>
        <v/>
      </c>
      <c r="HH82" s="88" t="str">
        <f aca="false">IF($B82=HH$12,$O82,"")</f>
        <v/>
      </c>
      <c r="HI82" s="88" t="str">
        <f aca="false">IF($B82=HI$12,$O82,"")</f>
        <v/>
      </c>
      <c r="HJ82" s="88" t="str">
        <f aca="false">IF($B82=HJ$12,$O82,"")</f>
        <v/>
      </c>
      <c r="HK82" s="88" t="str">
        <f aca="false">IF($B82=HK$12,$O82,"")</f>
        <v/>
      </c>
      <c r="HL82" s="88" t="str">
        <f aca="false">IF($B82=HL$12,$O82,"")</f>
        <v/>
      </c>
      <c r="HM82" s="88" t="str">
        <f aca="false">IF($B82=HM$12,$O82,"")</f>
        <v/>
      </c>
      <c r="HN82" s="88" t="str">
        <f aca="false">IF($B82=HN$12,$O82,"")</f>
        <v/>
      </c>
      <c r="HO82" s="88" t="str">
        <f aca="false">IF($B82=HO$12,$O82,"")</f>
        <v/>
      </c>
      <c r="HP82" s="88" t="str">
        <f aca="false">IF($B82=HP$12,$O82,"")</f>
        <v/>
      </c>
      <c r="HQ82" s="88" t="str">
        <f aca="false">IF($B82=HQ$12,$O82,"")</f>
        <v/>
      </c>
      <c r="HR82" s="89" t="str">
        <f aca="false">IF($B82=HR$12,$O82,"")</f>
        <v/>
      </c>
    </row>
    <row r="83" customFormat="false" ht="10.5" hidden="false" customHeight="true" outlineLevel="0" collapsed="false">
      <c r="A83" s="73"/>
      <c r="B83" s="74"/>
      <c r="C83" s="75" t="str">
        <f aca="false">IF(A83=0,"",VLOOKUP(A83,[3]CO!$A$3:$F$5311,2,0))</f>
        <v/>
      </c>
      <c r="D83" s="76"/>
      <c r="E83" s="76"/>
      <c r="F83" s="76"/>
      <c r="G83" s="77" t="str">
        <f aca="false">IF(A83=0,"",VLOOKUP(A83,[3]CO!$A$3:$F$5311,3,0))</f>
        <v/>
      </c>
      <c r="H83" s="76"/>
      <c r="I83" s="78"/>
      <c r="J83" s="78"/>
      <c r="K83" s="78"/>
      <c r="L83" s="78"/>
      <c r="M83" s="79" t="str">
        <f aca="false">IF(L83=0,"",PRODUCT(I83:L83))</f>
        <v/>
      </c>
      <c r="N83" s="79" t="str">
        <f aca="false">IF(B83=0,"",IF(H83="M",HLOOKUP(B83,$Y$12:$DT$13,2),IF(A83=0,"",VLOOKUP(A83,[3]CO!$A$3:$F$5311,4,0))))</f>
        <v/>
      </c>
      <c r="O83" s="79" t="str">
        <f aca="false">IF(L83=0,"",PRODUCT(M83:N83))</f>
        <v/>
      </c>
      <c r="P83" s="80"/>
      <c r="Q83" s="81" t="str">
        <f aca="false">IF(P83=0,"",(HLOOKUP(P83,$DW$12:$HR$13,2)))</f>
        <v/>
      </c>
      <c r="R83" s="82" t="str">
        <f aca="false">IF(S83=0,"",IF(OR(G83="PEON",G83="OF",G83="JARD",G83="CARP",G83="MAESTRO",G83="SOLD",G83="BGRO",G83="CHOFER",G83="AYTE",G83="S.INTTE.",G83="ASEO",G83="P.PISOS",G83="VELADOR",G83="RESID",G83="PINTOR",G83="ELECT",G83="AZULE",G83="AUX CONT.",G83="SECRETARIA",G83="AUXILIAR ADMTVO.",G83="ARQUITECTO",G83="DIBUJANTE",G83="AUX. DE RESIDENTE"),VLOOKUP(B83,P$14:Q$131,2),"")*S83)</f>
        <v/>
      </c>
      <c r="S83" s="5"/>
      <c r="T83" s="65" t="str">
        <f aca="false">IF(A83=0,"",VLOOKUP(A83,[3]CO!$A$3:$F$5302,5,0))</f>
        <v/>
      </c>
      <c r="U83" s="55" t="n">
        <f aca="false">IF(T83=1,O83*0.1,)</f>
        <v>0</v>
      </c>
      <c r="V83" s="66"/>
      <c r="W83" s="83"/>
      <c r="X83" s="83"/>
      <c r="Y83" s="84" t="str">
        <f aca="false">IF($B83=Y$12,$U83,"")</f>
        <v/>
      </c>
      <c r="Z83" s="85" t="str">
        <f aca="false">IF($B83=Z$12,$U83,"")</f>
        <v/>
      </c>
      <c r="AA83" s="85" t="str">
        <f aca="false">IF($B83=AA$12,$U83,"")</f>
        <v/>
      </c>
      <c r="AB83" s="85" t="str">
        <f aca="false">IF($B83=AB$12,$U83,"")</f>
        <v/>
      </c>
      <c r="AC83" s="85" t="str">
        <f aca="false">IF($B83=AC$12,$U83,"")</f>
        <v/>
      </c>
      <c r="AD83" s="85" t="str">
        <f aca="false">IF($B83=AD$12,$U83,"")</f>
        <v/>
      </c>
      <c r="AE83" s="85" t="str">
        <f aca="false">IF($B83=AE$12,$U83,"")</f>
        <v/>
      </c>
      <c r="AF83" s="85" t="str">
        <f aca="false">IF($B83=AF$12,$U83,"")</f>
        <v/>
      </c>
      <c r="AG83" s="85" t="str">
        <f aca="false">IF($B83=AG$12,$U83,"")</f>
        <v/>
      </c>
      <c r="AH83" s="85" t="str">
        <f aca="false">IF($B83=AH$12,$U83,"")</f>
        <v/>
      </c>
      <c r="AI83" s="85" t="str">
        <f aca="false">IF($B83=AI$12,$U83,"")</f>
        <v/>
      </c>
      <c r="AJ83" s="85" t="str">
        <f aca="false">IF($B83=AJ$12,$U83,"")</f>
        <v/>
      </c>
      <c r="AK83" s="85" t="str">
        <f aca="false">IF($B83=AK$12,$U83,"")</f>
        <v/>
      </c>
      <c r="AL83" s="85" t="str">
        <f aca="false">IF($B83=AL$12,$U83,"")</f>
        <v/>
      </c>
      <c r="AM83" s="85" t="str">
        <f aca="false">IF($B83=AM$12,$U83,"")</f>
        <v/>
      </c>
      <c r="AN83" s="85" t="str">
        <f aca="false">IF($B83=AN$12,$U83,"")</f>
        <v/>
      </c>
      <c r="AO83" s="85" t="str">
        <f aca="false">IF($B83=AO$12,$U83,"")</f>
        <v/>
      </c>
      <c r="AP83" s="85" t="str">
        <f aca="false">IF($B83=AP$12,$U83,"")</f>
        <v/>
      </c>
      <c r="AQ83" s="85" t="str">
        <f aca="false">IF($B83=AQ$12,$U83,"")</f>
        <v/>
      </c>
      <c r="AR83" s="85" t="str">
        <f aca="false">IF($B83=AR$12,$U83,"")</f>
        <v/>
      </c>
      <c r="AS83" s="85" t="str">
        <f aca="false">IF($B83=AS$12,$U83,"")</f>
        <v/>
      </c>
      <c r="AT83" s="85" t="str">
        <f aca="false">IF($B83=AT$12,$U83,"")</f>
        <v/>
      </c>
      <c r="AU83" s="85" t="str">
        <f aca="false">IF($B83=AU$12,$U83,"")</f>
        <v/>
      </c>
      <c r="AV83" s="85" t="str">
        <f aca="false">IF($B83=AV$12,$U83,"")</f>
        <v/>
      </c>
      <c r="AW83" s="85" t="str">
        <f aca="false">IF($B83=AW$12,$U83,"")</f>
        <v/>
      </c>
      <c r="AX83" s="85" t="str">
        <f aca="false">IF($B83=AX$12,$U83,"")</f>
        <v/>
      </c>
      <c r="AY83" s="85" t="str">
        <f aca="false">IF($B83=AY$12,$U83,"")</f>
        <v/>
      </c>
      <c r="AZ83" s="85" t="str">
        <f aca="false">IF($B83=AZ$12,$U83,"")</f>
        <v/>
      </c>
      <c r="BA83" s="85" t="str">
        <f aca="false">IF($B83=BA$12,$U83,"")</f>
        <v/>
      </c>
      <c r="BB83" s="85" t="str">
        <f aca="false">IF($B83=BB$12,$U83,"")</f>
        <v/>
      </c>
      <c r="BC83" s="85" t="str">
        <f aca="false">IF($B83=BC$12,$U83,"")</f>
        <v/>
      </c>
      <c r="BD83" s="85" t="str">
        <f aca="false">IF($B83=BD$12,$U83,"")</f>
        <v/>
      </c>
      <c r="BE83" s="85" t="str">
        <f aca="false">IF($B83=BE$12,$U83,"")</f>
        <v/>
      </c>
      <c r="BF83" s="85" t="str">
        <f aca="false">IF($B83=BF$12,$U83,"")</f>
        <v/>
      </c>
      <c r="BG83" s="85" t="str">
        <f aca="false">IF($B83=BG$12,$U83,"")</f>
        <v/>
      </c>
      <c r="BH83" s="85" t="str">
        <f aca="false">IF($B83=BH$12,$U83,"")</f>
        <v/>
      </c>
      <c r="BI83" s="85" t="str">
        <f aca="false">IF($B83=BI$12,$U83,"")</f>
        <v/>
      </c>
      <c r="BJ83" s="85" t="str">
        <f aca="false">IF($B83=BJ$12,$U83,"")</f>
        <v/>
      </c>
      <c r="BK83" s="85" t="str">
        <f aca="false">IF($B83=BK$12,$U83,"")</f>
        <v/>
      </c>
      <c r="BL83" s="85" t="str">
        <f aca="false">IF($B83=BL$12,$U83,"")</f>
        <v/>
      </c>
      <c r="BM83" s="85" t="str">
        <f aca="false">IF($B83=BM$12,$U83,"")</f>
        <v/>
      </c>
      <c r="BN83" s="85" t="str">
        <f aca="false">IF($B83=BN$12,$U83,"")</f>
        <v/>
      </c>
      <c r="BO83" s="85" t="str">
        <f aca="false">IF($B83=BO$12,$U83,"")</f>
        <v/>
      </c>
      <c r="BP83" s="85" t="str">
        <f aca="false">IF($B83=BP$12,$U83,"")</f>
        <v/>
      </c>
      <c r="BQ83" s="85" t="str">
        <f aca="false">IF($B83=BQ$12,$U83,"")</f>
        <v/>
      </c>
      <c r="BR83" s="85" t="str">
        <f aca="false">IF($B83=BR$12,$U83,"")</f>
        <v/>
      </c>
      <c r="BS83" s="85" t="str">
        <f aca="false">IF($B83=BS$12,$U83,"")</f>
        <v/>
      </c>
      <c r="BT83" s="85" t="str">
        <f aca="false">IF($B83=BT$12,$U83,"")</f>
        <v/>
      </c>
      <c r="BU83" s="85" t="str">
        <f aca="false">IF($B83=BU$12,$U83,"")</f>
        <v/>
      </c>
      <c r="BV83" s="85" t="str">
        <f aca="false">IF($B83=BV$12,$U83,"")</f>
        <v/>
      </c>
      <c r="BW83" s="85" t="str">
        <f aca="false">IF($B83=BW$12,$U83,"")</f>
        <v/>
      </c>
      <c r="BX83" s="85" t="str">
        <f aca="false">IF($B83=BX$12,$U83,"")</f>
        <v/>
      </c>
      <c r="BY83" s="85" t="str">
        <f aca="false">IF($B83=BY$12,$U83,"")</f>
        <v/>
      </c>
      <c r="BZ83" s="85" t="str">
        <f aca="false">IF($B83=BZ$12,$U83,"")</f>
        <v/>
      </c>
      <c r="CA83" s="85" t="str">
        <f aca="false">IF($B83=CA$12,$U83,"")</f>
        <v/>
      </c>
      <c r="CB83" s="85" t="str">
        <f aca="false">IF($B83=CB$12,$U83,"")</f>
        <v/>
      </c>
      <c r="CC83" s="85" t="str">
        <f aca="false">IF($B83=CC$12,$U83,"")</f>
        <v/>
      </c>
      <c r="CD83" s="85" t="str">
        <f aca="false">IF($B83=CD$12,$U83,"")</f>
        <v/>
      </c>
      <c r="CE83" s="85" t="str">
        <f aca="false">IF($B83=CE$12,$U83,"")</f>
        <v/>
      </c>
      <c r="CF83" s="85" t="str">
        <f aca="false">IF($B83=CF$12,$U83,"")</f>
        <v/>
      </c>
      <c r="CG83" s="85" t="str">
        <f aca="false">IF($B83=CG$12,$U83,"")</f>
        <v/>
      </c>
      <c r="CH83" s="85" t="str">
        <f aca="false">IF($B83=CH$12,$U83,"")</f>
        <v/>
      </c>
      <c r="CI83" s="85" t="str">
        <f aca="false">IF($B83=CI$12,$U83,"")</f>
        <v/>
      </c>
      <c r="CJ83" s="85" t="str">
        <f aca="false">IF($B83=CJ$12,$U83,"")</f>
        <v/>
      </c>
      <c r="CK83" s="85" t="str">
        <f aca="false">IF($B83=CK$12,$U83,"")</f>
        <v/>
      </c>
      <c r="CL83" s="85" t="str">
        <f aca="false">IF($B83=CL$12,$U83,"")</f>
        <v/>
      </c>
      <c r="CM83" s="85" t="str">
        <f aca="false">IF($B83=CM$12,$U83,"")</f>
        <v/>
      </c>
      <c r="CN83" s="85" t="str">
        <f aca="false">IF($B83=CN$12,$U83,"")</f>
        <v/>
      </c>
      <c r="CO83" s="85" t="str">
        <f aca="false">IF($B83=CO$12,$U83,"")</f>
        <v/>
      </c>
      <c r="CP83" s="85" t="str">
        <f aca="false">IF($B83=CP$12,$U83,"")</f>
        <v/>
      </c>
      <c r="CQ83" s="85" t="str">
        <f aca="false">IF($B83=CQ$12,$U83,"")</f>
        <v/>
      </c>
      <c r="CR83" s="85" t="str">
        <f aca="false">IF($B83=CR$12,$U83,"")</f>
        <v/>
      </c>
      <c r="CS83" s="85" t="str">
        <f aca="false">IF($B83=CS$12,$U83,"")</f>
        <v/>
      </c>
      <c r="CT83" s="85" t="str">
        <f aca="false">IF($B83=CT$12,$U83,"")</f>
        <v/>
      </c>
      <c r="CU83" s="85" t="str">
        <f aca="false">IF($B83=CU$12,$U83,"")</f>
        <v/>
      </c>
      <c r="CV83" s="85" t="str">
        <f aca="false">IF($B83=CV$12,$U83,"")</f>
        <v/>
      </c>
      <c r="CW83" s="85" t="str">
        <f aca="false">IF($B83=CW$12,$U83,"")</f>
        <v/>
      </c>
      <c r="CX83" s="85" t="str">
        <f aca="false">IF($B83=CX$12,$U83,"")</f>
        <v/>
      </c>
      <c r="CY83" s="85" t="str">
        <f aca="false">IF($B83=CY$12,$U83,"")</f>
        <v/>
      </c>
      <c r="CZ83" s="85" t="str">
        <f aca="false">IF($B83=CZ$12,$U83,"")</f>
        <v/>
      </c>
      <c r="DA83" s="85" t="str">
        <f aca="false">IF($B83=DA$12,$U83,"")</f>
        <v/>
      </c>
      <c r="DB83" s="85" t="str">
        <f aca="false">IF($B83=DB$12,$U83,"")</f>
        <v/>
      </c>
      <c r="DC83" s="85" t="str">
        <f aca="false">IF($B83=DC$12,$U83,"")</f>
        <v/>
      </c>
      <c r="DD83" s="85" t="str">
        <f aca="false">IF($B83=DD$12,$U83,"")</f>
        <v/>
      </c>
      <c r="DE83" s="85" t="str">
        <f aca="false">IF($B83=DE$12,$U83,"")</f>
        <v/>
      </c>
      <c r="DF83" s="85" t="str">
        <f aca="false">IF($B83=DF$12,$U83,"")</f>
        <v/>
      </c>
      <c r="DG83" s="85" t="str">
        <f aca="false">IF($B83=DG$12,$U83,"")</f>
        <v/>
      </c>
      <c r="DH83" s="85" t="str">
        <f aca="false">IF($B83=DH$12,$U83,"")</f>
        <v/>
      </c>
      <c r="DI83" s="85" t="str">
        <f aca="false">IF($B83=DI$12,$U83,"")</f>
        <v/>
      </c>
      <c r="DJ83" s="85" t="str">
        <f aca="false">IF($B83=DJ$12,$U83,"")</f>
        <v/>
      </c>
      <c r="DK83" s="85" t="str">
        <f aca="false">IF($B83=DK$12,$U83,"")</f>
        <v/>
      </c>
      <c r="DL83" s="85" t="str">
        <f aca="false">IF($B83=DL$12,$U83,"")</f>
        <v/>
      </c>
      <c r="DM83" s="85" t="str">
        <f aca="false">IF($B83=DM$12,$U83,"")</f>
        <v/>
      </c>
      <c r="DN83" s="85" t="str">
        <f aca="false">IF($B83=DN$12,$U83,"")</f>
        <v/>
      </c>
      <c r="DO83" s="85" t="str">
        <f aca="false">IF($B83=DO$12,$U83,"")</f>
        <v/>
      </c>
      <c r="DP83" s="85" t="str">
        <f aca="false">IF($B83=DP$12,$U83,"")</f>
        <v/>
      </c>
      <c r="DQ83" s="85" t="str">
        <f aca="false">IF($B83=DQ$12,$U83,"")</f>
        <v/>
      </c>
      <c r="DR83" s="85" t="str">
        <f aca="false">IF($B83=DR$12,$U83,"")</f>
        <v/>
      </c>
      <c r="DS83" s="85" t="str">
        <f aca="false">IF($B83=DS$12,$U83,"")</f>
        <v/>
      </c>
      <c r="DT83" s="86" t="str">
        <f aca="false">IF($B83=DT$12,$U83,"")</f>
        <v/>
      </c>
      <c r="DU83" s="55"/>
      <c r="DV83" s="83"/>
      <c r="DW83" s="87" t="str">
        <f aca="false">IF($B83=DW$12,$O83,"")</f>
        <v/>
      </c>
      <c r="DX83" s="88" t="str">
        <f aca="false">IF($B83=DX$12,$O83,"")</f>
        <v/>
      </c>
      <c r="DY83" s="88" t="str">
        <f aca="false">IF($B83=DY$12,$O83,"")</f>
        <v/>
      </c>
      <c r="DZ83" s="88" t="str">
        <f aca="false">IF($B83=DZ$12,$O83,"")</f>
        <v/>
      </c>
      <c r="EA83" s="88" t="str">
        <f aca="false">IF($B83=EA$12,$O83,"")</f>
        <v/>
      </c>
      <c r="EB83" s="88" t="str">
        <f aca="false">IF($B83=EB$12,$O83,"")</f>
        <v/>
      </c>
      <c r="EC83" s="88" t="str">
        <f aca="false">IF($B83=EC$12,$O83,"")</f>
        <v/>
      </c>
      <c r="ED83" s="88" t="str">
        <f aca="false">IF($B83=ED$12,$O83,"")</f>
        <v/>
      </c>
      <c r="EE83" s="88" t="str">
        <f aca="false">IF($B83=EE$12,$O83,"")</f>
        <v/>
      </c>
      <c r="EF83" s="88" t="str">
        <f aca="false">IF($B83=EF$12,$O83,"")</f>
        <v/>
      </c>
      <c r="EG83" s="88" t="str">
        <f aca="false">IF($B83=EG$12,$O83,"")</f>
        <v/>
      </c>
      <c r="EH83" s="88" t="str">
        <f aca="false">IF($B83=EH$12,$O83,"")</f>
        <v/>
      </c>
      <c r="EI83" s="88" t="str">
        <f aca="false">IF($B83=EI$12,$O83,"")</f>
        <v/>
      </c>
      <c r="EJ83" s="88" t="str">
        <f aca="false">IF($B83=EJ$12,$O83,"")</f>
        <v/>
      </c>
      <c r="EK83" s="88" t="str">
        <f aca="false">IF($B83=EK$12,$O83,"")</f>
        <v/>
      </c>
      <c r="EL83" s="88" t="str">
        <f aca="false">IF($B83=EL$12,$O83,"")</f>
        <v/>
      </c>
      <c r="EM83" s="88" t="str">
        <f aca="false">IF($B83=EM$12,$O83,"")</f>
        <v/>
      </c>
      <c r="EN83" s="88" t="str">
        <f aca="false">IF($B83=EN$12,$O83,"")</f>
        <v/>
      </c>
      <c r="EO83" s="88" t="str">
        <f aca="false">IF($B83=EO$12,$O83,"")</f>
        <v/>
      </c>
      <c r="EP83" s="88" t="str">
        <f aca="false">IF($B83=EP$12,$O83,"")</f>
        <v/>
      </c>
      <c r="EQ83" s="88" t="str">
        <f aca="false">IF($B83=EQ$12,$O83,"")</f>
        <v/>
      </c>
      <c r="ER83" s="88" t="str">
        <f aca="false">IF($B83=ER$12,$O83,"")</f>
        <v/>
      </c>
      <c r="ES83" s="88" t="str">
        <f aca="false">IF($B83=ES$12,$O83,"")</f>
        <v/>
      </c>
      <c r="ET83" s="88" t="str">
        <f aca="false">IF($B83=ET$12,$O83,"")</f>
        <v/>
      </c>
      <c r="EU83" s="88" t="str">
        <f aca="false">IF($B83=EU$12,$O83,"")</f>
        <v/>
      </c>
      <c r="EV83" s="88" t="str">
        <f aca="false">IF($B83=EV$12,$O83,"")</f>
        <v/>
      </c>
      <c r="EW83" s="88" t="str">
        <f aca="false">IF($B83=EW$12,$O83,"")</f>
        <v/>
      </c>
      <c r="EX83" s="88" t="str">
        <f aca="false">IF($B83=EX$12,$O83,"")</f>
        <v/>
      </c>
      <c r="EY83" s="88" t="str">
        <f aca="false">IF($B83=EY$12,$O83,"")</f>
        <v/>
      </c>
      <c r="EZ83" s="88" t="str">
        <f aca="false">IF($B83=EZ$12,$O83,"")</f>
        <v/>
      </c>
      <c r="FA83" s="88" t="str">
        <f aca="false">IF($B83=FA$12,$O83,"")</f>
        <v/>
      </c>
      <c r="FB83" s="88" t="str">
        <f aca="false">IF($B83=FB$12,$O83,"")</f>
        <v/>
      </c>
      <c r="FC83" s="88" t="str">
        <f aca="false">IF($B83=FC$12,$O83,"")</f>
        <v/>
      </c>
      <c r="FD83" s="88" t="str">
        <f aca="false">IF($B83=FD$12,$O83,"")</f>
        <v/>
      </c>
      <c r="FE83" s="88" t="str">
        <f aca="false">IF($B83=FE$12,$O83,"")</f>
        <v/>
      </c>
      <c r="FF83" s="88" t="str">
        <f aca="false">IF($B83=FF$12,$O83,"")</f>
        <v/>
      </c>
      <c r="FG83" s="88" t="str">
        <f aca="false">IF($B83=FG$12,$O83,"")</f>
        <v/>
      </c>
      <c r="FH83" s="88" t="str">
        <f aca="false">IF($B83=FH$12,$O83,"")</f>
        <v/>
      </c>
      <c r="FI83" s="88" t="str">
        <f aca="false">IF($B83=FI$12,$O83,"")</f>
        <v/>
      </c>
      <c r="FJ83" s="88" t="str">
        <f aca="false">IF($B83=FJ$12,$O83,"")</f>
        <v/>
      </c>
      <c r="FK83" s="88" t="str">
        <f aca="false">IF($B83=FK$12,$O83,"")</f>
        <v/>
      </c>
      <c r="FL83" s="88" t="str">
        <f aca="false">IF($B83=FL$12,$O83,"")</f>
        <v/>
      </c>
      <c r="FM83" s="88" t="str">
        <f aca="false">IF($B83=FM$12,$O83,"")</f>
        <v/>
      </c>
      <c r="FN83" s="88" t="str">
        <f aca="false">IF($B83=FN$12,$O83,"")</f>
        <v/>
      </c>
      <c r="FO83" s="88" t="str">
        <f aca="false">IF($B83=FO$12,$O83,"")</f>
        <v/>
      </c>
      <c r="FP83" s="88" t="str">
        <f aca="false">IF($B83=FP$12,$O83,"")</f>
        <v/>
      </c>
      <c r="FQ83" s="88" t="str">
        <f aca="false">IF($B83=FQ$12,$O83,"")</f>
        <v/>
      </c>
      <c r="FR83" s="88" t="str">
        <f aca="false">IF($B83=FR$12,$O83,"")</f>
        <v/>
      </c>
      <c r="FS83" s="88" t="str">
        <f aca="false">IF($B83=FS$12,$O83,"")</f>
        <v/>
      </c>
      <c r="FT83" s="88" t="str">
        <f aca="false">IF($B83=FT$12,$O83,"")</f>
        <v/>
      </c>
      <c r="FU83" s="88" t="str">
        <f aca="false">IF($B83=FU$12,$O83,"")</f>
        <v/>
      </c>
      <c r="FV83" s="88" t="str">
        <f aca="false">IF($B83=FV$12,$O83,"")</f>
        <v/>
      </c>
      <c r="FW83" s="88" t="str">
        <f aca="false">IF($B83=FW$12,$O83,"")</f>
        <v/>
      </c>
      <c r="FX83" s="88" t="str">
        <f aca="false">IF($B83=FX$12,$O83,"")</f>
        <v/>
      </c>
      <c r="FY83" s="88" t="str">
        <f aca="false">IF($B83=FY$12,$O83,"")</f>
        <v/>
      </c>
      <c r="FZ83" s="88" t="str">
        <f aca="false">IF($B83=FZ$12,$O83,"")</f>
        <v/>
      </c>
      <c r="GA83" s="88" t="str">
        <f aca="false">IF($B83=GA$12,$O83,"")</f>
        <v/>
      </c>
      <c r="GB83" s="88" t="str">
        <f aca="false">IF($B83=GB$12,$O83,"")</f>
        <v/>
      </c>
      <c r="GC83" s="88" t="str">
        <f aca="false">IF($B83=GC$12,$O83,"")</f>
        <v/>
      </c>
      <c r="GD83" s="88" t="str">
        <f aca="false">IF($B83=GD$12,$O83,"")</f>
        <v/>
      </c>
      <c r="GE83" s="88" t="str">
        <f aca="false">IF($B83=GE$12,$O83,"")</f>
        <v/>
      </c>
      <c r="GF83" s="88" t="str">
        <f aca="false">IF($B83=GF$12,$O83,"")</f>
        <v/>
      </c>
      <c r="GG83" s="88" t="str">
        <f aca="false">IF($B83=GG$12,$O83,"")</f>
        <v/>
      </c>
      <c r="GH83" s="88" t="str">
        <f aca="false">IF($B83=GH$12,$O83,"")</f>
        <v/>
      </c>
      <c r="GI83" s="88" t="str">
        <f aca="false">IF($B83=GI$12,$O83,"")</f>
        <v/>
      </c>
      <c r="GJ83" s="88" t="str">
        <f aca="false">IF($B83=GJ$12,$O83,"")</f>
        <v/>
      </c>
      <c r="GK83" s="88" t="str">
        <f aca="false">IF($B83=GK$12,$O83,"")</f>
        <v/>
      </c>
      <c r="GL83" s="88" t="str">
        <f aca="false">IF($B83=GL$12,$O83,"")</f>
        <v/>
      </c>
      <c r="GM83" s="88" t="str">
        <f aca="false">IF($B83=GM$12,$O83,"")</f>
        <v/>
      </c>
      <c r="GN83" s="88" t="str">
        <f aca="false">IF($B83=GN$12,$O83,"")</f>
        <v/>
      </c>
      <c r="GO83" s="88" t="str">
        <f aca="false">IF($B83=GO$12,$O83,"")</f>
        <v/>
      </c>
      <c r="GP83" s="88" t="str">
        <f aca="false">IF($B83=GP$12,$O83,"")</f>
        <v/>
      </c>
      <c r="GQ83" s="88" t="str">
        <f aca="false">IF($B83=GQ$12,$O83,"")</f>
        <v/>
      </c>
      <c r="GR83" s="88" t="str">
        <f aca="false">IF($B83=GR$12,$O83,"")</f>
        <v/>
      </c>
      <c r="GS83" s="88" t="str">
        <f aca="false">IF($B83=GS$12,$O83,"")</f>
        <v/>
      </c>
      <c r="GT83" s="88" t="str">
        <f aca="false">IF($B83=GT$12,$O83,"")</f>
        <v/>
      </c>
      <c r="GU83" s="88" t="str">
        <f aca="false">IF($B83=GU$12,$O83,"")</f>
        <v/>
      </c>
      <c r="GV83" s="88" t="str">
        <f aca="false">IF($B83=GV$12,$O83,"")</f>
        <v/>
      </c>
      <c r="GW83" s="88" t="str">
        <f aca="false">IF($B83=GW$12,$O83,"")</f>
        <v/>
      </c>
      <c r="GX83" s="88" t="str">
        <f aca="false">IF($B83=GX$12,$O83,"")</f>
        <v/>
      </c>
      <c r="GY83" s="88" t="str">
        <f aca="false">IF($B83=GY$12,$O83,"")</f>
        <v/>
      </c>
      <c r="GZ83" s="88" t="str">
        <f aca="false">IF($B83=GZ$12,$O83,"")</f>
        <v/>
      </c>
      <c r="HA83" s="88" t="str">
        <f aca="false">IF($B83=HA$12,$O83,"")</f>
        <v/>
      </c>
      <c r="HB83" s="88" t="str">
        <f aca="false">IF($B83=HB$12,$O83,"")</f>
        <v/>
      </c>
      <c r="HC83" s="88" t="str">
        <f aca="false">IF($B83=HC$12,$O83,"")</f>
        <v/>
      </c>
      <c r="HD83" s="88" t="str">
        <f aca="false">IF($B83=HD$12,$O83,"")</f>
        <v/>
      </c>
      <c r="HE83" s="88" t="str">
        <f aca="false">IF($B83=HE$12,$O83,"")</f>
        <v/>
      </c>
      <c r="HF83" s="88" t="str">
        <f aca="false">IF($B83=HF$12,$O83,"")</f>
        <v/>
      </c>
      <c r="HG83" s="88" t="str">
        <f aca="false">IF($B83=HG$12,$O83,"")</f>
        <v/>
      </c>
      <c r="HH83" s="88" t="str">
        <f aca="false">IF($B83=HH$12,$O83,"")</f>
        <v/>
      </c>
      <c r="HI83" s="88" t="str">
        <f aca="false">IF($B83=HI$12,$O83,"")</f>
        <v/>
      </c>
      <c r="HJ83" s="88" t="str">
        <f aca="false">IF($B83=HJ$12,$O83,"")</f>
        <v/>
      </c>
      <c r="HK83" s="88" t="str">
        <f aca="false">IF($B83=HK$12,$O83,"")</f>
        <v/>
      </c>
      <c r="HL83" s="88" t="str">
        <f aca="false">IF($B83=HL$12,$O83,"")</f>
        <v/>
      </c>
      <c r="HM83" s="88" t="str">
        <f aca="false">IF($B83=HM$12,$O83,"")</f>
        <v/>
      </c>
      <c r="HN83" s="88" t="str">
        <f aca="false">IF($B83=HN$12,$O83,"")</f>
        <v/>
      </c>
      <c r="HO83" s="88" t="str">
        <f aca="false">IF($B83=HO$12,$O83,"")</f>
        <v/>
      </c>
      <c r="HP83" s="88" t="str">
        <f aca="false">IF($B83=HP$12,$O83,"")</f>
        <v/>
      </c>
      <c r="HQ83" s="88" t="str">
        <f aca="false">IF($B83=HQ$12,$O83,"")</f>
        <v/>
      </c>
      <c r="HR83" s="89" t="str">
        <f aca="false">IF($B83=HR$12,$O83,"")</f>
        <v/>
      </c>
    </row>
    <row r="84" customFormat="false" ht="10.5" hidden="false" customHeight="true" outlineLevel="0" collapsed="false">
      <c r="A84" s="73"/>
      <c r="B84" s="74"/>
      <c r="C84" s="75" t="str">
        <f aca="false">IF(A84=0,"",VLOOKUP(A84,[3]CO!$A$3:$F$5311,2,0))</f>
        <v/>
      </c>
      <c r="D84" s="76"/>
      <c r="E84" s="76"/>
      <c r="F84" s="76"/>
      <c r="G84" s="77" t="str">
        <f aca="false">IF(A84=0,"",VLOOKUP(A84,[3]CO!$A$3:$F$5311,3,0))</f>
        <v/>
      </c>
      <c r="H84" s="76"/>
      <c r="I84" s="78"/>
      <c r="J84" s="78"/>
      <c r="K84" s="78"/>
      <c r="L84" s="78"/>
      <c r="M84" s="79" t="str">
        <f aca="false">IF(L84=0,"",PRODUCT(I84:L84))</f>
        <v/>
      </c>
      <c r="N84" s="79" t="str">
        <f aca="false">IF(B84=0,"",IF(H84="M",HLOOKUP(B84,$Y$12:$DT$13,2),IF(A84=0,"",VLOOKUP(A84,[3]CO!$A$3:$F$5311,4,0))))</f>
        <v/>
      </c>
      <c r="O84" s="79" t="str">
        <f aca="false">IF(L84=0,"",PRODUCT(M84:N84))</f>
        <v/>
      </c>
      <c r="P84" s="80"/>
      <c r="Q84" s="81" t="str">
        <f aca="false">IF(P84=0,"",(HLOOKUP(P84,$DW$12:$HR$13,2)))</f>
        <v/>
      </c>
      <c r="R84" s="82" t="str">
        <f aca="false">IF(S84=0,"",IF(OR(G84="PEON",G84="OF",G84="JARD",G84="CARP",G84="MAESTRO",G84="SOLD",G84="BGRO",G84="CHOFER",G84="AYTE",G84="S.INTTE.",G84="ASEO",G84="P.PISOS",G84="VELADOR",G84="RESID",G84="PINTOR",G84="ELECT",G84="AZULE",G84="AUX CONT.",G84="SECRETARIA",G84="AUXILIAR ADMTVO.",G84="ARQUITECTO",G84="DIBUJANTE",G84="AUX. DE RESIDENTE"),VLOOKUP(B84,P$14:Q$131,2),"")*S84)</f>
        <v/>
      </c>
      <c r="S84" s="5"/>
      <c r="T84" s="65" t="str">
        <f aca="false">IF(A84=0,"",VLOOKUP(A84,[3]CO!$A$3:$F$5302,5,0))</f>
        <v/>
      </c>
      <c r="U84" s="55" t="n">
        <f aca="false">IF(T84=1,O84*0.1,)</f>
        <v>0</v>
      </c>
      <c r="V84" s="66"/>
      <c r="W84" s="83"/>
      <c r="X84" s="83"/>
      <c r="Y84" s="84" t="str">
        <f aca="false">IF($B84=Y$12,$U84,"")</f>
        <v/>
      </c>
      <c r="Z84" s="85" t="str">
        <f aca="false">IF($B84=Z$12,$U84,"")</f>
        <v/>
      </c>
      <c r="AA84" s="85" t="str">
        <f aca="false">IF($B84=AA$12,$U84,"")</f>
        <v/>
      </c>
      <c r="AB84" s="85" t="str">
        <f aca="false">IF($B84=AB$12,$U84,"")</f>
        <v/>
      </c>
      <c r="AC84" s="85" t="str">
        <f aca="false">IF($B84=AC$12,$U84,"")</f>
        <v/>
      </c>
      <c r="AD84" s="85" t="str">
        <f aca="false">IF($B84=AD$12,$U84,"")</f>
        <v/>
      </c>
      <c r="AE84" s="85" t="str">
        <f aca="false">IF($B84=AE$12,$U84,"")</f>
        <v/>
      </c>
      <c r="AF84" s="85" t="str">
        <f aca="false">IF($B84=AF$12,$U84,"")</f>
        <v/>
      </c>
      <c r="AG84" s="85" t="str">
        <f aca="false">IF($B84=AG$12,$U84,"")</f>
        <v/>
      </c>
      <c r="AH84" s="85" t="str">
        <f aca="false">IF($B84=AH$12,$U84,"")</f>
        <v/>
      </c>
      <c r="AI84" s="85" t="str">
        <f aca="false">IF($B84=AI$12,$U84,"")</f>
        <v/>
      </c>
      <c r="AJ84" s="85" t="str">
        <f aca="false">IF($B84=AJ$12,$U84,"")</f>
        <v/>
      </c>
      <c r="AK84" s="85" t="str">
        <f aca="false">IF($B84=AK$12,$U84,"")</f>
        <v/>
      </c>
      <c r="AL84" s="85" t="str">
        <f aca="false">IF($B84=AL$12,$U84,"")</f>
        <v/>
      </c>
      <c r="AM84" s="85" t="str">
        <f aca="false">IF($B84=AM$12,$U84,"")</f>
        <v/>
      </c>
      <c r="AN84" s="85" t="str">
        <f aca="false">IF($B84=AN$12,$U84,"")</f>
        <v/>
      </c>
      <c r="AO84" s="85" t="str">
        <f aca="false">IF($B84=AO$12,$U84,"")</f>
        <v/>
      </c>
      <c r="AP84" s="85" t="str">
        <f aca="false">IF($B84=AP$12,$U84,"")</f>
        <v/>
      </c>
      <c r="AQ84" s="85" t="str">
        <f aca="false">IF($B84=AQ$12,$U84,"")</f>
        <v/>
      </c>
      <c r="AR84" s="85" t="str">
        <f aca="false">IF($B84=AR$12,$U84,"")</f>
        <v/>
      </c>
      <c r="AS84" s="85" t="str">
        <f aca="false">IF($B84=AS$12,$U84,"")</f>
        <v/>
      </c>
      <c r="AT84" s="85" t="str">
        <f aca="false">IF($B84=AT$12,$U84,"")</f>
        <v/>
      </c>
      <c r="AU84" s="85" t="str">
        <f aca="false">IF($B84=AU$12,$U84,"")</f>
        <v/>
      </c>
      <c r="AV84" s="85" t="str">
        <f aca="false">IF($B84=AV$12,$U84,"")</f>
        <v/>
      </c>
      <c r="AW84" s="85" t="str">
        <f aca="false">IF($B84=AW$12,$U84,"")</f>
        <v/>
      </c>
      <c r="AX84" s="85" t="str">
        <f aca="false">IF($B84=AX$12,$U84,"")</f>
        <v/>
      </c>
      <c r="AY84" s="85" t="str">
        <f aca="false">IF($B84=AY$12,$U84,"")</f>
        <v/>
      </c>
      <c r="AZ84" s="85" t="str">
        <f aca="false">IF($B84=AZ$12,$U84,"")</f>
        <v/>
      </c>
      <c r="BA84" s="85" t="str">
        <f aca="false">IF($B84=BA$12,$U84,"")</f>
        <v/>
      </c>
      <c r="BB84" s="85" t="str">
        <f aca="false">IF($B84=BB$12,$U84,"")</f>
        <v/>
      </c>
      <c r="BC84" s="85" t="str">
        <f aca="false">IF($B84=BC$12,$U84,"")</f>
        <v/>
      </c>
      <c r="BD84" s="85" t="str">
        <f aca="false">IF($B84=BD$12,$U84,"")</f>
        <v/>
      </c>
      <c r="BE84" s="85" t="str">
        <f aca="false">IF($B84=BE$12,$U84,"")</f>
        <v/>
      </c>
      <c r="BF84" s="85" t="str">
        <f aca="false">IF($B84=BF$12,$U84,"")</f>
        <v/>
      </c>
      <c r="BG84" s="85" t="str">
        <f aca="false">IF($B84=BG$12,$U84,"")</f>
        <v/>
      </c>
      <c r="BH84" s="85" t="str">
        <f aca="false">IF($B84=BH$12,$U84,"")</f>
        <v/>
      </c>
      <c r="BI84" s="85" t="str">
        <f aca="false">IF($B84=BI$12,$U84,"")</f>
        <v/>
      </c>
      <c r="BJ84" s="85" t="str">
        <f aca="false">IF($B84=BJ$12,$U84,"")</f>
        <v/>
      </c>
      <c r="BK84" s="85" t="str">
        <f aca="false">IF($B84=BK$12,$U84,"")</f>
        <v/>
      </c>
      <c r="BL84" s="85" t="str">
        <f aca="false">IF($B84=BL$12,$U84,"")</f>
        <v/>
      </c>
      <c r="BM84" s="85" t="str">
        <f aca="false">IF($B84=BM$12,$U84,"")</f>
        <v/>
      </c>
      <c r="BN84" s="85" t="str">
        <f aca="false">IF($B84=BN$12,$U84,"")</f>
        <v/>
      </c>
      <c r="BO84" s="85" t="str">
        <f aca="false">IF($B84=BO$12,$U84,"")</f>
        <v/>
      </c>
      <c r="BP84" s="85" t="str">
        <f aca="false">IF($B84=BP$12,$U84,"")</f>
        <v/>
      </c>
      <c r="BQ84" s="85" t="str">
        <f aca="false">IF($B84=BQ$12,$U84,"")</f>
        <v/>
      </c>
      <c r="BR84" s="85" t="str">
        <f aca="false">IF($B84=BR$12,$U84,"")</f>
        <v/>
      </c>
      <c r="BS84" s="85" t="str">
        <f aca="false">IF($B84=BS$12,$U84,"")</f>
        <v/>
      </c>
      <c r="BT84" s="85" t="str">
        <f aca="false">IF($B84=BT$12,$U84,"")</f>
        <v/>
      </c>
      <c r="BU84" s="85" t="str">
        <f aca="false">IF($B84=BU$12,$U84,"")</f>
        <v/>
      </c>
      <c r="BV84" s="85" t="str">
        <f aca="false">IF($B84=BV$12,$U84,"")</f>
        <v/>
      </c>
      <c r="BW84" s="85" t="str">
        <f aca="false">IF($B84=BW$12,$U84,"")</f>
        <v/>
      </c>
      <c r="BX84" s="85" t="str">
        <f aca="false">IF($B84=BX$12,$U84,"")</f>
        <v/>
      </c>
      <c r="BY84" s="85" t="str">
        <f aca="false">IF($B84=BY$12,$U84,"")</f>
        <v/>
      </c>
      <c r="BZ84" s="85" t="str">
        <f aca="false">IF($B84=BZ$12,$U84,"")</f>
        <v/>
      </c>
      <c r="CA84" s="85" t="str">
        <f aca="false">IF($B84=CA$12,$U84,"")</f>
        <v/>
      </c>
      <c r="CB84" s="85" t="str">
        <f aca="false">IF($B84=CB$12,$U84,"")</f>
        <v/>
      </c>
      <c r="CC84" s="85" t="str">
        <f aca="false">IF($B84=CC$12,$U84,"")</f>
        <v/>
      </c>
      <c r="CD84" s="85" t="str">
        <f aca="false">IF($B84=CD$12,$U84,"")</f>
        <v/>
      </c>
      <c r="CE84" s="85" t="str">
        <f aca="false">IF($B84=CE$12,$U84,"")</f>
        <v/>
      </c>
      <c r="CF84" s="85" t="str">
        <f aca="false">IF($B84=CF$12,$U84,"")</f>
        <v/>
      </c>
      <c r="CG84" s="85" t="str">
        <f aca="false">IF($B84=CG$12,$U84,"")</f>
        <v/>
      </c>
      <c r="CH84" s="85" t="str">
        <f aca="false">IF($B84=CH$12,$U84,"")</f>
        <v/>
      </c>
      <c r="CI84" s="85" t="str">
        <f aca="false">IF($B84=CI$12,$U84,"")</f>
        <v/>
      </c>
      <c r="CJ84" s="85" t="str">
        <f aca="false">IF($B84=CJ$12,$U84,"")</f>
        <v/>
      </c>
      <c r="CK84" s="85" t="str">
        <f aca="false">IF($B84=CK$12,$U84,"")</f>
        <v/>
      </c>
      <c r="CL84" s="85" t="str">
        <f aca="false">IF($B84=CL$12,$U84,"")</f>
        <v/>
      </c>
      <c r="CM84" s="85" t="str">
        <f aca="false">IF($B84=CM$12,$U84,"")</f>
        <v/>
      </c>
      <c r="CN84" s="85" t="str">
        <f aca="false">IF($B84=CN$12,$U84,"")</f>
        <v/>
      </c>
      <c r="CO84" s="85" t="str">
        <f aca="false">IF($B84=CO$12,$U84,"")</f>
        <v/>
      </c>
      <c r="CP84" s="85" t="str">
        <f aca="false">IF($B84=CP$12,$U84,"")</f>
        <v/>
      </c>
      <c r="CQ84" s="85" t="str">
        <f aca="false">IF($B84=CQ$12,$U84,"")</f>
        <v/>
      </c>
      <c r="CR84" s="85" t="str">
        <f aca="false">IF($B84=CR$12,$U84,"")</f>
        <v/>
      </c>
      <c r="CS84" s="85" t="str">
        <f aca="false">IF($B84=CS$12,$U84,"")</f>
        <v/>
      </c>
      <c r="CT84" s="85" t="str">
        <f aca="false">IF($B84=CT$12,$U84,"")</f>
        <v/>
      </c>
      <c r="CU84" s="85" t="str">
        <f aca="false">IF($B84=CU$12,$U84,"")</f>
        <v/>
      </c>
      <c r="CV84" s="85" t="str">
        <f aca="false">IF($B84=CV$12,$U84,"")</f>
        <v/>
      </c>
      <c r="CW84" s="85" t="str">
        <f aca="false">IF($B84=CW$12,$U84,"")</f>
        <v/>
      </c>
      <c r="CX84" s="85" t="str">
        <f aca="false">IF($B84=CX$12,$U84,"")</f>
        <v/>
      </c>
      <c r="CY84" s="85" t="str">
        <f aca="false">IF($B84=CY$12,$U84,"")</f>
        <v/>
      </c>
      <c r="CZ84" s="85" t="str">
        <f aca="false">IF($B84=CZ$12,$U84,"")</f>
        <v/>
      </c>
      <c r="DA84" s="85" t="str">
        <f aca="false">IF($B84=DA$12,$U84,"")</f>
        <v/>
      </c>
      <c r="DB84" s="85" t="str">
        <f aca="false">IF($B84=DB$12,$U84,"")</f>
        <v/>
      </c>
      <c r="DC84" s="85" t="str">
        <f aca="false">IF($B84=DC$12,$U84,"")</f>
        <v/>
      </c>
      <c r="DD84" s="85" t="str">
        <f aca="false">IF($B84=DD$12,$U84,"")</f>
        <v/>
      </c>
      <c r="DE84" s="85" t="str">
        <f aca="false">IF($B84=DE$12,$U84,"")</f>
        <v/>
      </c>
      <c r="DF84" s="85" t="str">
        <f aca="false">IF($B84=DF$12,$U84,"")</f>
        <v/>
      </c>
      <c r="DG84" s="85" t="str">
        <f aca="false">IF($B84=DG$12,$U84,"")</f>
        <v/>
      </c>
      <c r="DH84" s="85" t="str">
        <f aca="false">IF($B84=DH$12,$U84,"")</f>
        <v/>
      </c>
      <c r="DI84" s="85" t="str">
        <f aca="false">IF($B84=DI$12,$U84,"")</f>
        <v/>
      </c>
      <c r="DJ84" s="85" t="str">
        <f aca="false">IF($B84=DJ$12,$U84,"")</f>
        <v/>
      </c>
      <c r="DK84" s="85" t="str">
        <f aca="false">IF($B84=DK$12,$U84,"")</f>
        <v/>
      </c>
      <c r="DL84" s="85" t="str">
        <f aca="false">IF($B84=DL$12,$U84,"")</f>
        <v/>
      </c>
      <c r="DM84" s="85" t="str">
        <f aca="false">IF($B84=DM$12,$U84,"")</f>
        <v/>
      </c>
      <c r="DN84" s="85" t="str">
        <f aca="false">IF($B84=DN$12,$U84,"")</f>
        <v/>
      </c>
      <c r="DO84" s="85" t="str">
        <f aca="false">IF($B84=DO$12,$U84,"")</f>
        <v/>
      </c>
      <c r="DP84" s="85" t="str">
        <f aca="false">IF($B84=DP$12,$U84,"")</f>
        <v/>
      </c>
      <c r="DQ84" s="85" t="str">
        <f aca="false">IF($B84=DQ$12,$U84,"")</f>
        <v/>
      </c>
      <c r="DR84" s="85" t="str">
        <f aca="false">IF($B84=DR$12,$U84,"")</f>
        <v/>
      </c>
      <c r="DS84" s="85" t="str">
        <f aca="false">IF($B84=DS$12,$U84,"")</f>
        <v/>
      </c>
      <c r="DT84" s="86" t="str">
        <f aca="false">IF($B84=DT$12,$U84,"")</f>
        <v/>
      </c>
      <c r="DU84" s="55"/>
      <c r="DV84" s="83"/>
      <c r="DW84" s="87" t="str">
        <f aca="false">IF($B84=DW$12,$O84,"")</f>
        <v/>
      </c>
      <c r="DX84" s="88" t="str">
        <f aca="false">IF($B84=DX$12,$O84,"")</f>
        <v/>
      </c>
      <c r="DY84" s="88" t="str">
        <f aca="false">IF($B84=DY$12,$O84,"")</f>
        <v/>
      </c>
      <c r="DZ84" s="88" t="str">
        <f aca="false">IF($B84=DZ$12,$O84,"")</f>
        <v/>
      </c>
      <c r="EA84" s="88" t="str">
        <f aca="false">IF($B84=EA$12,$O84,"")</f>
        <v/>
      </c>
      <c r="EB84" s="88" t="str">
        <f aca="false">IF($B84=EB$12,$O84,"")</f>
        <v/>
      </c>
      <c r="EC84" s="88" t="str">
        <f aca="false">IF($B84=EC$12,$O84,"")</f>
        <v/>
      </c>
      <c r="ED84" s="88" t="str">
        <f aca="false">IF($B84=ED$12,$O84,"")</f>
        <v/>
      </c>
      <c r="EE84" s="88" t="str">
        <f aca="false">IF($B84=EE$12,$O84,"")</f>
        <v/>
      </c>
      <c r="EF84" s="88" t="str">
        <f aca="false">IF($B84=EF$12,$O84,"")</f>
        <v/>
      </c>
      <c r="EG84" s="88" t="str">
        <f aca="false">IF($B84=EG$12,$O84,"")</f>
        <v/>
      </c>
      <c r="EH84" s="88" t="str">
        <f aca="false">IF($B84=EH$12,$O84,"")</f>
        <v/>
      </c>
      <c r="EI84" s="88" t="str">
        <f aca="false">IF($B84=EI$12,$O84,"")</f>
        <v/>
      </c>
      <c r="EJ84" s="88" t="str">
        <f aca="false">IF($B84=EJ$12,$O84,"")</f>
        <v/>
      </c>
      <c r="EK84" s="88" t="str">
        <f aca="false">IF($B84=EK$12,$O84,"")</f>
        <v/>
      </c>
      <c r="EL84" s="88" t="str">
        <f aca="false">IF($B84=EL$12,$O84,"")</f>
        <v/>
      </c>
      <c r="EM84" s="88" t="str">
        <f aca="false">IF($B84=EM$12,$O84,"")</f>
        <v/>
      </c>
      <c r="EN84" s="88" t="str">
        <f aca="false">IF($B84=EN$12,$O84,"")</f>
        <v/>
      </c>
      <c r="EO84" s="88" t="str">
        <f aca="false">IF($B84=EO$12,$O84,"")</f>
        <v/>
      </c>
      <c r="EP84" s="88" t="str">
        <f aca="false">IF($B84=EP$12,$O84,"")</f>
        <v/>
      </c>
      <c r="EQ84" s="88" t="str">
        <f aca="false">IF($B84=EQ$12,$O84,"")</f>
        <v/>
      </c>
      <c r="ER84" s="88" t="str">
        <f aca="false">IF($B84=ER$12,$O84,"")</f>
        <v/>
      </c>
      <c r="ES84" s="88" t="str">
        <f aca="false">IF($B84=ES$12,$O84,"")</f>
        <v/>
      </c>
      <c r="ET84" s="88" t="str">
        <f aca="false">IF($B84=ET$12,$O84,"")</f>
        <v/>
      </c>
      <c r="EU84" s="88" t="str">
        <f aca="false">IF($B84=EU$12,$O84,"")</f>
        <v/>
      </c>
      <c r="EV84" s="88" t="str">
        <f aca="false">IF($B84=EV$12,$O84,"")</f>
        <v/>
      </c>
      <c r="EW84" s="88" t="str">
        <f aca="false">IF($B84=EW$12,$O84,"")</f>
        <v/>
      </c>
      <c r="EX84" s="88" t="str">
        <f aca="false">IF($B84=EX$12,$O84,"")</f>
        <v/>
      </c>
      <c r="EY84" s="88" t="str">
        <f aca="false">IF($B84=EY$12,$O84,"")</f>
        <v/>
      </c>
      <c r="EZ84" s="88" t="str">
        <f aca="false">IF($B84=EZ$12,$O84,"")</f>
        <v/>
      </c>
      <c r="FA84" s="88" t="str">
        <f aca="false">IF($B84=FA$12,$O84,"")</f>
        <v/>
      </c>
      <c r="FB84" s="88" t="str">
        <f aca="false">IF($B84=FB$12,$O84,"")</f>
        <v/>
      </c>
      <c r="FC84" s="88" t="str">
        <f aca="false">IF($B84=FC$12,$O84,"")</f>
        <v/>
      </c>
      <c r="FD84" s="88" t="str">
        <f aca="false">IF($B84=FD$12,$O84,"")</f>
        <v/>
      </c>
      <c r="FE84" s="88" t="str">
        <f aca="false">IF($B84=FE$12,$O84,"")</f>
        <v/>
      </c>
      <c r="FF84" s="88" t="str">
        <f aca="false">IF($B84=FF$12,$O84,"")</f>
        <v/>
      </c>
      <c r="FG84" s="88" t="str">
        <f aca="false">IF($B84=FG$12,$O84,"")</f>
        <v/>
      </c>
      <c r="FH84" s="88" t="str">
        <f aca="false">IF($B84=FH$12,$O84,"")</f>
        <v/>
      </c>
      <c r="FI84" s="88" t="str">
        <f aca="false">IF($B84=FI$12,$O84,"")</f>
        <v/>
      </c>
      <c r="FJ84" s="88" t="str">
        <f aca="false">IF($B84=FJ$12,$O84,"")</f>
        <v/>
      </c>
      <c r="FK84" s="88" t="str">
        <f aca="false">IF($B84=FK$12,$O84,"")</f>
        <v/>
      </c>
      <c r="FL84" s="88" t="str">
        <f aca="false">IF($B84=FL$12,$O84,"")</f>
        <v/>
      </c>
      <c r="FM84" s="88" t="str">
        <f aca="false">IF($B84=FM$12,$O84,"")</f>
        <v/>
      </c>
      <c r="FN84" s="88" t="str">
        <f aca="false">IF($B84=FN$12,$O84,"")</f>
        <v/>
      </c>
      <c r="FO84" s="88" t="str">
        <f aca="false">IF($B84=FO$12,$O84,"")</f>
        <v/>
      </c>
      <c r="FP84" s="88" t="str">
        <f aca="false">IF($B84=FP$12,$O84,"")</f>
        <v/>
      </c>
      <c r="FQ84" s="88" t="str">
        <f aca="false">IF($B84=FQ$12,$O84,"")</f>
        <v/>
      </c>
      <c r="FR84" s="88" t="str">
        <f aca="false">IF($B84=FR$12,$O84,"")</f>
        <v/>
      </c>
      <c r="FS84" s="88" t="str">
        <f aca="false">IF($B84=FS$12,$O84,"")</f>
        <v/>
      </c>
      <c r="FT84" s="88" t="str">
        <f aca="false">IF($B84=FT$12,$O84,"")</f>
        <v/>
      </c>
      <c r="FU84" s="88" t="str">
        <f aca="false">IF($B84=FU$12,$O84,"")</f>
        <v/>
      </c>
      <c r="FV84" s="88" t="str">
        <f aca="false">IF($B84=FV$12,$O84,"")</f>
        <v/>
      </c>
      <c r="FW84" s="88" t="str">
        <f aca="false">IF($B84=FW$12,$O84,"")</f>
        <v/>
      </c>
      <c r="FX84" s="88" t="str">
        <f aca="false">IF($B84=FX$12,$O84,"")</f>
        <v/>
      </c>
      <c r="FY84" s="88" t="str">
        <f aca="false">IF($B84=FY$12,$O84,"")</f>
        <v/>
      </c>
      <c r="FZ84" s="88" t="str">
        <f aca="false">IF($B84=FZ$12,$O84,"")</f>
        <v/>
      </c>
      <c r="GA84" s="88" t="str">
        <f aca="false">IF($B84=GA$12,$O84,"")</f>
        <v/>
      </c>
      <c r="GB84" s="88" t="str">
        <f aca="false">IF($B84=GB$12,$O84,"")</f>
        <v/>
      </c>
      <c r="GC84" s="88" t="str">
        <f aca="false">IF($B84=GC$12,$O84,"")</f>
        <v/>
      </c>
      <c r="GD84" s="88" t="str">
        <f aca="false">IF($B84=GD$12,$O84,"")</f>
        <v/>
      </c>
      <c r="GE84" s="88" t="str">
        <f aca="false">IF($B84=GE$12,$O84,"")</f>
        <v/>
      </c>
      <c r="GF84" s="88" t="str">
        <f aca="false">IF($B84=GF$12,$O84,"")</f>
        <v/>
      </c>
      <c r="GG84" s="88" t="str">
        <f aca="false">IF($B84=GG$12,$O84,"")</f>
        <v/>
      </c>
      <c r="GH84" s="88" t="str">
        <f aca="false">IF($B84=GH$12,$O84,"")</f>
        <v/>
      </c>
      <c r="GI84" s="88" t="str">
        <f aca="false">IF($B84=GI$12,$O84,"")</f>
        <v/>
      </c>
      <c r="GJ84" s="88" t="str">
        <f aca="false">IF($B84=GJ$12,$O84,"")</f>
        <v/>
      </c>
      <c r="GK84" s="88" t="str">
        <f aca="false">IF($B84=GK$12,$O84,"")</f>
        <v/>
      </c>
      <c r="GL84" s="88" t="str">
        <f aca="false">IF($B84=GL$12,$O84,"")</f>
        <v/>
      </c>
      <c r="GM84" s="88" t="str">
        <f aca="false">IF($B84=GM$12,$O84,"")</f>
        <v/>
      </c>
      <c r="GN84" s="88" t="str">
        <f aca="false">IF($B84=GN$12,$O84,"")</f>
        <v/>
      </c>
      <c r="GO84" s="88" t="str">
        <f aca="false">IF($B84=GO$12,$O84,"")</f>
        <v/>
      </c>
      <c r="GP84" s="88" t="str">
        <f aca="false">IF($B84=GP$12,$O84,"")</f>
        <v/>
      </c>
      <c r="GQ84" s="88" t="str">
        <f aca="false">IF($B84=GQ$12,$O84,"")</f>
        <v/>
      </c>
      <c r="GR84" s="88" t="str">
        <f aca="false">IF($B84=GR$12,$O84,"")</f>
        <v/>
      </c>
      <c r="GS84" s="88" t="str">
        <f aca="false">IF($B84=GS$12,$O84,"")</f>
        <v/>
      </c>
      <c r="GT84" s="88" t="str">
        <f aca="false">IF($B84=GT$12,$O84,"")</f>
        <v/>
      </c>
      <c r="GU84" s="88" t="str">
        <f aca="false">IF($B84=GU$12,$O84,"")</f>
        <v/>
      </c>
      <c r="GV84" s="88" t="str">
        <f aca="false">IF($B84=GV$12,$O84,"")</f>
        <v/>
      </c>
      <c r="GW84" s="88" t="str">
        <f aca="false">IF($B84=GW$12,$O84,"")</f>
        <v/>
      </c>
      <c r="GX84" s="88" t="str">
        <f aca="false">IF($B84=GX$12,$O84,"")</f>
        <v/>
      </c>
      <c r="GY84" s="88" t="str">
        <f aca="false">IF($B84=GY$12,$O84,"")</f>
        <v/>
      </c>
      <c r="GZ84" s="88" t="str">
        <f aca="false">IF($B84=GZ$12,$O84,"")</f>
        <v/>
      </c>
      <c r="HA84" s="88" t="str">
        <f aca="false">IF($B84=HA$12,$O84,"")</f>
        <v/>
      </c>
      <c r="HB84" s="88" t="str">
        <f aca="false">IF($B84=HB$12,$O84,"")</f>
        <v/>
      </c>
      <c r="HC84" s="88" t="str">
        <f aca="false">IF($B84=HC$12,$O84,"")</f>
        <v/>
      </c>
      <c r="HD84" s="88" t="str">
        <f aca="false">IF($B84=HD$12,$O84,"")</f>
        <v/>
      </c>
      <c r="HE84" s="88" t="str">
        <f aca="false">IF($B84=HE$12,$O84,"")</f>
        <v/>
      </c>
      <c r="HF84" s="88" t="str">
        <f aca="false">IF($B84=HF$12,$O84,"")</f>
        <v/>
      </c>
      <c r="HG84" s="88" t="str">
        <f aca="false">IF($B84=HG$12,$O84,"")</f>
        <v/>
      </c>
      <c r="HH84" s="88" t="str">
        <f aca="false">IF($B84=HH$12,$O84,"")</f>
        <v/>
      </c>
      <c r="HI84" s="88" t="str">
        <f aca="false">IF($B84=HI$12,$O84,"")</f>
        <v/>
      </c>
      <c r="HJ84" s="88" t="str">
        <f aca="false">IF($B84=HJ$12,$O84,"")</f>
        <v/>
      </c>
      <c r="HK84" s="88" t="str">
        <f aca="false">IF($B84=HK$12,$O84,"")</f>
        <v/>
      </c>
      <c r="HL84" s="88" t="str">
        <f aca="false">IF($B84=HL$12,$O84,"")</f>
        <v/>
      </c>
      <c r="HM84" s="88" t="str">
        <f aca="false">IF($B84=HM$12,$O84,"")</f>
        <v/>
      </c>
      <c r="HN84" s="88" t="str">
        <f aca="false">IF($B84=HN$12,$O84,"")</f>
        <v/>
      </c>
      <c r="HO84" s="88" t="str">
        <f aca="false">IF($B84=HO$12,$O84,"")</f>
        <v/>
      </c>
      <c r="HP84" s="88" t="str">
        <f aca="false">IF($B84=HP$12,$O84,"")</f>
        <v/>
      </c>
      <c r="HQ84" s="88" t="str">
        <f aca="false">IF($B84=HQ$12,$O84,"")</f>
        <v/>
      </c>
      <c r="HR84" s="89" t="str">
        <f aca="false">IF($B84=HR$12,$O84,"")</f>
        <v/>
      </c>
    </row>
    <row r="85" customFormat="false" ht="10.5" hidden="false" customHeight="true" outlineLevel="0" collapsed="false">
      <c r="A85" s="73"/>
      <c r="B85" s="74"/>
      <c r="C85" s="75" t="str">
        <f aca="false">IF(A85=0,"",VLOOKUP(A85,[3]CO!$A$3:$F$5311,2,0))</f>
        <v/>
      </c>
      <c r="D85" s="76"/>
      <c r="E85" s="76"/>
      <c r="F85" s="76"/>
      <c r="G85" s="77" t="str">
        <f aca="false">IF(A85=0,"",VLOOKUP(A85,[3]CO!$A$3:$F$5311,3,0))</f>
        <v/>
      </c>
      <c r="H85" s="76"/>
      <c r="I85" s="78"/>
      <c r="J85" s="78"/>
      <c r="K85" s="78"/>
      <c r="L85" s="78"/>
      <c r="M85" s="79" t="str">
        <f aca="false">IF(L85=0,"",PRODUCT(I85:L85))</f>
        <v/>
      </c>
      <c r="N85" s="79" t="str">
        <f aca="false">IF(B85=0,"",IF(H85="M",HLOOKUP(B85,$Y$12:$DT$13,2),IF(A85=0,"",VLOOKUP(A85,[3]CO!$A$3:$F$5311,4,0))))</f>
        <v/>
      </c>
      <c r="O85" s="79" t="str">
        <f aca="false">IF(L85=0,"",PRODUCT(M85:N85))</f>
        <v/>
      </c>
      <c r="P85" s="80"/>
      <c r="Q85" s="81" t="str">
        <f aca="false">IF(P85=0,"",(HLOOKUP(P85,$DW$12:$HR$13,2)))</f>
        <v/>
      </c>
      <c r="R85" s="82" t="str">
        <f aca="false">IF(S85=0,"",IF(OR(G85="PEON",G85="OF",G85="JARD",G85="CARP",G85="MAESTRO",G85="SOLD",G85="BGRO",G85="CHOFER",G85="AYTE",G85="S.INTTE.",G85="ASEO",G85="P.PISOS",G85="VELADOR",G85="RESID",G85="PINTOR",G85="ELECT",G85="AZULE",G85="AUX CONT.",G85="SECRETARIA",G85="AUXILIAR ADMTVO.",G85="ARQUITECTO",G85="DIBUJANTE",G85="AUX. DE RESIDENTE"),VLOOKUP(B85,P$14:Q$131,2),"")*S85)</f>
        <v/>
      </c>
      <c r="S85" s="5"/>
      <c r="T85" s="65" t="str">
        <f aca="false">IF(A85=0,"",VLOOKUP(A85,[3]CO!$A$3:$F$5302,5,0))</f>
        <v/>
      </c>
      <c r="U85" s="55" t="n">
        <f aca="false">IF(T85=1,O85*0.1,)</f>
        <v>0</v>
      </c>
      <c r="V85" s="66"/>
      <c r="W85" s="83"/>
      <c r="X85" s="83"/>
      <c r="Y85" s="84" t="str">
        <f aca="false">IF($B85=Y$12,$U85,"")</f>
        <v/>
      </c>
      <c r="Z85" s="85" t="str">
        <f aca="false">IF($B85=Z$12,$U85,"")</f>
        <v/>
      </c>
      <c r="AA85" s="85" t="str">
        <f aca="false">IF($B85=AA$12,$U85,"")</f>
        <v/>
      </c>
      <c r="AB85" s="85" t="str">
        <f aca="false">IF($B85=AB$12,$U85,"")</f>
        <v/>
      </c>
      <c r="AC85" s="85" t="str">
        <f aca="false">IF($B85=AC$12,$U85,"")</f>
        <v/>
      </c>
      <c r="AD85" s="85" t="str">
        <f aca="false">IF($B85=AD$12,$U85,"")</f>
        <v/>
      </c>
      <c r="AE85" s="85" t="str">
        <f aca="false">IF($B85=AE$12,$U85,"")</f>
        <v/>
      </c>
      <c r="AF85" s="85" t="str">
        <f aca="false">IF($B85=AF$12,$U85,"")</f>
        <v/>
      </c>
      <c r="AG85" s="85" t="str">
        <f aca="false">IF($B85=AG$12,$U85,"")</f>
        <v/>
      </c>
      <c r="AH85" s="85" t="str">
        <f aca="false">IF($B85=AH$12,$U85,"")</f>
        <v/>
      </c>
      <c r="AI85" s="85" t="str">
        <f aca="false">IF($B85=AI$12,$U85,"")</f>
        <v/>
      </c>
      <c r="AJ85" s="85" t="str">
        <f aca="false">IF($B85=AJ$12,$U85,"")</f>
        <v/>
      </c>
      <c r="AK85" s="85" t="str">
        <f aca="false">IF($B85=AK$12,$U85,"")</f>
        <v/>
      </c>
      <c r="AL85" s="85" t="str">
        <f aca="false">IF($B85=AL$12,$U85,"")</f>
        <v/>
      </c>
      <c r="AM85" s="85" t="str">
        <f aca="false">IF($B85=AM$12,$U85,"")</f>
        <v/>
      </c>
      <c r="AN85" s="85" t="str">
        <f aca="false">IF($B85=AN$12,$U85,"")</f>
        <v/>
      </c>
      <c r="AO85" s="85" t="str">
        <f aca="false">IF($B85=AO$12,$U85,"")</f>
        <v/>
      </c>
      <c r="AP85" s="85" t="str">
        <f aca="false">IF($B85=AP$12,$U85,"")</f>
        <v/>
      </c>
      <c r="AQ85" s="85" t="str">
        <f aca="false">IF($B85=AQ$12,$U85,"")</f>
        <v/>
      </c>
      <c r="AR85" s="85" t="str">
        <f aca="false">IF($B85=AR$12,$U85,"")</f>
        <v/>
      </c>
      <c r="AS85" s="85" t="str">
        <f aca="false">IF($B85=AS$12,$U85,"")</f>
        <v/>
      </c>
      <c r="AT85" s="85" t="str">
        <f aca="false">IF($B85=AT$12,$U85,"")</f>
        <v/>
      </c>
      <c r="AU85" s="85" t="str">
        <f aca="false">IF($B85=AU$12,$U85,"")</f>
        <v/>
      </c>
      <c r="AV85" s="85" t="str">
        <f aca="false">IF($B85=AV$12,$U85,"")</f>
        <v/>
      </c>
      <c r="AW85" s="85" t="str">
        <f aca="false">IF($B85=AW$12,$U85,"")</f>
        <v/>
      </c>
      <c r="AX85" s="85" t="str">
        <f aca="false">IF($B85=AX$12,$U85,"")</f>
        <v/>
      </c>
      <c r="AY85" s="85" t="str">
        <f aca="false">IF($B85=AY$12,$U85,"")</f>
        <v/>
      </c>
      <c r="AZ85" s="85" t="str">
        <f aca="false">IF($B85=AZ$12,$U85,"")</f>
        <v/>
      </c>
      <c r="BA85" s="85" t="str">
        <f aca="false">IF($B85=BA$12,$U85,"")</f>
        <v/>
      </c>
      <c r="BB85" s="85" t="str">
        <f aca="false">IF($B85=BB$12,$U85,"")</f>
        <v/>
      </c>
      <c r="BC85" s="85" t="str">
        <f aca="false">IF($B85=BC$12,$U85,"")</f>
        <v/>
      </c>
      <c r="BD85" s="85" t="str">
        <f aca="false">IF($B85=BD$12,$U85,"")</f>
        <v/>
      </c>
      <c r="BE85" s="85" t="str">
        <f aca="false">IF($B85=BE$12,$U85,"")</f>
        <v/>
      </c>
      <c r="BF85" s="85" t="str">
        <f aca="false">IF($B85=BF$12,$U85,"")</f>
        <v/>
      </c>
      <c r="BG85" s="85" t="str">
        <f aca="false">IF($B85=BG$12,$U85,"")</f>
        <v/>
      </c>
      <c r="BH85" s="85" t="str">
        <f aca="false">IF($B85=BH$12,$U85,"")</f>
        <v/>
      </c>
      <c r="BI85" s="85" t="str">
        <f aca="false">IF($B85=BI$12,$U85,"")</f>
        <v/>
      </c>
      <c r="BJ85" s="85" t="str">
        <f aca="false">IF($B85=BJ$12,$U85,"")</f>
        <v/>
      </c>
      <c r="BK85" s="85" t="str">
        <f aca="false">IF($B85=BK$12,$U85,"")</f>
        <v/>
      </c>
      <c r="BL85" s="85" t="str">
        <f aca="false">IF($B85=BL$12,$U85,"")</f>
        <v/>
      </c>
      <c r="BM85" s="85" t="str">
        <f aca="false">IF($B85=BM$12,$U85,"")</f>
        <v/>
      </c>
      <c r="BN85" s="85" t="str">
        <f aca="false">IF($B85=BN$12,$U85,"")</f>
        <v/>
      </c>
      <c r="BO85" s="85" t="str">
        <f aca="false">IF($B85=BO$12,$U85,"")</f>
        <v/>
      </c>
      <c r="BP85" s="85" t="str">
        <f aca="false">IF($B85=BP$12,$U85,"")</f>
        <v/>
      </c>
      <c r="BQ85" s="85" t="str">
        <f aca="false">IF($B85=BQ$12,$U85,"")</f>
        <v/>
      </c>
      <c r="BR85" s="85" t="str">
        <f aca="false">IF($B85=BR$12,$U85,"")</f>
        <v/>
      </c>
      <c r="BS85" s="85" t="str">
        <f aca="false">IF($B85=BS$12,$U85,"")</f>
        <v/>
      </c>
      <c r="BT85" s="85" t="str">
        <f aca="false">IF($B85=BT$12,$U85,"")</f>
        <v/>
      </c>
      <c r="BU85" s="85" t="str">
        <f aca="false">IF($B85=BU$12,$U85,"")</f>
        <v/>
      </c>
      <c r="BV85" s="85" t="str">
        <f aca="false">IF($B85=BV$12,$U85,"")</f>
        <v/>
      </c>
      <c r="BW85" s="85" t="str">
        <f aca="false">IF($B85=BW$12,$U85,"")</f>
        <v/>
      </c>
      <c r="BX85" s="85" t="str">
        <f aca="false">IF($B85=BX$12,$U85,"")</f>
        <v/>
      </c>
      <c r="BY85" s="85" t="str">
        <f aca="false">IF($B85=BY$12,$U85,"")</f>
        <v/>
      </c>
      <c r="BZ85" s="85" t="str">
        <f aca="false">IF($B85=BZ$12,$U85,"")</f>
        <v/>
      </c>
      <c r="CA85" s="85" t="str">
        <f aca="false">IF($B85=CA$12,$U85,"")</f>
        <v/>
      </c>
      <c r="CB85" s="85" t="str">
        <f aca="false">IF($B85=CB$12,$U85,"")</f>
        <v/>
      </c>
      <c r="CC85" s="85" t="str">
        <f aca="false">IF($B85=CC$12,$U85,"")</f>
        <v/>
      </c>
      <c r="CD85" s="85" t="str">
        <f aca="false">IF($B85=CD$12,$U85,"")</f>
        <v/>
      </c>
      <c r="CE85" s="85" t="str">
        <f aca="false">IF($B85=CE$12,$U85,"")</f>
        <v/>
      </c>
      <c r="CF85" s="85" t="str">
        <f aca="false">IF($B85=CF$12,$U85,"")</f>
        <v/>
      </c>
      <c r="CG85" s="85" t="str">
        <f aca="false">IF($B85=CG$12,$U85,"")</f>
        <v/>
      </c>
      <c r="CH85" s="85" t="str">
        <f aca="false">IF($B85=CH$12,$U85,"")</f>
        <v/>
      </c>
      <c r="CI85" s="85" t="str">
        <f aca="false">IF($B85=CI$12,$U85,"")</f>
        <v/>
      </c>
      <c r="CJ85" s="85" t="str">
        <f aca="false">IF($B85=CJ$12,$U85,"")</f>
        <v/>
      </c>
      <c r="CK85" s="85" t="str">
        <f aca="false">IF($B85=CK$12,$U85,"")</f>
        <v/>
      </c>
      <c r="CL85" s="85" t="str">
        <f aca="false">IF($B85=CL$12,$U85,"")</f>
        <v/>
      </c>
      <c r="CM85" s="85" t="str">
        <f aca="false">IF($B85=CM$12,$U85,"")</f>
        <v/>
      </c>
      <c r="CN85" s="85" t="str">
        <f aca="false">IF($B85=CN$12,$U85,"")</f>
        <v/>
      </c>
      <c r="CO85" s="85" t="str">
        <f aca="false">IF($B85=CO$12,$U85,"")</f>
        <v/>
      </c>
      <c r="CP85" s="85" t="str">
        <f aca="false">IF($B85=CP$12,$U85,"")</f>
        <v/>
      </c>
      <c r="CQ85" s="85" t="str">
        <f aca="false">IF($B85=CQ$12,$U85,"")</f>
        <v/>
      </c>
      <c r="CR85" s="85" t="str">
        <f aca="false">IF($B85=CR$12,$U85,"")</f>
        <v/>
      </c>
      <c r="CS85" s="85" t="str">
        <f aca="false">IF($B85=CS$12,$U85,"")</f>
        <v/>
      </c>
      <c r="CT85" s="85" t="str">
        <f aca="false">IF($B85=CT$12,$U85,"")</f>
        <v/>
      </c>
      <c r="CU85" s="85" t="str">
        <f aca="false">IF($B85=CU$12,$U85,"")</f>
        <v/>
      </c>
      <c r="CV85" s="85" t="str">
        <f aca="false">IF($B85=CV$12,$U85,"")</f>
        <v/>
      </c>
      <c r="CW85" s="85" t="str">
        <f aca="false">IF($B85=CW$12,$U85,"")</f>
        <v/>
      </c>
      <c r="CX85" s="85" t="str">
        <f aca="false">IF($B85=CX$12,$U85,"")</f>
        <v/>
      </c>
      <c r="CY85" s="85" t="str">
        <f aca="false">IF($B85=CY$12,$U85,"")</f>
        <v/>
      </c>
      <c r="CZ85" s="85" t="str">
        <f aca="false">IF($B85=CZ$12,$U85,"")</f>
        <v/>
      </c>
      <c r="DA85" s="85" t="str">
        <f aca="false">IF($B85=DA$12,$U85,"")</f>
        <v/>
      </c>
      <c r="DB85" s="85" t="str">
        <f aca="false">IF($B85=DB$12,$U85,"")</f>
        <v/>
      </c>
      <c r="DC85" s="85" t="str">
        <f aca="false">IF($B85=DC$12,$U85,"")</f>
        <v/>
      </c>
      <c r="DD85" s="85" t="str">
        <f aca="false">IF($B85=DD$12,$U85,"")</f>
        <v/>
      </c>
      <c r="DE85" s="85" t="str">
        <f aca="false">IF($B85=DE$12,$U85,"")</f>
        <v/>
      </c>
      <c r="DF85" s="85" t="str">
        <f aca="false">IF($B85=DF$12,$U85,"")</f>
        <v/>
      </c>
      <c r="DG85" s="85" t="str">
        <f aca="false">IF($B85=DG$12,$U85,"")</f>
        <v/>
      </c>
      <c r="DH85" s="85" t="str">
        <f aca="false">IF($B85=DH$12,$U85,"")</f>
        <v/>
      </c>
      <c r="DI85" s="85" t="str">
        <f aca="false">IF($B85=DI$12,$U85,"")</f>
        <v/>
      </c>
      <c r="DJ85" s="85" t="str">
        <f aca="false">IF($B85=DJ$12,$U85,"")</f>
        <v/>
      </c>
      <c r="DK85" s="85" t="str">
        <f aca="false">IF($B85=DK$12,$U85,"")</f>
        <v/>
      </c>
      <c r="DL85" s="85" t="str">
        <f aca="false">IF($B85=DL$12,$U85,"")</f>
        <v/>
      </c>
      <c r="DM85" s="85" t="str">
        <f aca="false">IF($B85=DM$12,$U85,"")</f>
        <v/>
      </c>
      <c r="DN85" s="85" t="str">
        <f aca="false">IF($B85=DN$12,$U85,"")</f>
        <v/>
      </c>
      <c r="DO85" s="85" t="str">
        <f aca="false">IF($B85=DO$12,$U85,"")</f>
        <v/>
      </c>
      <c r="DP85" s="85" t="str">
        <f aca="false">IF($B85=DP$12,$U85,"")</f>
        <v/>
      </c>
      <c r="DQ85" s="85" t="str">
        <f aca="false">IF($B85=DQ$12,$U85,"")</f>
        <v/>
      </c>
      <c r="DR85" s="85" t="str">
        <f aca="false">IF($B85=DR$12,$U85,"")</f>
        <v/>
      </c>
      <c r="DS85" s="85" t="str">
        <f aca="false">IF($B85=DS$12,$U85,"")</f>
        <v/>
      </c>
      <c r="DT85" s="86" t="str">
        <f aca="false">IF($B85=DT$12,$U85,"")</f>
        <v/>
      </c>
      <c r="DU85" s="55"/>
      <c r="DV85" s="83"/>
      <c r="DW85" s="87" t="str">
        <f aca="false">IF($B85=DW$12,$O85,"")</f>
        <v/>
      </c>
      <c r="DX85" s="88" t="str">
        <f aca="false">IF($B85=DX$12,$O85,"")</f>
        <v/>
      </c>
      <c r="DY85" s="88" t="str">
        <f aca="false">IF($B85=DY$12,$O85,"")</f>
        <v/>
      </c>
      <c r="DZ85" s="88" t="str">
        <f aca="false">IF($B85=DZ$12,$O85,"")</f>
        <v/>
      </c>
      <c r="EA85" s="88" t="str">
        <f aca="false">IF($B85=EA$12,$O85,"")</f>
        <v/>
      </c>
      <c r="EB85" s="88" t="str">
        <f aca="false">IF($B85=EB$12,$O85,"")</f>
        <v/>
      </c>
      <c r="EC85" s="88" t="str">
        <f aca="false">IF($B85=EC$12,$O85,"")</f>
        <v/>
      </c>
      <c r="ED85" s="88" t="str">
        <f aca="false">IF($B85=ED$12,$O85,"")</f>
        <v/>
      </c>
      <c r="EE85" s="88" t="str">
        <f aca="false">IF($B85=EE$12,$O85,"")</f>
        <v/>
      </c>
      <c r="EF85" s="88" t="str">
        <f aca="false">IF($B85=EF$12,$O85,"")</f>
        <v/>
      </c>
      <c r="EG85" s="88" t="str">
        <f aca="false">IF($B85=EG$12,$O85,"")</f>
        <v/>
      </c>
      <c r="EH85" s="88" t="str">
        <f aca="false">IF($B85=EH$12,$O85,"")</f>
        <v/>
      </c>
      <c r="EI85" s="88" t="str">
        <f aca="false">IF($B85=EI$12,$O85,"")</f>
        <v/>
      </c>
      <c r="EJ85" s="88" t="str">
        <f aca="false">IF($B85=EJ$12,$O85,"")</f>
        <v/>
      </c>
      <c r="EK85" s="88" t="str">
        <f aca="false">IF($B85=EK$12,$O85,"")</f>
        <v/>
      </c>
      <c r="EL85" s="88" t="str">
        <f aca="false">IF($B85=EL$12,$O85,"")</f>
        <v/>
      </c>
      <c r="EM85" s="88" t="str">
        <f aca="false">IF($B85=EM$12,$O85,"")</f>
        <v/>
      </c>
      <c r="EN85" s="88" t="str">
        <f aca="false">IF($B85=EN$12,$O85,"")</f>
        <v/>
      </c>
      <c r="EO85" s="88" t="str">
        <f aca="false">IF($B85=EO$12,$O85,"")</f>
        <v/>
      </c>
      <c r="EP85" s="88" t="str">
        <f aca="false">IF($B85=EP$12,$O85,"")</f>
        <v/>
      </c>
      <c r="EQ85" s="88" t="str">
        <f aca="false">IF($B85=EQ$12,$O85,"")</f>
        <v/>
      </c>
      <c r="ER85" s="88" t="str">
        <f aca="false">IF($B85=ER$12,$O85,"")</f>
        <v/>
      </c>
      <c r="ES85" s="88" t="str">
        <f aca="false">IF($B85=ES$12,$O85,"")</f>
        <v/>
      </c>
      <c r="ET85" s="88" t="str">
        <f aca="false">IF($B85=ET$12,$O85,"")</f>
        <v/>
      </c>
      <c r="EU85" s="88" t="str">
        <f aca="false">IF($B85=EU$12,$O85,"")</f>
        <v/>
      </c>
      <c r="EV85" s="88" t="str">
        <f aca="false">IF($B85=EV$12,$O85,"")</f>
        <v/>
      </c>
      <c r="EW85" s="88" t="str">
        <f aca="false">IF($B85=EW$12,$O85,"")</f>
        <v/>
      </c>
      <c r="EX85" s="88" t="str">
        <f aca="false">IF($B85=EX$12,$O85,"")</f>
        <v/>
      </c>
      <c r="EY85" s="88" t="str">
        <f aca="false">IF($B85=EY$12,$O85,"")</f>
        <v/>
      </c>
      <c r="EZ85" s="88" t="str">
        <f aca="false">IF($B85=EZ$12,$O85,"")</f>
        <v/>
      </c>
      <c r="FA85" s="88" t="str">
        <f aca="false">IF($B85=FA$12,$O85,"")</f>
        <v/>
      </c>
      <c r="FB85" s="88" t="str">
        <f aca="false">IF($B85=FB$12,$O85,"")</f>
        <v/>
      </c>
      <c r="FC85" s="88" t="str">
        <f aca="false">IF($B85=FC$12,$O85,"")</f>
        <v/>
      </c>
      <c r="FD85" s="88" t="str">
        <f aca="false">IF($B85=FD$12,$O85,"")</f>
        <v/>
      </c>
      <c r="FE85" s="88" t="str">
        <f aca="false">IF($B85=FE$12,$O85,"")</f>
        <v/>
      </c>
      <c r="FF85" s="88" t="str">
        <f aca="false">IF($B85=FF$12,$O85,"")</f>
        <v/>
      </c>
      <c r="FG85" s="88" t="str">
        <f aca="false">IF($B85=FG$12,$O85,"")</f>
        <v/>
      </c>
      <c r="FH85" s="88" t="str">
        <f aca="false">IF($B85=FH$12,$O85,"")</f>
        <v/>
      </c>
      <c r="FI85" s="88" t="str">
        <f aca="false">IF($B85=FI$12,$O85,"")</f>
        <v/>
      </c>
      <c r="FJ85" s="88" t="str">
        <f aca="false">IF($B85=FJ$12,$O85,"")</f>
        <v/>
      </c>
      <c r="FK85" s="88" t="str">
        <f aca="false">IF($B85=FK$12,$O85,"")</f>
        <v/>
      </c>
      <c r="FL85" s="88" t="str">
        <f aca="false">IF($B85=FL$12,$O85,"")</f>
        <v/>
      </c>
      <c r="FM85" s="88" t="str">
        <f aca="false">IF($B85=FM$12,$O85,"")</f>
        <v/>
      </c>
      <c r="FN85" s="88" t="str">
        <f aca="false">IF($B85=FN$12,$O85,"")</f>
        <v/>
      </c>
      <c r="FO85" s="88" t="str">
        <f aca="false">IF($B85=FO$12,$O85,"")</f>
        <v/>
      </c>
      <c r="FP85" s="88" t="str">
        <f aca="false">IF($B85=FP$12,$O85,"")</f>
        <v/>
      </c>
      <c r="FQ85" s="88" t="str">
        <f aca="false">IF($B85=FQ$12,$O85,"")</f>
        <v/>
      </c>
      <c r="FR85" s="88" t="str">
        <f aca="false">IF($B85=FR$12,$O85,"")</f>
        <v/>
      </c>
      <c r="FS85" s="88" t="str">
        <f aca="false">IF($B85=FS$12,$O85,"")</f>
        <v/>
      </c>
      <c r="FT85" s="88" t="str">
        <f aca="false">IF($B85=FT$12,$O85,"")</f>
        <v/>
      </c>
      <c r="FU85" s="88" t="str">
        <f aca="false">IF($B85=FU$12,$O85,"")</f>
        <v/>
      </c>
      <c r="FV85" s="88" t="str">
        <f aca="false">IF($B85=FV$12,$O85,"")</f>
        <v/>
      </c>
      <c r="FW85" s="88" t="str">
        <f aca="false">IF($B85=FW$12,$O85,"")</f>
        <v/>
      </c>
      <c r="FX85" s="88" t="str">
        <f aca="false">IF($B85=FX$12,$O85,"")</f>
        <v/>
      </c>
      <c r="FY85" s="88" t="str">
        <f aca="false">IF($B85=FY$12,$O85,"")</f>
        <v/>
      </c>
      <c r="FZ85" s="88" t="str">
        <f aca="false">IF($B85=FZ$12,$O85,"")</f>
        <v/>
      </c>
      <c r="GA85" s="88" t="str">
        <f aca="false">IF($B85=GA$12,$O85,"")</f>
        <v/>
      </c>
      <c r="GB85" s="88" t="str">
        <f aca="false">IF($B85=GB$12,$O85,"")</f>
        <v/>
      </c>
      <c r="GC85" s="88" t="str">
        <f aca="false">IF($B85=GC$12,$O85,"")</f>
        <v/>
      </c>
      <c r="GD85" s="88" t="str">
        <f aca="false">IF($B85=GD$12,$O85,"")</f>
        <v/>
      </c>
      <c r="GE85" s="88" t="str">
        <f aca="false">IF($B85=GE$12,$O85,"")</f>
        <v/>
      </c>
      <c r="GF85" s="88" t="str">
        <f aca="false">IF($B85=GF$12,$O85,"")</f>
        <v/>
      </c>
      <c r="GG85" s="88" t="str">
        <f aca="false">IF($B85=GG$12,$O85,"")</f>
        <v/>
      </c>
      <c r="GH85" s="88" t="str">
        <f aca="false">IF($B85=GH$12,$O85,"")</f>
        <v/>
      </c>
      <c r="GI85" s="88" t="str">
        <f aca="false">IF($B85=GI$12,$O85,"")</f>
        <v/>
      </c>
      <c r="GJ85" s="88" t="str">
        <f aca="false">IF($B85=GJ$12,$O85,"")</f>
        <v/>
      </c>
      <c r="GK85" s="88" t="str">
        <f aca="false">IF($B85=GK$12,$O85,"")</f>
        <v/>
      </c>
      <c r="GL85" s="88" t="str">
        <f aca="false">IF($B85=GL$12,$O85,"")</f>
        <v/>
      </c>
      <c r="GM85" s="88" t="str">
        <f aca="false">IF($B85=GM$12,$O85,"")</f>
        <v/>
      </c>
      <c r="GN85" s="88" t="str">
        <f aca="false">IF($B85=GN$12,$O85,"")</f>
        <v/>
      </c>
      <c r="GO85" s="88" t="str">
        <f aca="false">IF($B85=GO$12,$O85,"")</f>
        <v/>
      </c>
      <c r="GP85" s="88" t="str">
        <f aca="false">IF($B85=GP$12,$O85,"")</f>
        <v/>
      </c>
      <c r="GQ85" s="88" t="str">
        <f aca="false">IF($B85=GQ$12,$O85,"")</f>
        <v/>
      </c>
      <c r="GR85" s="88" t="str">
        <f aca="false">IF($B85=GR$12,$O85,"")</f>
        <v/>
      </c>
      <c r="GS85" s="88" t="str">
        <f aca="false">IF($B85=GS$12,$O85,"")</f>
        <v/>
      </c>
      <c r="GT85" s="88" t="str">
        <f aca="false">IF($B85=GT$12,$O85,"")</f>
        <v/>
      </c>
      <c r="GU85" s="88" t="str">
        <f aca="false">IF($B85=GU$12,$O85,"")</f>
        <v/>
      </c>
      <c r="GV85" s="88" t="str">
        <f aca="false">IF($B85=GV$12,$O85,"")</f>
        <v/>
      </c>
      <c r="GW85" s="88" t="str">
        <f aca="false">IF($B85=GW$12,$O85,"")</f>
        <v/>
      </c>
      <c r="GX85" s="88" t="str">
        <f aca="false">IF($B85=GX$12,$O85,"")</f>
        <v/>
      </c>
      <c r="GY85" s="88" t="str">
        <f aca="false">IF($B85=GY$12,$O85,"")</f>
        <v/>
      </c>
      <c r="GZ85" s="88" t="str">
        <f aca="false">IF($B85=GZ$12,$O85,"")</f>
        <v/>
      </c>
      <c r="HA85" s="88" t="str">
        <f aca="false">IF($B85=HA$12,$O85,"")</f>
        <v/>
      </c>
      <c r="HB85" s="88" t="str">
        <f aca="false">IF($B85=HB$12,$O85,"")</f>
        <v/>
      </c>
      <c r="HC85" s="88" t="str">
        <f aca="false">IF($B85=HC$12,$O85,"")</f>
        <v/>
      </c>
      <c r="HD85" s="88" t="str">
        <f aca="false">IF($B85=HD$12,$O85,"")</f>
        <v/>
      </c>
      <c r="HE85" s="88" t="str">
        <f aca="false">IF($B85=HE$12,$O85,"")</f>
        <v/>
      </c>
      <c r="HF85" s="88" t="str">
        <f aca="false">IF($B85=HF$12,$O85,"")</f>
        <v/>
      </c>
      <c r="HG85" s="88" t="str">
        <f aca="false">IF($B85=HG$12,$O85,"")</f>
        <v/>
      </c>
      <c r="HH85" s="88" t="str">
        <f aca="false">IF($B85=HH$12,$O85,"")</f>
        <v/>
      </c>
      <c r="HI85" s="88" t="str">
        <f aca="false">IF($B85=HI$12,$O85,"")</f>
        <v/>
      </c>
      <c r="HJ85" s="88" t="str">
        <f aca="false">IF($B85=HJ$12,$O85,"")</f>
        <v/>
      </c>
      <c r="HK85" s="88" t="str">
        <f aca="false">IF($B85=HK$12,$O85,"")</f>
        <v/>
      </c>
      <c r="HL85" s="88" t="str">
        <f aca="false">IF($B85=HL$12,$O85,"")</f>
        <v/>
      </c>
      <c r="HM85" s="88" t="str">
        <f aca="false">IF($B85=HM$12,$O85,"")</f>
        <v/>
      </c>
      <c r="HN85" s="88" t="str">
        <f aca="false">IF($B85=HN$12,$O85,"")</f>
        <v/>
      </c>
      <c r="HO85" s="88" t="str">
        <f aca="false">IF($B85=HO$12,$O85,"")</f>
        <v/>
      </c>
      <c r="HP85" s="88" t="str">
        <f aca="false">IF($B85=HP$12,$O85,"")</f>
        <v/>
      </c>
      <c r="HQ85" s="88" t="str">
        <f aca="false">IF($B85=HQ$12,$O85,"")</f>
        <v/>
      </c>
      <c r="HR85" s="89" t="str">
        <f aca="false">IF($B85=HR$12,$O85,"")</f>
        <v/>
      </c>
    </row>
    <row r="86" customFormat="false" ht="10.5" hidden="false" customHeight="true" outlineLevel="0" collapsed="false">
      <c r="A86" s="73"/>
      <c r="B86" s="74"/>
      <c r="C86" s="75" t="str">
        <f aca="false">IF(A86=0,"",VLOOKUP(A86,[3]CO!$A$3:$F$5311,2,0))</f>
        <v/>
      </c>
      <c r="D86" s="76"/>
      <c r="E86" s="76"/>
      <c r="F86" s="76"/>
      <c r="G86" s="77" t="str">
        <f aca="false">IF(A86=0,"",VLOOKUP(A86,[3]CO!$A$3:$F$5311,3,0))</f>
        <v/>
      </c>
      <c r="H86" s="76"/>
      <c r="I86" s="78"/>
      <c r="J86" s="78"/>
      <c r="K86" s="78"/>
      <c r="L86" s="78"/>
      <c r="M86" s="79" t="str">
        <f aca="false">IF(L86=0,"",PRODUCT(I86:L86))</f>
        <v/>
      </c>
      <c r="N86" s="79" t="str">
        <f aca="false">IF(B86=0,"",IF(H86="M",HLOOKUP(B86,$Y$12:$DT$13,2),IF(A86=0,"",VLOOKUP(A86,[3]CO!$A$3:$F$5311,4,0))))</f>
        <v/>
      </c>
      <c r="O86" s="79" t="str">
        <f aca="false">IF(L86=0,"",PRODUCT(M86:N86))</f>
        <v/>
      </c>
      <c r="P86" s="80"/>
      <c r="Q86" s="81" t="str">
        <f aca="false">IF(P86=0,"",(HLOOKUP(P86,$DW$12:$HR$13,2)))</f>
        <v/>
      </c>
      <c r="R86" s="82" t="str">
        <f aca="false">IF(S86=0,"",IF(OR(G86="PEON",G86="OF",G86="JARD",G86="CARP",G86="MAESTRO",G86="SOLD",G86="BGRO",G86="CHOFER",G86="AYTE",G86="S.INTTE.",G86="ASEO",G86="P.PISOS",G86="VELADOR",G86="RESID",G86="PINTOR",G86="ELECT",G86="AZULE",G86="AUX CONT.",G86="SECRETARIA",G86="AUXILIAR ADMTVO.",G86="ARQUITECTO",G86="DIBUJANTE",G86="AUX. DE RESIDENTE"),VLOOKUP(B86,P$14:Q$131,2),"")*S86)</f>
        <v/>
      </c>
      <c r="S86" s="5"/>
      <c r="T86" s="65" t="str">
        <f aca="false">IF(A86=0,"",VLOOKUP(A86,[3]CO!$A$3:$F$5302,5,0))</f>
        <v/>
      </c>
      <c r="U86" s="55" t="n">
        <f aca="false">IF(T86=1,O86*0.1,)</f>
        <v>0</v>
      </c>
      <c r="V86" s="66"/>
      <c r="W86" s="83"/>
      <c r="X86" s="83"/>
      <c r="Y86" s="84" t="str">
        <f aca="false">IF($B86=Y$12,$U86,"")</f>
        <v/>
      </c>
      <c r="Z86" s="85" t="str">
        <f aca="false">IF($B86=Z$12,$U86,"")</f>
        <v/>
      </c>
      <c r="AA86" s="85" t="str">
        <f aca="false">IF($B86=AA$12,$U86,"")</f>
        <v/>
      </c>
      <c r="AB86" s="85" t="str">
        <f aca="false">IF($B86=AB$12,$U86,"")</f>
        <v/>
      </c>
      <c r="AC86" s="85" t="str">
        <f aca="false">IF($B86=AC$12,$U86,"")</f>
        <v/>
      </c>
      <c r="AD86" s="85" t="str">
        <f aca="false">IF($B86=AD$12,$U86,"")</f>
        <v/>
      </c>
      <c r="AE86" s="85" t="str">
        <f aca="false">IF($B86=AE$12,$U86,"")</f>
        <v/>
      </c>
      <c r="AF86" s="85" t="str">
        <f aca="false">IF($B86=AF$12,$U86,"")</f>
        <v/>
      </c>
      <c r="AG86" s="85" t="str">
        <f aca="false">IF($B86=AG$12,$U86,"")</f>
        <v/>
      </c>
      <c r="AH86" s="85" t="str">
        <f aca="false">IF($B86=AH$12,$U86,"")</f>
        <v/>
      </c>
      <c r="AI86" s="85" t="str">
        <f aca="false">IF($B86=AI$12,$U86,"")</f>
        <v/>
      </c>
      <c r="AJ86" s="85" t="str">
        <f aca="false">IF($B86=AJ$12,$U86,"")</f>
        <v/>
      </c>
      <c r="AK86" s="85" t="str">
        <f aca="false">IF($B86=AK$12,$U86,"")</f>
        <v/>
      </c>
      <c r="AL86" s="85" t="str">
        <f aca="false">IF($B86=AL$12,$U86,"")</f>
        <v/>
      </c>
      <c r="AM86" s="85" t="str">
        <f aca="false">IF($B86=AM$12,$U86,"")</f>
        <v/>
      </c>
      <c r="AN86" s="85" t="str">
        <f aca="false">IF($B86=AN$12,$U86,"")</f>
        <v/>
      </c>
      <c r="AO86" s="85" t="str">
        <f aca="false">IF($B86=AO$12,$U86,"")</f>
        <v/>
      </c>
      <c r="AP86" s="85" t="str">
        <f aca="false">IF($B86=AP$12,$U86,"")</f>
        <v/>
      </c>
      <c r="AQ86" s="85" t="str">
        <f aca="false">IF($B86=AQ$12,$U86,"")</f>
        <v/>
      </c>
      <c r="AR86" s="85" t="str">
        <f aca="false">IF($B86=AR$12,$U86,"")</f>
        <v/>
      </c>
      <c r="AS86" s="85" t="str">
        <f aca="false">IF($B86=AS$12,$U86,"")</f>
        <v/>
      </c>
      <c r="AT86" s="85" t="str">
        <f aca="false">IF($B86=AT$12,$U86,"")</f>
        <v/>
      </c>
      <c r="AU86" s="85" t="str">
        <f aca="false">IF($B86=AU$12,$U86,"")</f>
        <v/>
      </c>
      <c r="AV86" s="85" t="str">
        <f aca="false">IF($B86=AV$12,$U86,"")</f>
        <v/>
      </c>
      <c r="AW86" s="85" t="str">
        <f aca="false">IF($B86=AW$12,$U86,"")</f>
        <v/>
      </c>
      <c r="AX86" s="85" t="str">
        <f aca="false">IF($B86=AX$12,$U86,"")</f>
        <v/>
      </c>
      <c r="AY86" s="85" t="str">
        <f aca="false">IF($B86=AY$12,$U86,"")</f>
        <v/>
      </c>
      <c r="AZ86" s="85" t="str">
        <f aca="false">IF($B86=AZ$12,$U86,"")</f>
        <v/>
      </c>
      <c r="BA86" s="85" t="str">
        <f aca="false">IF($B86=BA$12,$U86,"")</f>
        <v/>
      </c>
      <c r="BB86" s="85" t="str">
        <f aca="false">IF($B86=BB$12,$U86,"")</f>
        <v/>
      </c>
      <c r="BC86" s="85" t="str">
        <f aca="false">IF($B86=BC$12,$U86,"")</f>
        <v/>
      </c>
      <c r="BD86" s="85" t="str">
        <f aca="false">IF($B86=BD$12,$U86,"")</f>
        <v/>
      </c>
      <c r="BE86" s="85" t="str">
        <f aca="false">IF($B86=BE$12,$U86,"")</f>
        <v/>
      </c>
      <c r="BF86" s="85" t="str">
        <f aca="false">IF($B86=BF$12,$U86,"")</f>
        <v/>
      </c>
      <c r="BG86" s="85" t="str">
        <f aca="false">IF($B86=BG$12,$U86,"")</f>
        <v/>
      </c>
      <c r="BH86" s="85" t="str">
        <f aca="false">IF($B86=BH$12,$U86,"")</f>
        <v/>
      </c>
      <c r="BI86" s="85" t="str">
        <f aca="false">IF($B86=BI$12,$U86,"")</f>
        <v/>
      </c>
      <c r="BJ86" s="85" t="str">
        <f aca="false">IF($B86=BJ$12,$U86,"")</f>
        <v/>
      </c>
      <c r="BK86" s="85" t="str">
        <f aca="false">IF($B86=BK$12,$U86,"")</f>
        <v/>
      </c>
      <c r="BL86" s="85" t="str">
        <f aca="false">IF($B86=BL$12,$U86,"")</f>
        <v/>
      </c>
      <c r="BM86" s="85" t="str">
        <f aca="false">IF($B86=BM$12,$U86,"")</f>
        <v/>
      </c>
      <c r="BN86" s="85" t="str">
        <f aca="false">IF($B86=BN$12,$U86,"")</f>
        <v/>
      </c>
      <c r="BO86" s="85" t="str">
        <f aca="false">IF($B86=BO$12,$U86,"")</f>
        <v/>
      </c>
      <c r="BP86" s="85" t="str">
        <f aca="false">IF($B86=BP$12,$U86,"")</f>
        <v/>
      </c>
      <c r="BQ86" s="85" t="str">
        <f aca="false">IF($B86=BQ$12,$U86,"")</f>
        <v/>
      </c>
      <c r="BR86" s="85" t="str">
        <f aca="false">IF($B86=BR$12,$U86,"")</f>
        <v/>
      </c>
      <c r="BS86" s="85" t="str">
        <f aca="false">IF($B86=BS$12,$U86,"")</f>
        <v/>
      </c>
      <c r="BT86" s="85" t="str">
        <f aca="false">IF($B86=BT$12,$U86,"")</f>
        <v/>
      </c>
      <c r="BU86" s="85" t="str">
        <f aca="false">IF($B86=BU$12,$U86,"")</f>
        <v/>
      </c>
      <c r="BV86" s="85" t="str">
        <f aca="false">IF($B86=BV$12,$U86,"")</f>
        <v/>
      </c>
      <c r="BW86" s="85" t="str">
        <f aca="false">IF($B86=BW$12,$U86,"")</f>
        <v/>
      </c>
      <c r="BX86" s="85" t="str">
        <f aca="false">IF($B86=BX$12,$U86,"")</f>
        <v/>
      </c>
      <c r="BY86" s="85" t="str">
        <f aca="false">IF($B86=BY$12,$U86,"")</f>
        <v/>
      </c>
      <c r="BZ86" s="85" t="str">
        <f aca="false">IF($B86=BZ$12,$U86,"")</f>
        <v/>
      </c>
      <c r="CA86" s="85" t="str">
        <f aca="false">IF($B86=CA$12,$U86,"")</f>
        <v/>
      </c>
      <c r="CB86" s="85" t="str">
        <f aca="false">IF($B86=CB$12,$U86,"")</f>
        <v/>
      </c>
      <c r="CC86" s="85" t="str">
        <f aca="false">IF($B86=CC$12,$U86,"")</f>
        <v/>
      </c>
      <c r="CD86" s="85" t="str">
        <f aca="false">IF($B86=CD$12,$U86,"")</f>
        <v/>
      </c>
      <c r="CE86" s="85" t="str">
        <f aca="false">IF($B86=CE$12,$U86,"")</f>
        <v/>
      </c>
      <c r="CF86" s="85" t="str">
        <f aca="false">IF($B86=CF$12,$U86,"")</f>
        <v/>
      </c>
      <c r="CG86" s="85" t="str">
        <f aca="false">IF($B86=CG$12,$U86,"")</f>
        <v/>
      </c>
      <c r="CH86" s="85" t="str">
        <f aca="false">IF($B86=CH$12,$U86,"")</f>
        <v/>
      </c>
      <c r="CI86" s="85" t="str">
        <f aca="false">IF($B86=CI$12,$U86,"")</f>
        <v/>
      </c>
      <c r="CJ86" s="85" t="str">
        <f aca="false">IF($B86=CJ$12,$U86,"")</f>
        <v/>
      </c>
      <c r="CK86" s="85" t="str">
        <f aca="false">IF($B86=CK$12,$U86,"")</f>
        <v/>
      </c>
      <c r="CL86" s="85" t="str">
        <f aca="false">IF($B86=CL$12,$U86,"")</f>
        <v/>
      </c>
      <c r="CM86" s="85" t="str">
        <f aca="false">IF($B86=CM$12,$U86,"")</f>
        <v/>
      </c>
      <c r="CN86" s="85" t="str">
        <f aca="false">IF($B86=CN$12,$U86,"")</f>
        <v/>
      </c>
      <c r="CO86" s="85" t="str">
        <f aca="false">IF($B86=CO$12,$U86,"")</f>
        <v/>
      </c>
      <c r="CP86" s="85" t="str">
        <f aca="false">IF($B86=CP$12,$U86,"")</f>
        <v/>
      </c>
      <c r="CQ86" s="85" t="str">
        <f aca="false">IF($B86=CQ$12,$U86,"")</f>
        <v/>
      </c>
      <c r="CR86" s="85" t="str">
        <f aca="false">IF($B86=CR$12,$U86,"")</f>
        <v/>
      </c>
      <c r="CS86" s="85" t="str">
        <f aca="false">IF($B86=CS$12,$U86,"")</f>
        <v/>
      </c>
      <c r="CT86" s="85" t="str">
        <f aca="false">IF($B86=CT$12,$U86,"")</f>
        <v/>
      </c>
      <c r="CU86" s="85" t="str">
        <f aca="false">IF($B86=CU$12,$U86,"")</f>
        <v/>
      </c>
      <c r="CV86" s="85" t="str">
        <f aca="false">IF($B86=CV$12,$U86,"")</f>
        <v/>
      </c>
      <c r="CW86" s="85" t="str">
        <f aca="false">IF($B86=CW$12,$U86,"")</f>
        <v/>
      </c>
      <c r="CX86" s="85" t="str">
        <f aca="false">IF($B86=CX$12,$U86,"")</f>
        <v/>
      </c>
      <c r="CY86" s="85" t="str">
        <f aca="false">IF($B86=CY$12,$U86,"")</f>
        <v/>
      </c>
      <c r="CZ86" s="85" t="str">
        <f aca="false">IF($B86=CZ$12,$U86,"")</f>
        <v/>
      </c>
      <c r="DA86" s="85" t="str">
        <f aca="false">IF($B86=DA$12,$U86,"")</f>
        <v/>
      </c>
      <c r="DB86" s="85" t="str">
        <f aca="false">IF($B86=DB$12,$U86,"")</f>
        <v/>
      </c>
      <c r="DC86" s="85" t="str">
        <f aca="false">IF($B86=DC$12,$U86,"")</f>
        <v/>
      </c>
      <c r="DD86" s="85" t="str">
        <f aca="false">IF($B86=DD$12,$U86,"")</f>
        <v/>
      </c>
      <c r="DE86" s="85" t="str">
        <f aca="false">IF($B86=DE$12,$U86,"")</f>
        <v/>
      </c>
      <c r="DF86" s="85" t="str">
        <f aca="false">IF($B86=DF$12,$U86,"")</f>
        <v/>
      </c>
      <c r="DG86" s="85" t="str">
        <f aca="false">IF($B86=DG$12,$U86,"")</f>
        <v/>
      </c>
      <c r="DH86" s="85" t="str">
        <f aca="false">IF($B86=DH$12,$U86,"")</f>
        <v/>
      </c>
      <c r="DI86" s="85" t="str">
        <f aca="false">IF($B86=DI$12,$U86,"")</f>
        <v/>
      </c>
      <c r="DJ86" s="85" t="str">
        <f aca="false">IF($B86=DJ$12,$U86,"")</f>
        <v/>
      </c>
      <c r="DK86" s="85" t="str">
        <f aca="false">IF($B86=DK$12,$U86,"")</f>
        <v/>
      </c>
      <c r="DL86" s="85" t="str">
        <f aca="false">IF($B86=DL$12,$U86,"")</f>
        <v/>
      </c>
      <c r="DM86" s="85" t="str">
        <f aca="false">IF($B86=DM$12,$U86,"")</f>
        <v/>
      </c>
      <c r="DN86" s="85" t="str">
        <f aca="false">IF($B86=DN$12,$U86,"")</f>
        <v/>
      </c>
      <c r="DO86" s="85" t="str">
        <f aca="false">IF($B86=DO$12,$U86,"")</f>
        <v/>
      </c>
      <c r="DP86" s="85" t="str">
        <f aca="false">IF($B86=DP$12,$U86,"")</f>
        <v/>
      </c>
      <c r="DQ86" s="85" t="str">
        <f aca="false">IF($B86=DQ$12,$U86,"")</f>
        <v/>
      </c>
      <c r="DR86" s="85" t="str">
        <f aca="false">IF($B86=DR$12,$U86,"")</f>
        <v/>
      </c>
      <c r="DS86" s="85" t="str">
        <f aca="false">IF($B86=DS$12,$U86,"")</f>
        <v/>
      </c>
      <c r="DT86" s="86" t="str">
        <f aca="false">IF($B86=DT$12,$U86,"")</f>
        <v/>
      </c>
      <c r="DU86" s="55"/>
      <c r="DV86" s="83"/>
      <c r="DW86" s="87" t="str">
        <f aca="false">IF($B86=DW$12,$O86,"")</f>
        <v/>
      </c>
      <c r="DX86" s="88" t="str">
        <f aca="false">IF($B86=DX$12,$O86,"")</f>
        <v/>
      </c>
      <c r="DY86" s="88" t="str">
        <f aca="false">IF($B86=DY$12,$O86,"")</f>
        <v/>
      </c>
      <c r="DZ86" s="88" t="str">
        <f aca="false">IF($B86=DZ$12,$O86,"")</f>
        <v/>
      </c>
      <c r="EA86" s="88" t="str">
        <f aca="false">IF($B86=EA$12,$O86,"")</f>
        <v/>
      </c>
      <c r="EB86" s="88" t="str">
        <f aca="false">IF($B86=EB$12,$O86,"")</f>
        <v/>
      </c>
      <c r="EC86" s="88" t="str">
        <f aca="false">IF($B86=EC$12,$O86,"")</f>
        <v/>
      </c>
      <c r="ED86" s="88" t="str">
        <f aca="false">IF($B86=ED$12,$O86,"")</f>
        <v/>
      </c>
      <c r="EE86" s="88" t="str">
        <f aca="false">IF($B86=EE$12,$O86,"")</f>
        <v/>
      </c>
      <c r="EF86" s="88" t="str">
        <f aca="false">IF($B86=EF$12,$O86,"")</f>
        <v/>
      </c>
      <c r="EG86" s="88" t="str">
        <f aca="false">IF($B86=EG$12,$O86,"")</f>
        <v/>
      </c>
      <c r="EH86" s="88" t="str">
        <f aca="false">IF($B86=EH$12,$O86,"")</f>
        <v/>
      </c>
      <c r="EI86" s="88" t="str">
        <f aca="false">IF($B86=EI$12,$O86,"")</f>
        <v/>
      </c>
      <c r="EJ86" s="88" t="str">
        <f aca="false">IF($B86=EJ$12,$O86,"")</f>
        <v/>
      </c>
      <c r="EK86" s="88" t="str">
        <f aca="false">IF($B86=EK$12,$O86,"")</f>
        <v/>
      </c>
      <c r="EL86" s="88" t="str">
        <f aca="false">IF($B86=EL$12,$O86,"")</f>
        <v/>
      </c>
      <c r="EM86" s="88" t="str">
        <f aca="false">IF($B86=EM$12,$O86,"")</f>
        <v/>
      </c>
      <c r="EN86" s="88" t="str">
        <f aca="false">IF($B86=EN$12,$O86,"")</f>
        <v/>
      </c>
      <c r="EO86" s="88" t="str">
        <f aca="false">IF($B86=EO$12,$O86,"")</f>
        <v/>
      </c>
      <c r="EP86" s="88" t="str">
        <f aca="false">IF($B86=EP$12,$O86,"")</f>
        <v/>
      </c>
      <c r="EQ86" s="88" t="str">
        <f aca="false">IF($B86=EQ$12,$O86,"")</f>
        <v/>
      </c>
      <c r="ER86" s="88" t="str">
        <f aca="false">IF($B86=ER$12,$O86,"")</f>
        <v/>
      </c>
      <c r="ES86" s="88" t="str">
        <f aca="false">IF($B86=ES$12,$O86,"")</f>
        <v/>
      </c>
      <c r="ET86" s="88" t="str">
        <f aca="false">IF($B86=ET$12,$O86,"")</f>
        <v/>
      </c>
      <c r="EU86" s="88" t="str">
        <f aca="false">IF($B86=EU$12,$O86,"")</f>
        <v/>
      </c>
      <c r="EV86" s="88" t="str">
        <f aca="false">IF($B86=EV$12,$O86,"")</f>
        <v/>
      </c>
      <c r="EW86" s="88" t="str">
        <f aca="false">IF($B86=EW$12,$O86,"")</f>
        <v/>
      </c>
      <c r="EX86" s="88" t="str">
        <f aca="false">IF($B86=EX$12,$O86,"")</f>
        <v/>
      </c>
      <c r="EY86" s="88" t="str">
        <f aca="false">IF($B86=EY$12,$O86,"")</f>
        <v/>
      </c>
      <c r="EZ86" s="88" t="str">
        <f aca="false">IF($B86=EZ$12,$O86,"")</f>
        <v/>
      </c>
      <c r="FA86" s="88" t="str">
        <f aca="false">IF($B86=FA$12,$O86,"")</f>
        <v/>
      </c>
      <c r="FB86" s="88" t="str">
        <f aca="false">IF($B86=FB$12,$O86,"")</f>
        <v/>
      </c>
      <c r="FC86" s="88" t="str">
        <f aca="false">IF($B86=FC$12,$O86,"")</f>
        <v/>
      </c>
      <c r="FD86" s="88" t="str">
        <f aca="false">IF($B86=FD$12,$O86,"")</f>
        <v/>
      </c>
      <c r="FE86" s="88" t="str">
        <f aca="false">IF($B86=FE$12,$O86,"")</f>
        <v/>
      </c>
      <c r="FF86" s="88" t="str">
        <f aca="false">IF($B86=FF$12,$O86,"")</f>
        <v/>
      </c>
      <c r="FG86" s="88" t="str">
        <f aca="false">IF($B86=FG$12,$O86,"")</f>
        <v/>
      </c>
      <c r="FH86" s="88" t="str">
        <f aca="false">IF($B86=FH$12,$O86,"")</f>
        <v/>
      </c>
      <c r="FI86" s="88" t="str">
        <f aca="false">IF($B86=FI$12,$O86,"")</f>
        <v/>
      </c>
      <c r="FJ86" s="88" t="str">
        <f aca="false">IF($B86=FJ$12,$O86,"")</f>
        <v/>
      </c>
      <c r="FK86" s="88" t="str">
        <f aca="false">IF($B86=FK$12,$O86,"")</f>
        <v/>
      </c>
      <c r="FL86" s="88" t="str">
        <f aca="false">IF($B86=FL$12,$O86,"")</f>
        <v/>
      </c>
      <c r="FM86" s="88" t="str">
        <f aca="false">IF($B86=FM$12,$O86,"")</f>
        <v/>
      </c>
      <c r="FN86" s="88" t="str">
        <f aca="false">IF($B86=FN$12,$O86,"")</f>
        <v/>
      </c>
      <c r="FO86" s="88" t="str">
        <f aca="false">IF($B86=FO$12,$O86,"")</f>
        <v/>
      </c>
      <c r="FP86" s="88" t="str">
        <f aca="false">IF($B86=FP$12,$O86,"")</f>
        <v/>
      </c>
      <c r="FQ86" s="88" t="str">
        <f aca="false">IF($B86=FQ$12,$O86,"")</f>
        <v/>
      </c>
      <c r="FR86" s="88" t="str">
        <f aca="false">IF($B86=FR$12,$O86,"")</f>
        <v/>
      </c>
      <c r="FS86" s="88" t="str">
        <f aca="false">IF($B86=FS$12,$O86,"")</f>
        <v/>
      </c>
      <c r="FT86" s="88" t="str">
        <f aca="false">IF($B86=FT$12,$O86,"")</f>
        <v/>
      </c>
      <c r="FU86" s="88" t="str">
        <f aca="false">IF($B86=FU$12,$O86,"")</f>
        <v/>
      </c>
      <c r="FV86" s="88" t="str">
        <f aca="false">IF($B86=FV$12,$O86,"")</f>
        <v/>
      </c>
      <c r="FW86" s="88" t="str">
        <f aca="false">IF($B86=FW$12,$O86,"")</f>
        <v/>
      </c>
      <c r="FX86" s="88" t="str">
        <f aca="false">IF($B86=FX$12,$O86,"")</f>
        <v/>
      </c>
      <c r="FY86" s="88" t="str">
        <f aca="false">IF($B86=FY$12,$O86,"")</f>
        <v/>
      </c>
      <c r="FZ86" s="88" t="str">
        <f aca="false">IF($B86=FZ$12,$O86,"")</f>
        <v/>
      </c>
      <c r="GA86" s="88" t="str">
        <f aca="false">IF($B86=GA$12,$O86,"")</f>
        <v/>
      </c>
      <c r="GB86" s="88" t="str">
        <f aca="false">IF($B86=GB$12,$O86,"")</f>
        <v/>
      </c>
      <c r="GC86" s="88" t="str">
        <f aca="false">IF($B86=GC$12,$O86,"")</f>
        <v/>
      </c>
      <c r="GD86" s="88" t="str">
        <f aca="false">IF($B86=GD$12,$O86,"")</f>
        <v/>
      </c>
      <c r="GE86" s="88" t="str">
        <f aca="false">IF($B86=GE$12,$O86,"")</f>
        <v/>
      </c>
      <c r="GF86" s="88" t="str">
        <f aca="false">IF($B86=GF$12,$O86,"")</f>
        <v/>
      </c>
      <c r="GG86" s="88" t="str">
        <f aca="false">IF($B86=GG$12,$O86,"")</f>
        <v/>
      </c>
      <c r="GH86" s="88" t="str">
        <f aca="false">IF($B86=GH$12,$O86,"")</f>
        <v/>
      </c>
      <c r="GI86" s="88" t="str">
        <f aca="false">IF($B86=GI$12,$O86,"")</f>
        <v/>
      </c>
      <c r="GJ86" s="88" t="str">
        <f aca="false">IF($B86=GJ$12,$O86,"")</f>
        <v/>
      </c>
      <c r="GK86" s="88" t="str">
        <f aca="false">IF($B86=GK$12,$O86,"")</f>
        <v/>
      </c>
      <c r="GL86" s="88" t="str">
        <f aca="false">IF($B86=GL$12,$O86,"")</f>
        <v/>
      </c>
      <c r="GM86" s="88" t="str">
        <f aca="false">IF($B86=GM$12,$O86,"")</f>
        <v/>
      </c>
      <c r="GN86" s="88" t="str">
        <f aca="false">IF($B86=GN$12,$O86,"")</f>
        <v/>
      </c>
      <c r="GO86" s="88" t="str">
        <f aca="false">IF($B86=GO$12,$O86,"")</f>
        <v/>
      </c>
      <c r="GP86" s="88" t="str">
        <f aca="false">IF($B86=GP$12,$O86,"")</f>
        <v/>
      </c>
      <c r="GQ86" s="88" t="str">
        <f aca="false">IF($B86=GQ$12,$O86,"")</f>
        <v/>
      </c>
      <c r="GR86" s="88" t="str">
        <f aca="false">IF($B86=GR$12,$O86,"")</f>
        <v/>
      </c>
      <c r="GS86" s="88" t="str">
        <f aca="false">IF($B86=GS$12,$O86,"")</f>
        <v/>
      </c>
      <c r="GT86" s="88" t="str">
        <f aca="false">IF($B86=GT$12,$O86,"")</f>
        <v/>
      </c>
      <c r="GU86" s="88" t="str">
        <f aca="false">IF($B86=GU$12,$O86,"")</f>
        <v/>
      </c>
      <c r="GV86" s="88" t="str">
        <f aca="false">IF($B86=GV$12,$O86,"")</f>
        <v/>
      </c>
      <c r="GW86" s="88" t="str">
        <f aca="false">IF($B86=GW$12,$O86,"")</f>
        <v/>
      </c>
      <c r="GX86" s="88" t="str">
        <f aca="false">IF($B86=GX$12,$O86,"")</f>
        <v/>
      </c>
      <c r="GY86" s="88" t="str">
        <f aca="false">IF($B86=GY$12,$O86,"")</f>
        <v/>
      </c>
      <c r="GZ86" s="88" t="str">
        <f aca="false">IF($B86=GZ$12,$O86,"")</f>
        <v/>
      </c>
      <c r="HA86" s="88" t="str">
        <f aca="false">IF($B86=HA$12,$O86,"")</f>
        <v/>
      </c>
      <c r="HB86" s="88" t="str">
        <f aca="false">IF($B86=HB$12,$O86,"")</f>
        <v/>
      </c>
      <c r="HC86" s="88" t="str">
        <f aca="false">IF($B86=HC$12,$O86,"")</f>
        <v/>
      </c>
      <c r="HD86" s="88" t="str">
        <f aca="false">IF($B86=HD$12,$O86,"")</f>
        <v/>
      </c>
      <c r="HE86" s="88" t="str">
        <f aca="false">IF($B86=HE$12,$O86,"")</f>
        <v/>
      </c>
      <c r="HF86" s="88" t="str">
        <f aca="false">IF($B86=HF$12,$O86,"")</f>
        <v/>
      </c>
      <c r="HG86" s="88" t="str">
        <f aca="false">IF($B86=HG$12,$O86,"")</f>
        <v/>
      </c>
      <c r="HH86" s="88" t="str">
        <f aca="false">IF($B86=HH$12,$O86,"")</f>
        <v/>
      </c>
      <c r="HI86" s="88" t="str">
        <f aca="false">IF($B86=HI$12,$O86,"")</f>
        <v/>
      </c>
      <c r="HJ86" s="88" t="str">
        <f aca="false">IF($B86=HJ$12,$O86,"")</f>
        <v/>
      </c>
      <c r="HK86" s="88" t="str">
        <f aca="false">IF($B86=HK$12,$O86,"")</f>
        <v/>
      </c>
      <c r="HL86" s="88" t="str">
        <f aca="false">IF($B86=HL$12,$O86,"")</f>
        <v/>
      </c>
      <c r="HM86" s="88" t="str">
        <f aca="false">IF($B86=HM$12,$O86,"")</f>
        <v/>
      </c>
      <c r="HN86" s="88" t="str">
        <f aca="false">IF($B86=HN$12,$O86,"")</f>
        <v/>
      </c>
      <c r="HO86" s="88" t="str">
        <f aca="false">IF($B86=HO$12,$O86,"")</f>
        <v/>
      </c>
      <c r="HP86" s="88" t="str">
        <f aca="false">IF($B86=HP$12,$O86,"")</f>
        <v/>
      </c>
      <c r="HQ86" s="88" t="str">
        <f aca="false">IF($B86=HQ$12,$O86,"")</f>
        <v/>
      </c>
      <c r="HR86" s="89" t="str">
        <f aca="false">IF($B86=HR$12,$O86,"")</f>
        <v/>
      </c>
    </row>
    <row r="87" customFormat="false" ht="10.5" hidden="false" customHeight="true" outlineLevel="0" collapsed="false">
      <c r="A87" s="73"/>
      <c r="B87" s="74"/>
      <c r="C87" s="75" t="str">
        <f aca="false">IF(A87=0,"",VLOOKUP(A87,[3]CO!$A$3:$F$5311,2,0))</f>
        <v/>
      </c>
      <c r="D87" s="76"/>
      <c r="E87" s="76"/>
      <c r="F87" s="76"/>
      <c r="G87" s="77" t="str">
        <f aca="false">IF(A87=0,"",VLOOKUP(A87,[3]CO!$A$3:$F$5311,3,0))</f>
        <v/>
      </c>
      <c r="H87" s="76"/>
      <c r="I87" s="78"/>
      <c r="J87" s="78"/>
      <c r="K87" s="78"/>
      <c r="L87" s="78"/>
      <c r="M87" s="79" t="str">
        <f aca="false">IF(L87=0,"",PRODUCT(I87:L87))</f>
        <v/>
      </c>
      <c r="N87" s="79" t="str">
        <f aca="false">IF(B87=0,"",IF(H87="M",HLOOKUP(B87,$Y$12:$DT$13,2),IF(A87=0,"",VLOOKUP(A87,[3]CO!$A$3:$F$5311,4,0))))</f>
        <v/>
      </c>
      <c r="O87" s="79" t="str">
        <f aca="false">IF(L87=0,"",PRODUCT(M87:N87))</f>
        <v/>
      </c>
      <c r="P87" s="80"/>
      <c r="Q87" s="81" t="str">
        <f aca="false">IF(P87=0,"",(HLOOKUP(P87,$DW$12:$HR$13,2)))</f>
        <v/>
      </c>
      <c r="R87" s="82" t="str">
        <f aca="false">IF(S87=0,"",IF(OR(G87="PEON",G87="OF",G87="JARD",G87="CARP",G87="MAESTRO",G87="SOLD",G87="BGRO",G87="CHOFER",G87="AYTE",G87="S.INTTE.",G87="ASEO",G87="P.PISOS",G87="VELADOR",G87="RESID",G87="PINTOR",G87="ELECT",G87="AZULE",G87="AUX CONT.",G87="SECRETARIA",G87="AUXILIAR ADMTVO.",G87="ARQUITECTO",G87="DIBUJANTE",G87="AUX. DE RESIDENTE"),VLOOKUP(B87,P$14:Q$131,2),"")*S87)</f>
        <v/>
      </c>
      <c r="S87" s="5"/>
      <c r="T87" s="65" t="str">
        <f aca="false">IF(A87=0,"",VLOOKUP(A87,[3]CO!$A$3:$F$5302,5,0))</f>
        <v/>
      </c>
      <c r="U87" s="55" t="n">
        <f aca="false">IF(T87=1,O87*0.1,)</f>
        <v>0</v>
      </c>
      <c r="V87" s="66"/>
      <c r="W87" s="83"/>
      <c r="X87" s="83"/>
      <c r="Y87" s="84" t="str">
        <f aca="false">IF($B87=Y$12,$U87,"")</f>
        <v/>
      </c>
      <c r="Z87" s="85" t="str">
        <f aca="false">IF($B87=Z$12,$U87,"")</f>
        <v/>
      </c>
      <c r="AA87" s="85" t="str">
        <f aca="false">IF($B87=AA$12,$U87,"")</f>
        <v/>
      </c>
      <c r="AB87" s="85" t="str">
        <f aca="false">IF($B87=AB$12,$U87,"")</f>
        <v/>
      </c>
      <c r="AC87" s="85" t="str">
        <f aca="false">IF($B87=AC$12,$U87,"")</f>
        <v/>
      </c>
      <c r="AD87" s="85" t="str">
        <f aca="false">IF($B87=AD$12,$U87,"")</f>
        <v/>
      </c>
      <c r="AE87" s="85" t="str">
        <f aca="false">IF($B87=AE$12,$U87,"")</f>
        <v/>
      </c>
      <c r="AF87" s="85" t="str">
        <f aca="false">IF($B87=AF$12,$U87,"")</f>
        <v/>
      </c>
      <c r="AG87" s="85" t="str">
        <f aca="false">IF($B87=AG$12,$U87,"")</f>
        <v/>
      </c>
      <c r="AH87" s="85" t="str">
        <f aca="false">IF($B87=AH$12,$U87,"")</f>
        <v/>
      </c>
      <c r="AI87" s="85" t="str">
        <f aca="false">IF($B87=AI$12,$U87,"")</f>
        <v/>
      </c>
      <c r="AJ87" s="85" t="str">
        <f aca="false">IF($B87=AJ$12,$U87,"")</f>
        <v/>
      </c>
      <c r="AK87" s="85" t="str">
        <f aca="false">IF($B87=AK$12,$U87,"")</f>
        <v/>
      </c>
      <c r="AL87" s="85" t="str">
        <f aca="false">IF($B87=AL$12,$U87,"")</f>
        <v/>
      </c>
      <c r="AM87" s="85" t="str">
        <f aca="false">IF($B87=AM$12,$U87,"")</f>
        <v/>
      </c>
      <c r="AN87" s="85" t="str">
        <f aca="false">IF($B87=AN$12,$U87,"")</f>
        <v/>
      </c>
      <c r="AO87" s="85" t="str">
        <f aca="false">IF($B87=AO$12,$U87,"")</f>
        <v/>
      </c>
      <c r="AP87" s="85" t="str">
        <f aca="false">IF($B87=AP$12,$U87,"")</f>
        <v/>
      </c>
      <c r="AQ87" s="85" t="str">
        <f aca="false">IF($B87=AQ$12,$U87,"")</f>
        <v/>
      </c>
      <c r="AR87" s="85" t="str">
        <f aca="false">IF($B87=AR$12,$U87,"")</f>
        <v/>
      </c>
      <c r="AS87" s="85" t="str">
        <f aca="false">IF($B87=AS$12,$U87,"")</f>
        <v/>
      </c>
      <c r="AT87" s="85" t="str">
        <f aca="false">IF($B87=AT$12,$U87,"")</f>
        <v/>
      </c>
      <c r="AU87" s="85" t="str">
        <f aca="false">IF($B87=AU$12,$U87,"")</f>
        <v/>
      </c>
      <c r="AV87" s="85" t="str">
        <f aca="false">IF($B87=AV$12,$U87,"")</f>
        <v/>
      </c>
      <c r="AW87" s="85" t="str">
        <f aca="false">IF($B87=AW$12,$U87,"")</f>
        <v/>
      </c>
      <c r="AX87" s="85" t="str">
        <f aca="false">IF($B87=AX$12,$U87,"")</f>
        <v/>
      </c>
      <c r="AY87" s="85" t="str">
        <f aca="false">IF($B87=AY$12,$U87,"")</f>
        <v/>
      </c>
      <c r="AZ87" s="85" t="str">
        <f aca="false">IF($B87=AZ$12,$U87,"")</f>
        <v/>
      </c>
      <c r="BA87" s="85" t="str">
        <f aca="false">IF($B87=BA$12,$U87,"")</f>
        <v/>
      </c>
      <c r="BB87" s="85" t="str">
        <f aca="false">IF($B87=BB$12,$U87,"")</f>
        <v/>
      </c>
      <c r="BC87" s="85" t="str">
        <f aca="false">IF($B87=BC$12,$U87,"")</f>
        <v/>
      </c>
      <c r="BD87" s="85" t="str">
        <f aca="false">IF($B87=BD$12,$U87,"")</f>
        <v/>
      </c>
      <c r="BE87" s="85" t="str">
        <f aca="false">IF($B87=BE$12,$U87,"")</f>
        <v/>
      </c>
      <c r="BF87" s="85" t="str">
        <f aca="false">IF($B87=BF$12,$U87,"")</f>
        <v/>
      </c>
      <c r="BG87" s="85" t="str">
        <f aca="false">IF($B87=BG$12,$U87,"")</f>
        <v/>
      </c>
      <c r="BH87" s="85" t="str">
        <f aca="false">IF($B87=BH$12,$U87,"")</f>
        <v/>
      </c>
      <c r="BI87" s="85" t="str">
        <f aca="false">IF($B87=BI$12,$U87,"")</f>
        <v/>
      </c>
      <c r="BJ87" s="85" t="str">
        <f aca="false">IF($B87=BJ$12,$U87,"")</f>
        <v/>
      </c>
      <c r="BK87" s="85" t="str">
        <f aca="false">IF($B87=BK$12,$U87,"")</f>
        <v/>
      </c>
      <c r="BL87" s="85" t="str">
        <f aca="false">IF($B87=BL$12,$U87,"")</f>
        <v/>
      </c>
      <c r="BM87" s="85" t="str">
        <f aca="false">IF($B87=BM$12,$U87,"")</f>
        <v/>
      </c>
      <c r="BN87" s="85" t="str">
        <f aca="false">IF($B87=BN$12,$U87,"")</f>
        <v/>
      </c>
      <c r="BO87" s="85" t="str">
        <f aca="false">IF($B87=BO$12,$U87,"")</f>
        <v/>
      </c>
      <c r="BP87" s="85" t="str">
        <f aca="false">IF($B87=BP$12,$U87,"")</f>
        <v/>
      </c>
      <c r="BQ87" s="85" t="str">
        <f aca="false">IF($B87=BQ$12,$U87,"")</f>
        <v/>
      </c>
      <c r="BR87" s="85" t="str">
        <f aca="false">IF($B87=BR$12,$U87,"")</f>
        <v/>
      </c>
      <c r="BS87" s="85" t="str">
        <f aca="false">IF($B87=BS$12,$U87,"")</f>
        <v/>
      </c>
      <c r="BT87" s="85" t="str">
        <f aca="false">IF($B87=BT$12,$U87,"")</f>
        <v/>
      </c>
      <c r="BU87" s="85" t="str">
        <f aca="false">IF($B87=BU$12,$U87,"")</f>
        <v/>
      </c>
      <c r="BV87" s="85" t="str">
        <f aca="false">IF($B87=BV$12,$U87,"")</f>
        <v/>
      </c>
      <c r="BW87" s="85" t="str">
        <f aca="false">IF($B87=BW$12,$U87,"")</f>
        <v/>
      </c>
      <c r="BX87" s="85" t="str">
        <f aca="false">IF($B87=BX$12,$U87,"")</f>
        <v/>
      </c>
      <c r="BY87" s="85" t="str">
        <f aca="false">IF($B87=BY$12,$U87,"")</f>
        <v/>
      </c>
      <c r="BZ87" s="85" t="str">
        <f aca="false">IF($B87=BZ$12,$U87,"")</f>
        <v/>
      </c>
      <c r="CA87" s="85" t="str">
        <f aca="false">IF($B87=CA$12,$U87,"")</f>
        <v/>
      </c>
      <c r="CB87" s="85" t="str">
        <f aca="false">IF($B87=CB$12,$U87,"")</f>
        <v/>
      </c>
      <c r="CC87" s="85" t="str">
        <f aca="false">IF($B87=CC$12,$U87,"")</f>
        <v/>
      </c>
      <c r="CD87" s="85" t="str">
        <f aca="false">IF($B87=CD$12,$U87,"")</f>
        <v/>
      </c>
      <c r="CE87" s="85" t="str">
        <f aca="false">IF($B87=CE$12,$U87,"")</f>
        <v/>
      </c>
      <c r="CF87" s="85" t="str">
        <f aca="false">IF($B87=CF$12,$U87,"")</f>
        <v/>
      </c>
      <c r="CG87" s="85" t="str">
        <f aca="false">IF($B87=CG$12,$U87,"")</f>
        <v/>
      </c>
      <c r="CH87" s="85" t="str">
        <f aca="false">IF($B87=CH$12,$U87,"")</f>
        <v/>
      </c>
      <c r="CI87" s="85" t="str">
        <f aca="false">IF($B87=CI$12,$U87,"")</f>
        <v/>
      </c>
      <c r="CJ87" s="85" t="str">
        <f aca="false">IF($B87=CJ$12,$U87,"")</f>
        <v/>
      </c>
      <c r="CK87" s="85" t="str">
        <f aca="false">IF($B87=CK$12,$U87,"")</f>
        <v/>
      </c>
      <c r="CL87" s="85" t="str">
        <f aca="false">IF($B87=CL$12,$U87,"")</f>
        <v/>
      </c>
      <c r="CM87" s="85" t="str">
        <f aca="false">IF($B87=CM$12,$U87,"")</f>
        <v/>
      </c>
      <c r="CN87" s="85" t="str">
        <f aca="false">IF($B87=CN$12,$U87,"")</f>
        <v/>
      </c>
      <c r="CO87" s="85" t="str">
        <f aca="false">IF($B87=CO$12,$U87,"")</f>
        <v/>
      </c>
      <c r="CP87" s="85" t="str">
        <f aca="false">IF($B87=CP$12,$U87,"")</f>
        <v/>
      </c>
      <c r="CQ87" s="85" t="str">
        <f aca="false">IF($B87=CQ$12,$U87,"")</f>
        <v/>
      </c>
      <c r="CR87" s="85" t="str">
        <f aca="false">IF($B87=CR$12,$U87,"")</f>
        <v/>
      </c>
      <c r="CS87" s="85" t="str">
        <f aca="false">IF($B87=CS$12,$U87,"")</f>
        <v/>
      </c>
      <c r="CT87" s="85" t="str">
        <f aca="false">IF($B87=CT$12,$U87,"")</f>
        <v/>
      </c>
      <c r="CU87" s="85" t="str">
        <f aca="false">IF($B87=CU$12,$U87,"")</f>
        <v/>
      </c>
      <c r="CV87" s="85" t="str">
        <f aca="false">IF($B87=CV$12,$U87,"")</f>
        <v/>
      </c>
      <c r="CW87" s="85" t="str">
        <f aca="false">IF($B87=CW$12,$U87,"")</f>
        <v/>
      </c>
      <c r="CX87" s="85" t="str">
        <f aca="false">IF($B87=CX$12,$U87,"")</f>
        <v/>
      </c>
      <c r="CY87" s="85" t="str">
        <f aca="false">IF($B87=CY$12,$U87,"")</f>
        <v/>
      </c>
      <c r="CZ87" s="85" t="str">
        <f aca="false">IF($B87=CZ$12,$U87,"")</f>
        <v/>
      </c>
      <c r="DA87" s="85" t="str">
        <f aca="false">IF($B87=DA$12,$U87,"")</f>
        <v/>
      </c>
      <c r="DB87" s="85" t="str">
        <f aca="false">IF($B87=DB$12,$U87,"")</f>
        <v/>
      </c>
      <c r="DC87" s="85" t="str">
        <f aca="false">IF($B87=DC$12,$U87,"")</f>
        <v/>
      </c>
      <c r="DD87" s="85" t="str">
        <f aca="false">IF($B87=DD$12,$U87,"")</f>
        <v/>
      </c>
      <c r="DE87" s="85" t="str">
        <f aca="false">IF($B87=DE$12,$U87,"")</f>
        <v/>
      </c>
      <c r="DF87" s="85" t="str">
        <f aca="false">IF($B87=DF$12,$U87,"")</f>
        <v/>
      </c>
      <c r="DG87" s="85" t="str">
        <f aca="false">IF($B87=DG$12,$U87,"")</f>
        <v/>
      </c>
      <c r="DH87" s="85" t="str">
        <f aca="false">IF($B87=DH$12,$U87,"")</f>
        <v/>
      </c>
      <c r="DI87" s="85" t="str">
        <f aca="false">IF($B87=DI$12,$U87,"")</f>
        <v/>
      </c>
      <c r="DJ87" s="85" t="str">
        <f aca="false">IF($B87=DJ$12,$U87,"")</f>
        <v/>
      </c>
      <c r="DK87" s="85" t="str">
        <f aca="false">IF($B87=DK$12,$U87,"")</f>
        <v/>
      </c>
      <c r="DL87" s="85" t="str">
        <f aca="false">IF($B87=DL$12,$U87,"")</f>
        <v/>
      </c>
      <c r="DM87" s="85" t="str">
        <f aca="false">IF($B87=DM$12,$U87,"")</f>
        <v/>
      </c>
      <c r="DN87" s="85" t="str">
        <f aca="false">IF($B87=DN$12,$U87,"")</f>
        <v/>
      </c>
      <c r="DO87" s="85" t="str">
        <f aca="false">IF($B87=DO$12,$U87,"")</f>
        <v/>
      </c>
      <c r="DP87" s="85" t="str">
        <f aca="false">IF($B87=DP$12,$U87,"")</f>
        <v/>
      </c>
      <c r="DQ87" s="85" t="str">
        <f aca="false">IF($B87=DQ$12,$U87,"")</f>
        <v/>
      </c>
      <c r="DR87" s="85" t="str">
        <f aca="false">IF($B87=DR$12,$U87,"")</f>
        <v/>
      </c>
      <c r="DS87" s="85" t="str">
        <f aca="false">IF($B87=DS$12,$U87,"")</f>
        <v/>
      </c>
      <c r="DT87" s="86" t="str">
        <f aca="false">IF($B87=DT$12,$U87,"")</f>
        <v/>
      </c>
      <c r="DU87" s="55"/>
      <c r="DV87" s="83"/>
      <c r="DW87" s="87" t="str">
        <f aca="false">IF($B87=DW$12,$O87,"")</f>
        <v/>
      </c>
      <c r="DX87" s="88" t="str">
        <f aca="false">IF($B87=DX$12,$O87,"")</f>
        <v/>
      </c>
      <c r="DY87" s="88" t="str">
        <f aca="false">IF($B87=DY$12,$O87,"")</f>
        <v/>
      </c>
      <c r="DZ87" s="88" t="str">
        <f aca="false">IF($B87=DZ$12,$O87,"")</f>
        <v/>
      </c>
      <c r="EA87" s="88" t="str">
        <f aca="false">IF($B87=EA$12,$O87,"")</f>
        <v/>
      </c>
      <c r="EB87" s="88" t="str">
        <f aca="false">IF($B87=EB$12,$O87,"")</f>
        <v/>
      </c>
      <c r="EC87" s="88" t="str">
        <f aca="false">IF($B87=EC$12,$O87,"")</f>
        <v/>
      </c>
      <c r="ED87" s="88" t="str">
        <f aca="false">IF($B87=ED$12,$O87,"")</f>
        <v/>
      </c>
      <c r="EE87" s="88" t="str">
        <f aca="false">IF($B87=EE$12,$O87,"")</f>
        <v/>
      </c>
      <c r="EF87" s="88" t="str">
        <f aca="false">IF($B87=EF$12,$O87,"")</f>
        <v/>
      </c>
      <c r="EG87" s="88" t="str">
        <f aca="false">IF($B87=EG$12,$O87,"")</f>
        <v/>
      </c>
      <c r="EH87" s="88" t="str">
        <f aca="false">IF($B87=EH$12,$O87,"")</f>
        <v/>
      </c>
      <c r="EI87" s="88" t="str">
        <f aca="false">IF($B87=EI$12,$O87,"")</f>
        <v/>
      </c>
      <c r="EJ87" s="88" t="str">
        <f aca="false">IF($B87=EJ$12,$O87,"")</f>
        <v/>
      </c>
      <c r="EK87" s="88" t="str">
        <f aca="false">IF($B87=EK$12,$O87,"")</f>
        <v/>
      </c>
      <c r="EL87" s="88" t="str">
        <f aca="false">IF($B87=EL$12,$O87,"")</f>
        <v/>
      </c>
      <c r="EM87" s="88" t="str">
        <f aca="false">IF($B87=EM$12,$O87,"")</f>
        <v/>
      </c>
      <c r="EN87" s="88" t="str">
        <f aca="false">IF($B87=EN$12,$O87,"")</f>
        <v/>
      </c>
      <c r="EO87" s="88" t="str">
        <f aca="false">IF($B87=EO$12,$O87,"")</f>
        <v/>
      </c>
      <c r="EP87" s="88" t="str">
        <f aca="false">IF($B87=EP$12,$O87,"")</f>
        <v/>
      </c>
      <c r="EQ87" s="88" t="str">
        <f aca="false">IF($B87=EQ$12,$O87,"")</f>
        <v/>
      </c>
      <c r="ER87" s="88" t="str">
        <f aca="false">IF($B87=ER$12,$O87,"")</f>
        <v/>
      </c>
      <c r="ES87" s="88" t="str">
        <f aca="false">IF($B87=ES$12,$O87,"")</f>
        <v/>
      </c>
      <c r="ET87" s="88" t="str">
        <f aca="false">IF($B87=ET$12,$O87,"")</f>
        <v/>
      </c>
      <c r="EU87" s="88" t="str">
        <f aca="false">IF($B87=EU$12,$O87,"")</f>
        <v/>
      </c>
      <c r="EV87" s="88" t="str">
        <f aca="false">IF($B87=EV$12,$O87,"")</f>
        <v/>
      </c>
      <c r="EW87" s="88" t="str">
        <f aca="false">IF($B87=EW$12,$O87,"")</f>
        <v/>
      </c>
      <c r="EX87" s="88" t="str">
        <f aca="false">IF($B87=EX$12,$O87,"")</f>
        <v/>
      </c>
      <c r="EY87" s="88" t="str">
        <f aca="false">IF($B87=EY$12,$O87,"")</f>
        <v/>
      </c>
      <c r="EZ87" s="88" t="str">
        <f aca="false">IF($B87=EZ$12,$O87,"")</f>
        <v/>
      </c>
      <c r="FA87" s="88" t="str">
        <f aca="false">IF($B87=FA$12,$O87,"")</f>
        <v/>
      </c>
      <c r="FB87" s="88" t="str">
        <f aca="false">IF($B87=FB$12,$O87,"")</f>
        <v/>
      </c>
      <c r="FC87" s="88" t="str">
        <f aca="false">IF($B87=FC$12,$O87,"")</f>
        <v/>
      </c>
      <c r="FD87" s="88" t="str">
        <f aca="false">IF($B87=FD$12,$O87,"")</f>
        <v/>
      </c>
      <c r="FE87" s="88" t="str">
        <f aca="false">IF($B87=FE$12,$O87,"")</f>
        <v/>
      </c>
      <c r="FF87" s="88" t="str">
        <f aca="false">IF($B87=FF$12,$O87,"")</f>
        <v/>
      </c>
      <c r="FG87" s="88" t="str">
        <f aca="false">IF($B87=FG$12,$O87,"")</f>
        <v/>
      </c>
      <c r="FH87" s="88" t="str">
        <f aca="false">IF($B87=FH$12,$O87,"")</f>
        <v/>
      </c>
      <c r="FI87" s="88" t="str">
        <f aca="false">IF($B87=FI$12,$O87,"")</f>
        <v/>
      </c>
      <c r="FJ87" s="88" t="str">
        <f aca="false">IF($B87=FJ$12,$O87,"")</f>
        <v/>
      </c>
      <c r="FK87" s="88" t="str">
        <f aca="false">IF($B87=FK$12,$O87,"")</f>
        <v/>
      </c>
      <c r="FL87" s="88" t="str">
        <f aca="false">IF($B87=FL$12,$O87,"")</f>
        <v/>
      </c>
      <c r="FM87" s="88" t="str">
        <f aca="false">IF($B87=FM$12,$O87,"")</f>
        <v/>
      </c>
      <c r="FN87" s="88" t="str">
        <f aca="false">IF($B87=FN$12,$O87,"")</f>
        <v/>
      </c>
      <c r="FO87" s="88" t="str">
        <f aca="false">IF($B87=FO$12,$O87,"")</f>
        <v/>
      </c>
      <c r="FP87" s="88" t="str">
        <f aca="false">IF($B87=FP$12,$O87,"")</f>
        <v/>
      </c>
      <c r="FQ87" s="88" t="str">
        <f aca="false">IF($B87=FQ$12,$O87,"")</f>
        <v/>
      </c>
      <c r="FR87" s="88" t="str">
        <f aca="false">IF($B87=FR$12,$O87,"")</f>
        <v/>
      </c>
      <c r="FS87" s="88" t="str">
        <f aca="false">IF($B87=FS$12,$O87,"")</f>
        <v/>
      </c>
      <c r="FT87" s="88" t="str">
        <f aca="false">IF($B87=FT$12,$O87,"")</f>
        <v/>
      </c>
      <c r="FU87" s="88" t="str">
        <f aca="false">IF($B87=FU$12,$O87,"")</f>
        <v/>
      </c>
      <c r="FV87" s="88" t="str">
        <f aca="false">IF($B87=FV$12,$O87,"")</f>
        <v/>
      </c>
      <c r="FW87" s="88" t="str">
        <f aca="false">IF($B87=FW$12,$O87,"")</f>
        <v/>
      </c>
      <c r="FX87" s="88" t="str">
        <f aca="false">IF($B87=FX$12,$O87,"")</f>
        <v/>
      </c>
      <c r="FY87" s="88" t="str">
        <f aca="false">IF($B87=FY$12,$O87,"")</f>
        <v/>
      </c>
      <c r="FZ87" s="88" t="str">
        <f aca="false">IF($B87=FZ$12,$O87,"")</f>
        <v/>
      </c>
      <c r="GA87" s="88" t="str">
        <f aca="false">IF($B87=GA$12,$O87,"")</f>
        <v/>
      </c>
      <c r="GB87" s="88" t="str">
        <f aca="false">IF($B87=GB$12,$O87,"")</f>
        <v/>
      </c>
      <c r="GC87" s="88" t="str">
        <f aca="false">IF($B87=GC$12,$O87,"")</f>
        <v/>
      </c>
      <c r="GD87" s="88" t="str">
        <f aca="false">IF($B87=GD$12,$O87,"")</f>
        <v/>
      </c>
      <c r="GE87" s="88" t="str">
        <f aca="false">IF($B87=GE$12,$O87,"")</f>
        <v/>
      </c>
      <c r="GF87" s="88" t="str">
        <f aca="false">IF($B87=GF$12,$O87,"")</f>
        <v/>
      </c>
      <c r="GG87" s="88" t="str">
        <f aca="false">IF($B87=GG$12,$O87,"")</f>
        <v/>
      </c>
      <c r="GH87" s="88" t="str">
        <f aca="false">IF($B87=GH$12,$O87,"")</f>
        <v/>
      </c>
      <c r="GI87" s="88" t="str">
        <f aca="false">IF($B87=GI$12,$O87,"")</f>
        <v/>
      </c>
      <c r="GJ87" s="88" t="str">
        <f aca="false">IF($B87=GJ$12,$O87,"")</f>
        <v/>
      </c>
      <c r="GK87" s="88" t="str">
        <f aca="false">IF($B87=GK$12,$O87,"")</f>
        <v/>
      </c>
      <c r="GL87" s="88" t="str">
        <f aca="false">IF($B87=GL$12,$O87,"")</f>
        <v/>
      </c>
      <c r="GM87" s="88" t="str">
        <f aca="false">IF($B87=GM$12,$O87,"")</f>
        <v/>
      </c>
      <c r="GN87" s="88" t="str">
        <f aca="false">IF($B87=GN$12,$O87,"")</f>
        <v/>
      </c>
      <c r="GO87" s="88" t="str">
        <f aca="false">IF($B87=GO$12,$O87,"")</f>
        <v/>
      </c>
      <c r="GP87" s="88" t="str">
        <f aca="false">IF($B87=GP$12,$O87,"")</f>
        <v/>
      </c>
      <c r="GQ87" s="88" t="str">
        <f aca="false">IF($B87=GQ$12,$O87,"")</f>
        <v/>
      </c>
      <c r="GR87" s="88" t="str">
        <f aca="false">IF($B87=GR$12,$O87,"")</f>
        <v/>
      </c>
      <c r="GS87" s="88" t="str">
        <f aca="false">IF($B87=GS$12,$O87,"")</f>
        <v/>
      </c>
      <c r="GT87" s="88" t="str">
        <f aca="false">IF($B87=GT$12,$O87,"")</f>
        <v/>
      </c>
      <c r="GU87" s="88" t="str">
        <f aca="false">IF($B87=GU$12,$O87,"")</f>
        <v/>
      </c>
      <c r="GV87" s="88" t="str">
        <f aca="false">IF($B87=GV$12,$O87,"")</f>
        <v/>
      </c>
      <c r="GW87" s="88" t="str">
        <f aca="false">IF($B87=GW$12,$O87,"")</f>
        <v/>
      </c>
      <c r="GX87" s="88" t="str">
        <f aca="false">IF($B87=GX$12,$O87,"")</f>
        <v/>
      </c>
      <c r="GY87" s="88" t="str">
        <f aca="false">IF($B87=GY$12,$O87,"")</f>
        <v/>
      </c>
      <c r="GZ87" s="88" t="str">
        <f aca="false">IF($B87=GZ$12,$O87,"")</f>
        <v/>
      </c>
      <c r="HA87" s="88" t="str">
        <f aca="false">IF($B87=HA$12,$O87,"")</f>
        <v/>
      </c>
      <c r="HB87" s="88" t="str">
        <f aca="false">IF($B87=HB$12,$O87,"")</f>
        <v/>
      </c>
      <c r="HC87" s="88" t="str">
        <f aca="false">IF($B87=HC$12,$O87,"")</f>
        <v/>
      </c>
      <c r="HD87" s="88" t="str">
        <f aca="false">IF($B87=HD$12,$O87,"")</f>
        <v/>
      </c>
      <c r="HE87" s="88" t="str">
        <f aca="false">IF($B87=HE$12,$O87,"")</f>
        <v/>
      </c>
      <c r="HF87" s="88" t="str">
        <f aca="false">IF($B87=HF$12,$O87,"")</f>
        <v/>
      </c>
      <c r="HG87" s="88" t="str">
        <f aca="false">IF($B87=HG$12,$O87,"")</f>
        <v/>
      </c>
      <c r="HH87" s="88" t="str">
        <f aca="false">IF($B87=HH$12,$O87,"")</f>
        <v/>
      </c>
      <c r="HI87" s="88" t="str">
        <f aca="false">IF($B87=HI$12,$O87,"")</f>
        <v/>
      </c>
      <c r="HJ87" s="88" t="str">
        <f aca="false">IF($B87=HJ$12,$O87,"")</f>
        <v/>
      </c>
      <c r="HK87" s="88" t="str">
        <f aca="false">IF($B87=HK$12,$O87,"")</f>
        <v/>
      </c>
      <c r="HL87" s="88" t="str">
        <f aca="false">IF($B87=HL$12,$O87,"")</f>
        <v/>
      </c>
      <c r="HM87" s="88" t="str">
        <f aca="false">IF($B87=HM$12,$O87,"")</f>
        <v/>
      </c>
      <c r="HN87" s="88" t="str">
        <f aca="false">IF($B87=HN$12,$O87,"")</f>
        <v/>
      </c>
      <c r="HO87" s="88" t="str">
        <f aca="false">IF($B87=HO$12,$O87,"")</f>
        <v/>
      </c>
      <c r="HP87" s="88" t="str">
        <f aca="false">IF($B87=HP$12,$O87,"")</f>
        <v/>
      </c>
      <c r="HQ87" s="88" t="str">
        <f aca="false">IF($B87=HQ$12,$O87,"")</f>
        <v/>
      </c>
      <c r="HR87" s="89" t="str">
        <f aca="false">IF($B87=HR$12,$O87,"")</f>
        <v/>
      </c>
    </row>
    <row r="88" customFormat="false" ht="10.5" hidden="false" customHeight="true" outlineLevel="0" collapsed="false">
      <c r="A88" s="73"/>
      <c r="B88" s="74"/>
      <c r="C88" s="75" t="str">
        <f aca="false">IF(A88=0,"",VLOOKUP(A88,[3]CO!$A$3:$F$5311,2,0))</f>
        <v/>
      </c>
      <c r="D88" s="76"/>
      <c r="E88" s="76"/>
      <c r="F88" s="76"/>
      <c r="G88" s="77" t="str">
        <f aca="false">IF(A88=0,"",VLOOKUP(A88,[3]CO!$A$3:$F$5311,3,0))</f>
        <v/>
      </c>
      <c r="H88" s="76"/>
      <c r="I88" s="78"/>
      <c r="J88" s="78"/>
      <c r="K88" s="78"/>
      <c r="L88" s="78"/>
      <c r="M88" s="79" t="str">
        <f aca="false">IF(L88=0,"",PRODUCT(I88:L88))</f>
        <v/>
      </c>
      <c r="N88" s="79" t="str">
        <f aca="false">IF(B88=0,"",IF(H88="M",HLOOKUP(B88,$Y$12:$DT$13,2),IF(A88=0,"",VLOOKUP(A88,[3]CO!$A$3:$F$5311,4,0))))</f>
        <v/>
      </c>
      <c r="O88" s="79" t="str">
        <f aca="false">IF(L88=0,"",PRODUCT(M88:N88))</f>
        <v/>
      </c>
      <c r="P88" s="80"/>
      <c r="Q88" s="81" t="str">
        <f aca="false">IF(P88=0,"",(HLOOKUP(P88,$DW$12:$HR$13,2)))</f>
        <v/>
      </c>
      <c r="R88" s="82" t="str">
        <f aca="false">IF(S88=0,"",IF(OR(G88="PEON",G88="OF",G88="JARD",G88="CARP",G88="MAESTRO",G88="SOLD",G88="BGRO",G88="CHOFER",G88="AYTE",G88="S.INTTE.",G88="ASEO",G88="P.PISOS",G88="VELADOR",G88="RESID",G88="PINTOR",G88="ELECT",G88="AZULE",G88="AUX CONT.",G88="SECRETARIA",G88="AUXILIAR ADMTVO.",G88="ARQUITECTO",G88="DIBUJANTE",G88="AUX. DE RESIDENTE"),VLOOKUP(B88,P$14:Q$131,2),"")*S88)</f>
        <v/>
      </c>
      <c r="S88" s="5"/>
      <c r="T88" s="65" t="str">
        <f aca="false">IF(A88=0,"",VLOOKUP(A88,[3]CO!$A$3:$F$5302,5,0))</f>
        <v/>
      </c>
      <c r="U88" s="55" t="n">
        <f aca="false">IF(T88=1,O88*0.1,)</f>
        <v>0</v>
      </c>
      <c r="V88" s="66"/>
      <c r="W88" s="83"/>
      <c r="X88" s="83"/>
      <c r="Y88" s="84" t="str">
        <f aca="false">IF($B88=Y$12,$U88,"")</f>
        <v/>
      </c>
      <c r="Z88" s="85" t="str">
        <f aca="false">IF($B88=Z$12,$U88,"")</f>
        <v/>
      </c>
      <c r="AA88" s="85" t="str">
        <f aca="false">IF($B88=AA$12,$U88,"")</f>
        <v/>
      </c>
      <c r="AB88" s="85" t="str">
        <f aca="false">IF($B88=AB$12,$U88,"")</f>
        <v/>
      </c>
      <c r="AC88" s="85" t="str">
        <f aca="false">IF($B88=AC$12,$U88,"")</f>
        <v/>
      </c>
      <c r="AD88" s="85" t="str">
        <f aca="false">IF($B88=AD$12,$U88,"")</f>
        <v/>
      </c>
      <c r="AE88" s="85" t="str">
        <f aca="false">IF($B88=AE$12,$U88,"")</f>
        <v/>
      </c>
      <c r="AF88" s="85" t="str">
        <f aca="false">IF($B88=AF$12,$U88,"")</f>
        <v/>
      </c>
      <c r="AG88" s="85" t="str">
        <f aca="false">IF($B88=AG$12,$U88,"")</f>
        <v/>
      </c>
      <c r="AH88" s="85" t="str">
        <f aca="false">IF($B88=AH$12,$U88,"")</f>
        <v/>
      </c>
      <c r="AI88" s="85" t="str">
        <f aca="false">IF($B88=AI$12,$U88,"")</f>
        <v/>
      </c>
      <c r="AJ88" s="85" t="str">
        <f aca="false">IF($B88=AJ$12,$U88,"")</f>
        <v/>
      </c>
      <c r="AK88" s="85" t="str">
        <f aca="false">IF($B88=AK$12,$U88,"")</f>
        <v/>
      </c>
      <c r="AL88" s="85" t="str">
        <f aca="false">IF($B88=AL$12,$U88,"")</f>
        <v/>
      </c>
      <c r="AM88" s="85" t="str">
        <f aca="false">IF($B88=AM$12,$U88,"")</f>
        <v/>
      </c>
      <c r="AN88" s="85" t="str">
        <f aca="false">IF($B88=AN$12,$U88,"")</f>
        <v/>
      </c>
      <c r="AO88" s="85" t="str">
        <f aca="false">IF($B88=AO$12,$U88,"")</f>
        <v/>
      </c>
      <c r="AP88" s="85" t="str">
        <f aca="false">IF($B88=AP$12,$U88,"")</f>
        <v/>
      </c>
      <c r="AQ88" s="85" t="str">
        <f aca="false">IF($B88=AQ$12,$U88,"")</f>
        <v/>
      </c>
      <c r="AR88" s="85" t="str">
        <f aca="false">IF($B88=AR$12,$U88,"")</f>
        <v/>
      </c>
      <c r="AS88" s="85" t="str">
        <f aca="false">IF($B88=AS$12,$U88,"")</f>
        <v/>
      </c>
      <c r="AT88" s="85" t="str">
        <f aca="false">IF($B88=AT$12,$U88,"")</f>
        <v/>
      </c>
      <c r="AU88" s="85" t="str">
        <f aca="false">IF($B88=AU$12,$U88,"")</f>
        <v/>
      </c>
      <c r="AV88" s="85" t="str">
        <f aca="false">IF($B88=AV$12,$U88,"")</f>
        <v/>
      </c>
      <c r="AW88" s="85" t="str">
        <f aca="false">IF($B88=AW$12,$U88,"")</f>
        <v/>
      </c>
      <c r="AX88" s="85" t="str">
        <f aca="false">IF($B88=AX$12,$U88,"")</f>
        <v/>
      </c>
      <c r="AY88" s="85" t="str">
        <f aca="false">IF($B88=AY$12,$U88,"")</f>
        <v/>
      </c>
      <c r="AZ88" s="85" t="str">
        <f aca="false">IF($B88=AZ$12,$U88,"")</f>
        <v/>
      </c>
      <c r="BA88" s="85" t="str">
        <f aca="false">IF($B88=BA$12,$U88,"")</f>
        <v/>
      </c>
      <c r="BB88" s="85" t="str">
        <f aca="false">IF($B88=BB$12,$U88,"")</f>
        <v/>
      </c>
      <c r="BC88" s="85" t="str">
        <f aca="false">IF($B88=BC$12,$U88,"")</f>
        <v/>
      </c>
      <c r="BD88" s="85" t="str">
        <f aca="false">IF($B88=BD$12,$U88,"")</f>
        <v/>
      </c>
      <c r="BE88" s="85" t="str">
        <f aca="false">IF($B88=BE$12,$U88,"")</f>
        <v/>
      </c>
      <c r="BF88" s="85" t="str">
        <f aca="false">IF($B88=BF$12,$U88,"")</f>
        <v/>
      </c>
      <c r="BG88" s="85" t="str">
        <f aca="false">IF($B88=BG$12,$U88,"")</f>
        <v/>
      </c>
      <c r="BH88" s="85" t="str">
        <f aca="false">IF($B88=BH$12,$U88,"")</f>
        <v/>
      </c>
      <c r="BI88" s="85" t="str">
        <f aca="false">IF($B88=BI$12,$U88,"")</f>
        <v/>
      </c>
      <c r="BJ88" s="85" t="str">
        <f aca="false">IF($B88=BJ$12,$U88,"")</f>
        <v/>
      </c>
      <c r="BK88" s="85" t="str">
        <f aca="false">IF($B88=BK$12,$U88,"")</f>
        <v/>
      </c>
      <c r="BL88" s="85" t="str">
        <f aca="false">IF($B88=BL$12,$U88,"")</f>
        <v/>
      </c>
      <c r="BM88" s="85" t="str">
        <f aca="false">IF($B88=BM$12,$U88,"")</f>
        <v/>
      </c>
      <c r="BN88" s="85" t="str">
        <f aca="false">IF($B88=BN$12,$U88,"")</f>
        <v/>
      </c>
      <c r="BO88" s="85" t="str">
        <f aca="false">IF($B88=BO$12,$U88,"")</f>
        <v/>
      </c>
      <c r="BP88" s="85" t="str">
        <f aca="false">IF($B88=BP$12,$U88,"")</f>
        <v/>
      </c>
      <c r="BQ88" s="85" t="str">
        <f aca="false">IF($B88=BQ$12,$U88,"")</f>
        <v/>
      </c>
      <c r="BR88" s="85" t="str">
        <f aca="false">IF($B88=BR$12,$U88,"")</f>
        <v/>
      </c>
      <c r="BS88" s="85" t="str">
        <f aca="false">IF($B88=BS$12,$U88,"")</f>
        <v/>
      </c>
      <c r="BT88" s="85" t="str">
        <f aca="false">IF($B88=BT$12,$U88,"")</f>
        <v/>
      </c>
      <c r="BU88" s="85" t="str">
        <f aca="false">IF($B88=BU$12,$U88,"")</f>
        <v/>
      </c>
      <c r="BV88" s="85" t="str">
        <f aca="false">IF($B88=BV$12,$U88,"")</f>
        <v/>
      </c>
      <c r="BW88" s="85" t="str">
        <f aca="false">IF($B88=BW$12,$U88,"")</f>
        <v/>
      </c>
      <c r="BX88" s="85" t="str">
        <f aca="false">IF($B88=BX$12,$U88,"")</f>
        <v/>
      </c>
      <c r="BY88" s="85" t="str">
        <f aca="false">IF($B88=BY$12,$U88,"")</f>
        <v/>
      </c>
      <c r="BZ88" s="85" t="str">
        <f aca="false">IF($B88=BZ$12,$U88,"")</f>
        <v/>
      </c>
      <c r="CA88" s="85" t="str">
        <f aca="false">IF($B88=CA$12,$U88,"")</f>
        <v/>
      </c>
      <c r="CB88" s="85" t="str">
        <f aca="false">IF($B88=CB$12,$U88,"")</f>
        <v/>
      </c>
      <c r="CC88" s="85" t="str">
        <f aca="false">IF($B88=CC$12,$U88,"")</f>
        <v/>
      </c>
      <c r="CD88" s="85" t="str">
        <f aca="false">IF($B88=CD$12,$U88,"")</f>
        <v/>
      </c>
      <c r="CE88" s="85" t="str">
        <f aca="false">IF($B88=CE$12,$U88,"")</f>
        <v/>
      </c>
      <c r="CF88" s="85" t="str">
        <f aca="false">IF($B88=CF$12,$U88,"")</f>
        <v/>
      </c>
      <c r="CG88" s="85" t="str">
        <f aca="false">IF($B88=CG$12,$U88,"")</f>
        <v/>
      </c>
      <c r="CH88" s="85" t="str">
        <f aca="false">IF($B88=CH$12,$U88,"")</f>
        <v/>
      </c>
      <c r="CI88" s="85" t="str">
        <f aca="false">IF($B88=CI$12,$U88,"")</f>
        <v/>
      </c>
      <c r="CJ88" s="85" t="str">
        <f aca="false">IF($B88=CJ$12,$U88,"")</f>
        <v/>
      </c>
      <c r="CK88" s="85" t="str">
        <f aca="false">IF($B88=CK$12,$U88,"")</f>
        <v/>
      </c>
      <c r="CL88" s="85" t="str">
        <f aca="false">IF($B88=CL$12,$U88,"")</f>
        <v/>
      </c>
      <c r="CM88" s="85" t="str">
        <f aca="false">IF($B88=CM$12,$U88,"")</f>
        <v/>
      </c>
      <c r="CN88" s="85" t="str">
        <f aca="false">IF($B88=CN$12,$U88,"")</f>
        <v/>
      </c>
      <c r="CO88" s="85" t="str">
        <f aca="false">IF($B88=CO$12,$U88,"")</f>
        <v/>
      </c>
      <c r="CP88" s="85" t="str">
        <f aca="false">IF($B88=CP$12,$U88,"")</f>
        <v/>
      </c>
      <c r="CQ88" s="85" t="str">
        <f aca="false">IF($B88=CQ$12,$U88,"")</f>
        <v/>
      </c>
      <c r="CR88" s="85" t="str">
        <f aca="false">IF($B88=CR$12,$U88,"")</f>
        <v/>
      </c>
      <c r="CS88" s="85" t="str">
        <f aca="false">IF($B88=CS$12,$U88,"")</f>
        <v/>
      </c>
      <c r="CT88" s="85" t="str">
        <f aca="false">IF($B88=CT$12,$U88,"")</f>
        <v/>
      </c>
      <c r="CU88" s="85" t="str">
        <f aca="false">IF($B88=CU$12,$U88,"")</f>
        <v/>
      </c>
      <c r="CV88" s="85" t="str">
        <f aca="false">IF($B88=CV$12,$U88,"")</f>
        <v/>
      </c>
      <c r="CW88" s="85" t="str">
        <f aca="false">IF($B88=CW$12,$U88,"")</f>
        <v/>
      </c>
      <c r="CX88" s="85" t="str">
        <f aca="false">IF($B88=CX$12,$U88,"")</f>
        <v/>
      </c>
      <c r="CY88" s="85" t="str">
        <f aca="false">IF($B88=CY$12,$U88,"")</f>
        <v/>
      </c>
      <c r="CZ88" s="85" t="str">
        <f aca="false">IF($B88=CZ$12,$U88,"")</f>
        <v/>
      </c>
      <c r="DA88" s="85" t="str">
        <f aca="false">IF($B88=DA$12,$U88,"")</f>
        <v/>
      </c>
      <c r="DB88" s="85" t="str">
        <f aca="false">IF($B88=DB$12,$U88,"")</f>
        <v/>
      </c>
      <c r="DC88" s="85" t="str">
        <f aca="false">IF($B88=DC$12,$U88,"")</f>
        <v/>
      </c>
      <c r="DD88" s="85" t="str">
        <f aca="false">IF($B88=DD$12,$U88,"")</f>
        <v/>
      </c>
      <c r="DE88" s="85" t="str">
        <f aca="false">IF($B88=DE$12,$U88,"")</f>
        <v/>
      </c>
      <c r="DF88" s="85" t="str">
        <f aca="false">IF($B88=DF$12,$U88,"")</f>
        <v/>
      </c>
      <c r="DG88" s="85" t="str">
        <f aca="false">IF($B88=DG$12,$U88,"")</f>
        <v/>
      </c>
      <c r="DH88" s="85" t="str">
        <f aca="false">IF($B88=DH$12,$U88,"")</f>
        <v/>
      </c>
      <c r="DI88" s="85" t="str">
        <f aca="false">IF($B88=DI$12,$U88,"")</f>
        <v/>
      </c>
      <c r="DJ88" s="85" t="str">
        <f aca="false">IF($B88=DJ$12,$U88,"")</f>
        <v/>
      </c>
      <c r="DK88" s="85" t="str">
        <f aca="false">IF($B88=DK$12,$U88,"")</f>
        <v/>
      </c>
      <c r="DL88" s="85" t="str">
        <f aca="false">IF($B88=DL$12,$U88,"")</f>
        <v/>
      </c>
      <c r="DM88" s="85" t="str">
        <f aca="false">IF($B88=DM$12,$U88,"")</f>
        <v/>
      </c>
      <c r="DN88" s="85" t="str">
        <f aca="false">IF($B88=DN$12,$U88,"")</f>
        <v/>
      </c>
      <c r="DO88" s="85" t="str">
        <f aca="false">IF($B88=DO$12,$U88,"")</f>
        <v/>
      </c>
      <c r="DP88" s="85" t="str">
        <f aca="false">IF($B88=DP$12,$U88,"")</f>
        <v/>
      </c>
      <c r="DQ88" s="85" t="str">
        <f aca="false">IF($B88=DQ$12,$U88,"")</f>
        <v/>
      </c>
      <c r="DR88" s="85" t="str">
        <f aca="false">IF($B88=DR$12,$U88,"")</f>
        <v/>
      </c>
      <c r="DS88" s="85" t="str">
        <f aca="false">IF($B88=DS$12,$U88,"")</f>
        <v/>
      </c>
      <c r="DT88" s="86" t="str">
        <f aca="false">IF($B88=DT$12,$U88,"")</f>
        <v/>
      </c>
      <c r="DU88" s="55"/>
      <c r="DV88" s="83"/>
      <c r="DW88" s="87" t="str">
        <f aca="false">IF($B88=DW$12,$O88,"")</f>
        <v/>
      </c>
      <c r="DX88" s="88" t="str">
        <f aca="false">IF($B88=DX$12,$O88,"")</f>
        <v/>
      </c>
      <c r="DY88" s="88" t="str">
        <f aca="false">IF($B88=DY$12,$O88,"")</f>
        <v/>
      </c>
      <c r="DZ88" s="88" t="str">
        <f aca="false">IF($B88=DZ$12,$O88,"")</f>
        <v/>
      </c>
      <c r="EA88" s="88" t="str">
        <f aca="false">IF($B88=EA$12,$O88,"")</f>
        <v/>
      </c>
      <c r="EB88" s="88" t="str">
        <f aca="false">IF($B88=EB$12,$O88,"")</f>
        <v/>
      </c>
      <c r="EC88" s="88" t="str">
        <f aca="false">IF($B88=EC$12,$O88,"")</f>
        <v/>
      </c>
      <c r="ED88" s="88" t="str">
        <f aca="false">IF($B88=ED$12,$O88,"")</f>
        <v/>
      </c>
      <c r="EE88" s="88" t="str">
        <f aca="false">IF($B88=EE$12,$O88,"")</f>
        <v/>
      </c>
      <c r="EF88" s="88" t="str">
        <f aca="false">IF($B88=EF$12,$O88,"")</f>
        <v/>
      </c>
      <c r="EG88" s="88" t="str">
        <f aca="false">IF($B88=EG$12,$O88,"")</f>
        <v/>
      </c>
      <c r="EH88" s="88" t="str">
        <f aca="false">IF($B88=EH$12,$O88,"")</f>
        <v/>
      </c>
      <c r="EI88" s="88" t="str">
        <f aca="false">IF($B88=EI$12,$O88,"")</f>
        <v/>
      </c>
      <c r="EJ88" s="88" t="str">
        <f aca="false">IF($B88=EJ$12,$O88,"")</f>
        <v/>
      </c>
      <c r="EK88" s="88" t="str">
        <f aca="false">IF($B88=EK$12,$O88,"")</f>
        <v/>
      </c>
      <c r="EL88" s="88" t="str">
        <f aca="false">IF($B88=EL$12,$O88,"")</f>
        <v/>
      </c>
      <c r="EM88" s="88" t="str">
        <f aca="false">IF($B88=EM$12,$O88,"")</f>
        <v/>
      </c>
      <c r="EN88" s="88" t="str">
        <f aca="false">IF($B88=EN$12,$O88,"")</f>
        <v/>
      </c>
      <c r="EO88" s="88" t="str">
        <f aca="false">IF($B88=EO$12,$O88,"")</f>
        <v/>
      </c>
      <c r="EP88" s="88" t="str">
        <f aca="false">IF($B88=EP$12,$O88,"")</f>
        <v/>
      </c>
      <c r="EQ88" s="88" t="str">
        <f aca="false">IF($B88=EQ$12,$O88,"")</f>
        <v/>
      </c>
      <c r="ER88" s="88" t="str">
        <f aca="false">IF($B88=ER$12,$O88,"")</f>
        <v/>
      </c>
      <c r="ES88" s="88" t="str">
        <f aca="false">IF($B88=ES$12,$O88,"")</f>
        <v/>
      </c>
      <c r="ET88" s="88" t="str">
        <f aca="false">IF($B88=ET$12,$O88,"")</f>
        <v/>
      </c>
      <c r="EU88" s="88" t="str">
        <f aca="false">IF($B88=EU$12,$O88,"")</f>
        <v/>
      </c>
      <c r="EV88" s="88" t="str">
        <f aca="false">IF($B88=EV$12,$O88,"")</f>
        <v/>
      </c>
      <c r="EW88" s="88" t="str">
        <f aca="false">IF($B88=EW$12,$O88,"")</f>
        <v/>
      </c>
      <c r="EX88" s="88" t="str">
        <f aca="false">IF($B88=EX$12,$O88,"")</f>
        <v/>
      </c>
      <c r="EY88" s="88" t="str">
        <f aca="false">IF($B88=EY$12,$O88,"")</f>
        <v/>
      </c>
      <c r="EZ88" s="88" t="str">
        <f aca="false">IF($B88=EZ$12,$O88,"")</f>
        <v/>
      </c>
      <c r="FA88" s="88" t="str">
        <f aca="false">IF($B88=FA$12,$O88,"")</f>
        <v/>
      </c>
      <c r="FB88" s="88" t="str">
        <f aca="false">IF($B88=FB$12,$O88,"")</f>
        <v/>
      </c>
      <c r="FC88" s="88" t="str">
        <f aca="false">IF($B88=FC$12,$O88,"")</f>
        <v/>
      </c>
      <c r="FD88" s="88" t="str">
        <f aca="false">IF($B88=FD$12,$O88,"")</f>
        <v/>
      </c>
      <c r="FE88" s="88" t="str">
        <f aca="false">IF($B88=FE$12,$O88,"")</f>
        <v/>
      </c>
      <c r="FF88" s="88" t="str">
        <f aca="false">IF($B88=FF$12,$O88,"")</f>
        <v/>
      </c>
      <c r="FG88" s="88" t="str">
        <f aca="false">IF($B88=FG$12,$O88,"")</f>
        <v/>
      </c>
      <c r="FH88" s="88" t="str">
        <f aca="false">IF($B88=FH$12,$O88,"")</f>
        <v/>
      </c>
      <c r="FI88" s="88" t="str">
        <f aca="false">IF($B88=FI$12,$O88,"")</f>
        <v/>
      </c>
      <c r="FJ88" s="88" t="str">
        <f aca="false">IF($B88=FJ$12,$O88,"")</f>
        <v/>
      </c>
      <c r="FK88" s="88" t="str">
        <f aca="false">IF($B88=FK$12,$O88,"")</f>
        <v/>
      </c>
      <c r="FL88" s="88" t="str">
        <f aca="false">IF($B88=FL$12,$O88,"")</f>
        <v/>
      </c>
      <c r="FM88" s="88" t="str">
        <f aca="false">IF($B88=FM$12,$O88,"")</f>
        <v/>
      </c>
      <c r="FN88" s="88" t="str">
        <f aca="false">IF($B88=FN$12,$O88,"")</f>
        <v/>
      </c>
      <c r="FO88" s="88" t="str">
        <f aca="false">IF($B88=FO$12,$O88,"")</f>
        <v/>
      </c>
      <c r="FP88" s="88" t="str">
        <f aca="false">IF($B88=FP$12,$O88,"")</f>
        <v/>
      </c>
      <c r="FQ88" s="88" t="str">
        <f aca="false">IF($B88=FQ$12,$O88,"")</f>
        <v/>
      </c>
      <c r="FR88" s="88" t="str">
        <f aca="false">IF($B88=FR$12,$O88,"")</f>
        <v/>
      </c>
      <c r="FS88" s="88" t="str">
        <f aca="false">IF($B88=FS$12,$O88,"")</f>
        <v/>
      </c>
      <c r="FT88" s="88" t="str">
        <f aca="false">IF($B88=FT$12,$O88,"")</f>
        <v/>
      </c>
      <c r="FU88" s="88" t="str">
        <f aca="false">IF($B88=FU$12,$O88,"")</f>
        <v/>
      </c>
      <c r="FV88" s="88" t="str">
        <f aca="false">IF($B88=FV$12,$O88,"")</f>
        <v/>
      </c>
      <c r="FW88" s="88" t="str">
        <f aca="false">IF($B88=FW$12,$O88,"")</f>
        <v/>
      </c>
      <c r="FX88" s="88" t="str">
        <f aca="false">IF($B88=FX$12,$O88,"")</f>
        <v/>
      </c>
      <c r="FY88" s="88" t="str">
        <f aca="false">IF($B88=FY$12,$O88,"")</f>
        <v/>
      </c>
      <c r="FZ88" s="88" t="str">
        <f aca="false">IF($B88=FZ$12,$O88,"")</f>
        <v/>
      </c>
      <c r="GA88" s="88" t="str">
        <f aca="false">IF($B88=GA$12,$O88,"")</f>
        <v/>
      </c>
      <c r="GB88" s="88" t="str">
        <f aca="false">IF($B88=GB$12,$O88,"")</f>
        <v/>
      </c>
      <c r="GC88" s="88" t="str">
        <f aca="false">IF($B88=GC$12,$O88,"")</f>
        <v/>
      </c>
      <c r="GD88" s="88" t="str">
        <f aca="false">IF($B88=GD$12,$O88,"")</f>
        <v/>
      </c>
      <c r="GE88" s="88" t="str">
        <f aca="false">IF($B88=GE$12,$O88,"")</f>
        <v/>
      </c>
      <c r="GF88" s="88" t="str">
        <f aca="false">IF($B88=GF$12,$O88,"")</f>
        <v/>
      </c>
      <c r="GG88" s="88" t="str">
        <f aca="false">IF($B88=GG$12,$O88,"")</f>
        <v/>
      </c>
      <c r="GH88" s="88" t="str">
        <f aca="false">IF($B88=GH$12,$O88,"")</f>
        <v/>
      </c>
      <c r="GI88" s="88" t="str">
        <f aca="false">IF($B88=GI$12,$O88,"")</f>
        <v/>
      </c>
      <c r="GJ88" s="88" t="str">
        <f aca="false">IF($B88=GJ$12,$O88,"")</f>
        <v/>
      </c>
      <c r="GK88" s="88" t="str">
        <f aca="false">IF($B88=GK$12,$O88,"")</f>
        <v/>
      </c>
      <c r="GL88" s="88" t="str">
        <f aca="false">IF($B88=GL$12,$O88,"")</f>
        <v/>
      </c>
      <c r="GM88" s="88" t="str">
        <f aca="false">IF($B88=GM$12,$O88,"")</f>
        <v/>
      </c>
      <c r="GN88" s="88" t="str">
        <f aca="false">IF($B88=GN$12,$O88,"")</f>
        <v/>
      </c>
      <c r="GO88" s="88" t="str">
        <f aca="false">IF($B88=GO$12,$O88,"")</f>
        <v/>
      </c>
      <c r="GP88" s="88" t="str">
        <f aca="false">IF($B88=GP$12,$O88,"")</f>
        <v/>
      </c>
      <c r="GQ88" s="88" t="str">
        <f aca="false">IF($B88=GQ$12,$O88,"")</f>
        <v/>
      </c>
      <c r="GR88" s="88" t="str">
        <f aca="false">IF($B88=GR$12,$O88,"")</f>
        <v/>
      </c>
      <c r="GS88" s="88" t="str">
        <f aca="false">IF($B88=GS$12,$O88,"")</f>
        <v/>
      </c>
      <c r="GT88" s="88" t="str">
        <f aca="false">IF($B88=GT$12,$O88,"")</f>
        <v/>
      </c>
      <c r="GU88" s="88" t="str">
        <f aca="false">IF($B88=GU$12,$O88,"")</f>
        <v/>
      </c>
      <c r="GV88" s="88" t="str">
        <f aca="false">IF($B88=GV$12,$O88,"")</f>
        <v/>
      </c>
      <c r="GW88" s="88" t="str">
        <f aca="false">IF($B88=GW$12,$O88,"")</f>
        <v/>
      </c>
      <c r="GX88" s="88" t="str">
        <f aca="false">IF($B88=GX$12,$O88,"")</f>
        <v/>
      </c>
      <c r="GY88" s="88" t="str">
        <f aca="false">IF($B88=GY$12,$O88,"")</f>
        <v/>
      </c>
      <c r="GZ88" s="88" t="str">
        <f aca="false">IF($B88=GZ$12,$O88,"")</f>
        <v/>
      </c>
      <c r="HA88" s="88" t="str">
        <f aca="false">IF($B88=HA$12,$O88,"")</f>
        <v/>
      </c>
      <c r="HB88" s="88" t="str">
        <f aca="false">IF($B88=HB$12,$O88,"")</f>
        <v/>
      </c>
      <c r="HC88" s="88" t="str">
        <f aca="false">IF($B88=HC$12,$O88,"")</f>
        <v/>
      </c>
      <c r="HD88" s="88" t="str">
        <f aca="false">IF($B88=HD$12,$O88,"")</f>
        <v/>
      </c>
      <c r="HE88" s="88" t="str">
        <f aca="false">IF($B88=HE$12,$O88,"")</f>
        <v/>
      </c>
      <c r="HF88" s="88" t="str">
        <f aca="false">IF($B88=HF$12,$O88,"")</f>
        <v/>
      </c>
      <c r="HG88" s="88" t="str">
        <f aca="false">IF($B88=HG$12,$O88,"")</f>
        <v/>
      </c>
      <c r="HH88" s="88" t="str">
        <f aca="false">IF($B88=HH$12,$O88,"")</f>
        <v/>
      </c>
      <c r="HI88" s="88" t="str">
        <f aca="false">IF($B88=HI$12,$O88,"")</f>
        <v/>
      </c>
      <c r="HJ88" s="88" t="str">
        <f aca="false">IF($B88=HJ$12,$O88,"")</f>
        <v/>
      </c>
      <c r="HK88" s="88" t="str">
        <f aca="false">IF($B88=HK$12,$O88,"")</f>
        <v/>
      </c>
      <c r="HL88" s="88" t="str">
        <f aca="false">IF($B88=HL$12,$O88,"")</f>
        <v/>
      </c>
      <c r="HM88" s="88" t="str">
        <f aca="false">IF($B88=HM$12,$O88,"")</f>
        <v/>
      </c>
      <c r="HN88" s="88" t="str">
        <f aca="false">IF($B88=HN$12,$O88,"")</f>
        <v/>
      </c>
      <c r="HO88" s="88" t="str">
        <f aca="false">IF($B88=HO$12,$O88,"")</f>
        <v/>
      </c>
      <c r="HP88" s="88" t="str">
        <f aca="false">IF($B88=HP$12,$O88,"")</f>
        <v/>
      </c>
      <c r="HQ88" s="88" t="str">
        <f aca="false">IF($B88=HQ$12,$O88,"")</f>
        <v/>
      </c>
      <c r="HR88" s="89" t="str">
        <f aca="false">IF($B88=HR$12,$O88,"")</f>
        <v/>
      </c>
    </row>
    <row r="89" customFormat="false" ht="10.5" hidden="false" customHeight="true" outlineLevel="0" collapsed="false">
      <c r="A89" s="73"/>
      <c r="B89" s="74"/>
      <c r="C89" s="75" t="str">
        <f aca="false">IF(A89=0,"",VLOOKUP(A89,[3]CO!$A$3:$F$5311,2,0))</f>
        <v/>
      </c>
      <c r="D89" s="76"/>
      <c r="E89" s="76"/>
      <c r="F89" s="76"/>
      <c r="G89" s="77" t="str">
        <f aca="false">IF(A89=0,"",VLOOKUP(A89,[3]CO!$A$3:$F$5311,3,0))</f>
        <v/>
      </c>
      <c r="H89" s="76"/>
      <c r="I89" s="78"/>
      <c r="J89" s="78"/>
      <c r="K89" s="78"/>
      <c r="L89" s="78"/>
      <c r="M89" s="79" t="str">
        <f aca="false">IF(L89=0,"",PRODUCT(I89:L89))</f>
        <v/>
      </c>
      <c r="N89" s="79" t="str">
        <f aca="false">IF(B89=0,"",IF(H89="M",HLOOKUP(B89,$Y$12:$DT$13,2),IF(A89=0,"",VLOOKUP(A89,[3]CO!$A$3:$F$5311,4,0))))</f>
        <v/>
      </c>
      <c r="O89" s="79" t="str">
        <f aca="false">IF(L89=0,"",PRODUCT(M89:N89))</f>
        <v/>
      </c>
      <c r="P89" s="80"/>
      <c r="Q89" s="81" t="str">
        <f aca="false">IF(P89=0,"",(HLOOKUP(P89,$DW$12:$HR$13,2)))</f>
        <v/>
      </c>
      <c r="R89" s="82" t="str">
        <f aca="false">IF(S89=0,"",IF(OR(G89="PEON",G89="OF",G89="JARD",G89="CARP",G89="MAESTRO",G89="SOLD",G89="BGRO",G89="CHOFER",G89="AYTE",G89="S.INTTE.",G89="ASEO",G89="P.PISOS",G89="VELADOR",G89="RESID",G89="PINTOR",G89="ELECT",G89="AZULE",G89="AUX CONT.",G89="SECRETARIA",G89="AUXILIAR ADMTVO.",G89="ARQUITECTO",G89="DIBUJANTE",G89="AUX. DE RESIDENTE"),VLOOKUP(B89,P$14:Q$131,2),"")*S89)</f>
        <v/>
      </c>
      <c r="S89" s="5"/>
      <c r="T89" s="65" t="str">
        <f aca="false">IF(A89=0,"",VLOOKUP(A89,[3]CO!$A$3:$F$5302,5,0))</f>
        <v/>
      </c>
      <c r="U89" s="55" t="n">
        <f aca="false">IF(T89=1,O89*0.1,)</f>
        <v>0</v>
      </c>
      <c r="V89" s="66"/>
      <c r="W89" s="83"/>
      <c r="X89" s="83"/>
      <c r="Y89" s="84" t="str">
        <f aca="false">IF($B89=Y$12,$U89,"")</f>
        <v/>
      </c>
      <c r="Z89" s="85" t="str">
        <f aca="false">IF($B89=Z$12,$U89,"")</f>
        <v/>
      </c>
      <c r="AA89" s="85" t="str">
        <f aca="false">IF($B89=AA$12,$U89,"")</f>
        <v/>
      </c>
      <c r="AB89" s="85" t="str">
        <f aca="false">IF($B89=AB$12,$U89,"")</f>
        <v/>
      </c>
      <c r="AC89" s="85" t="str">
        <f aca="false">IF($B89=AC$12,$U89,"")</f>
        <v/>
      </c>
      <c r="AD89" s="85" t="str">
        <f aca="false">IF($B89=AD$12,$U89,"")</f>
        <v/>
      </c>
      <c r="AE89" s="85" t="str">
        <f aca="false">IF($B89=AE$12,$U89,"")</f>
        <v/>
      </c>
      <c r="AF89" s="85" t="str">
        <f aca="false">IF($B89=AF$12,$U89,"")</f>
        <v/>
      </c>
      <c r="AG89" s="85" t="str">
        <f aca="false">IF($B89=AG$12,$U89,"")</f>
        <v/>
      </c>
      <c r="AH89" s="85" t="str">
        <f aca="false">IF($B89=AH$12,$U89,"")</f>
        <v/>
      </c>
      <c r="AI89" s="85" t="str">
        <f aca="false">IF($B89=AI$12,$U89,"")</f>
        <v/>
      </c>
      <c r="AJ89" s="85" t="str">
        <f aca="false">IF($B89=AJ$12,$U89,"")</f>
        <v/>
      </c>
      <c r="AK89" s="85" t="str">
        <f aca="false">IF($B89=AK$12,$U89,"")</f>
        <v/>
      </c>
      <c r="AL89" s="85" t="str">
        <f aca="false">IF($B89=AL$12,$U89,"")</f>
        <v/>
      </c>
      <c r="AM89" s="85" t="str">
        <f aca="false">IF($B89=AM$12,$U89,"")</f>
        <v/>
      </c>
      <c r="AN89" s="85" t="str">
        <f aca="false">IF($B89=AN$12,$U89,"")</f>
        <v/>
      </c>
      <c r="AO89" s="85" t="str">
        <f aca="false">IF($B89=AO$12,$U89,"")</f>
        <v/>
      </c>
      <c r="AP89" s="85" t="str">
        <f aca="false">IF($B89=AP$12,$U89,"")</f>
        <v/>
      </c>
      <c r="AQ89" s="85" t="str">
        <f aca="false">IF($B89=AQ$12,$U89,"")</f>
        <v/>
      </c>
      <c r="AR89" s="85" t="str">
        <f aca="false">IF($B89=AR$12,$U89,"")</f>
        <v/>
      </c>
      <c r="AS89" s="85" t="str">
        <f aca="false">IF($B89=AS$12,$U89,"")</f>
        <v/>
      </c>
      <c r="AT89" s="85" t="str">
        <f aca="false">IF($B89=AT$12,$U89,"")</f>
        <v/>
      </c>
      <c r="AU89" s="85" t="str">
        <f aca="false">IF($B89=AU$12,$U89,"")</f>
        <v/>
      </c>
      <c r="AV89" s="85" t="str">
        <f aca="false">IF($B89=AV$12,$U89,"")</f>
        <v/>
      </c>
      <c r="AW89" s="85" t="str">
        <f aca="false">IF($B89=AW$12,$U89,"")</f>
        <v/>
      </c>
      <c r="AX89" s="85" t="str">
        <f aca="false">IF($B89=AX$12,$U89,"")</f>
        <v/>
      </c>
      <c r="AY89" s="85" t="str">
        <f aca="false">IF($B89=AY$12,$U89,"")</f>
        <v/>
      </c>
      <c r="AZ89" s="85" t="str">
        <f aca="false">IF($B89=AZ$12,$U89,"")</f>
        <v/>
      </c>
      <c r="BA89" s="85" t="str">
        <f aca="false">IF($B89=BA$12,$U89,"")</f>
        <v/>
      </c>
      <c r="BB89" s="85" t="str">
        <f aca="false">IF($B89=BB$12,$U89,"")</f>
        <v/>
      </c>
      <c r="BC89" s="85" t="str">
        <f aca="false">IF($B89=BC$12,$U89,"")</f>
        <v/>
      </c>
      <c r="BD89" s="85" t="str">
        <f aca="false">IF($B89=BD$12,$U89,"")</f>
        <v/>
      </c>
      <c r="BE89" s="85" t="str">
        <f aca="false">IF($B89=BE$12,$U89,"")</f>
        <v/>
      </c>
      <c r="BF89" s="85" t="str">
        <f aca="false">IF($B89=BF$12,$U89,"")</f>
        <v/>
      </c>
      <c r="BG89" s="85" t="str">
        <f aca="false">IF($B89=BG$12,$U89,"")</f>
        <v/>
      </c>
      <c r="BH89" s="85" t="str">
        <f aca="false">IF($B89=BH$12,$U89,"")</f>
        <v/>
      </c>
      <c r="BI89" s="85" t="str">
        <f aca="false">IF($B89=BI$12,$U89,"")</f>
        <v/>
      </c>
      <c r="BJ89" s="85" t="str">
        <f aca="false">IF($B89=BJ$12,$U89,"")</f>
        <v/>
      </c>
      <c r="BK89" s="85" t="str">
        <f aca="false">IF($B89=BK$12,$U89,"")</f>
        <v/>
      </c>
      <c r="BL89" s="85" t="str">
        <f aca="false">IF($B89=BL$12,$U89,"")</f>
        <v/>
      </c>
      <c r="BM89" s="85" t="str">
        <f aca="false">IF($B89=BM$12,$U89,"")</f>
        <v/>
      </c>
      <c r="BN89" s="85" t="str">
        <f aca="false">IF($B89=BN$12,$U89,"")</f>
        <v/>
      </c>
      <c r="BO89" s="85" t="str">
        <f aca="false">IF($B89=BO$12,$U89,"")</f>
        <v/>
      </c>
      <c r="BP89" s="85" t="str">
        <f aca="false">IF($B89=BP$12,$U89,"")</f>
        <v/>
      </c>
      <c r="BQ89" s="85" t="str">
        <f aca="false">IF($B89=BQ$12,$U89,"")</f>
        <v/>
      </c>
      <c r="BR89" s="85" t="str">
        <f aca="false">IF($B89=BR$12,$U89,"")</f>
        <v/>
      </c>
      <c r="BS89" s="85" t="str">
        <f aca="false">IF($B89=BS$12,$U89,"")</f>
        <v/>
      </c>
      <c r="BT89" s="85" t="str">
        <f aca="false">IF($B89=BT$12,$U89,"")</f>
        <v/>
      </c>
      <c r="BU89" s="85" t="str">
        <f aca="false">IF($B89=BU$12,$U89,"")</f>
        <v/>
      </c>
      <c r="BV89" s="85" t="str">
        <f aca="false">IF($B89=BV$12,$U89,"")</f>
        <v/>
      </c>
      <c r="BW89" s="85" t="str">
        <f aca="false">IF($B89=BW$12,$U89,"")</f>
        <v/>
      </c>
      <c r="BX89" s="85" t="str">
        <f aca="false">IF($B89=BX$12,$U89,"")</f>
        <v/>
      </c>
      <c r="BY89" s="85" t="str">
        <f aca="false">IF($B89=BY$12,$U89,"")</f>
        <v/>
      </c>
      <c r="BZ89" s="85" t="str">
        <f aca="false">IF($B89=BZ$12,$U89,"")</f>
        <v/>
      </c>
      <c r="CA89" s="85" t="str">
        <f aca="false">IF($B89=CA$12,$U89,"")</f>
        <v/>
      </c>
      <c r="CB89" s="85" t="str">
        <f aca="false">IF($B89=CB$12,$U89,"")</f>
        <v/>
      </c>
      <c r="CC89" s="85" t="str">
        <f aca="false">IF($B89=CC$12,$U89,"")</f>
        <v/>
      </c>
      <c r="CD89" s="85" t="str">
        <f aca="false">IF($B89=CD$12,$U89,"")</f>
        <v/>
      </c>
      <c r="CE89" s="85" t="str">
        <f aca="false">IF($B89=CE$12,$U89,"")</f>
        <v/>
      </c>
      <c r="CF89" s="85" t="str">
        <f aca="false">IF($B89=CF$12,$U89,"")</f>
        <v/>
      </c>
      <c r="CG89" s="85" t="str">
        <f aca="false">IF($B89=CG$12,$U89,"")</f>
        <v/>
      </c>
      <c r="CH89" s="85" t="str">
        <f aca="false">IF($B89=CH$12,$U89,"")</f>
        <v/>
      </c>
      <c r="CI89" s="85" t="str">
        <f aca="false">IF($B89=CI$12,$U89,"")</f>
        <v/>
      </c>
      <c r="CJ89" s="85" t="str">
        <f aca="false">IF($B89=CJ$12,$U89,"")</f>
        <v/>
      </c>
      <c r="CK89" s="85" t="str">
        <f aca="false">IF($B89=CK$12,$U89,"")</f>
        <v/>
      </c>
      <c r="CL89" s="85" t="str">
        <f aca="false">IF($B89=CL$12,$U89,"")</f>
        <v/>
      </c>
      <c r="CM89" s="85" t="str">
        <f aca="false">IF($B89=CM$12,$U89,"")</f>
        <v/>
      </c>
      <c r="CN89" s="85" t="str">
        <f aca="false">IF($B89=CN$12,$U89,"")</f>
        <v/>
      </c>
      <c r="CO89" s="85" t="str">
        <f aca="false">IF($B89=CO$12,$U89,"")</f>
        <v/>
      </c>
      <c r="CP89" s="85" t="str">
        <f aca="false">IF($B89=CP$12,$U89,"")</f>
        <v/>
      </c>
      <c r="CQ89" s="85" t="str">
        <f aca="false">IF($B89=CQ$12,$U89,"")</f>
        <v/>
      </c>
      <c r="CR89" s="85" t="str">
        <f aca="false">IF($B89=CR$12,$U89,"")</f>
        <v/>
      </c>
      <c r="CS89" s="85" t="str">
        <f aca="false">IF($B89=CS$12,$U89,"")</f>
        <v/>
      </c>
      <c r="CT89" s="85" t="str">
        <f aca="false">IF($B89=CT$12,$U89,"")</f>
        <v/>
      </c>
      <c r="CU89" s="85" t="str">
        <f aca="false">IF($B89=CU$12,$U89,"")</f>
        <v/>
      </c>
      <c r="CV89" s="85" t="str">
        <f aca="false">IF($B89=CV$12,$U89,"")</f>
        <v/>
      </c>
      <c r="CW89" s="85" t="str">
        <f aca="false">IF($B89=CW$12,$U89,"")</f>
        <v/>
      </c>
      <c r="CX89" s="85" t="str">
        <f aca="false">IF($B89=CX$12,$U89,"")</f>
        <v/>
      </c>
      <c r="CY89" s="85" t="str">
        <f aca="false">IF($B89=CY$12,$U89,"")</f>
        <v/>
      </c>
      <c r="CZ89" s="85" t="str">
        <f aca="false">IF($B89=CZ$12,$U89,"")</f>
        <v/>
      </c>
      <c r="DA89" s="85" t="str">
        <f aca="false">IF($B89=DA$12,$U89,"")</f>
        <v/>
      </c>
      <c r="DB89" s="85" t="str">
        <f aca="false">IF($B89=DB$12,$U89,"")</f>
        <v/>
      </c>
      <c r="DC89" s="85" t="str">
        <f aca="false">IF($B89=DC$12,$U89,"")</f>
        <v/>
      </c>
      <c r="DD89" s="85" t="str">
        <f aca="false">IF($B89=DD$12,$U89,"")</f>
        <v/>
      </c>
      <c r="DE89" s="85" t="str">
        <f aca="false">IF($B89=DE$12,$U89,"")</f>
        <v/>
      </c>
      <c r="DF89" s="85" t="str">
        <f aca="false">IF($B89=DF$12,$U89,"")</f>
        <v/>
      </c>
      <c r="DG89" s="85" t="str">
        <f aca="false">IF($B89=DG$12,$U89,"")</f>
        <v/>
      </c>
      <c r="DH89" s="85" t="str">
        <f aca="false">IF($B89=DH$12,$U89,"")</f>
        <v/>
      </c>
      <c r="DI89" s="85" t="str">
        <f aca="false">IF($B89=DI$12,$U89,"")</f>
        <v/>
      </c>
      <c r="DJ89" s="85" t="str">
        <f aca="false">IF($B89=DJ$12,$U89,"")</f>
        <v/>
      </c>
      <c r="DK89" s="85" t="str">
        <f aca="false">IF($B89=DK$12,$U89,"")</f>
        <v/>
      </c>
      <c r="DL89" s="85" t="str">
        <f aca="false">IF($B89=DL$12,$U89,"")</f>
        <v/>
      </c>
      <c r="DM89" s="85" t="str">
        <f aca="false">IF($B89=DM$12,$U89,"")</f>
        <v/>
      </c>
      <c r="DN89" s="85" t="str">
        <f aca="false">IF($B89=DN$12,$U89,"")</f>
        <v/>
      </c>
      <c r="DO89" s="85" t="str">
        <f aca="false">IF($B89=DO$12,$U89,"")</f>
        <v/>
      </c>
      <c r="DP89" s="85" t="str">
        <f aca="false">IF($B89=DP$12,$U89,"")</f>
        <v/>
      </c>
      <c r="DQ89" s="85" t="str">
        <f aca="false">IF($B89=DQ$12,$U89,"")</f>
        <v/>
      </c>
      <c r="DR89" s="85" t="str">
        <f aca="false">IF($B89=DR$12,$U89,"")</f>
        <v/>
      </c>
      <c r="DS89" s="85" t="str">
        <f aca="false">IF($B89=DS$12,$U89,"")</f>
        <v/>
      </c>
      <c r="DT89" s="86" t="str">
        <f aca="false">IF($B89=DT$12,$U89,"")</f>
        <v/>
      </c>
      <c r="DU89" s="55"/>
      <c r="DV89" s="83"/>
      <c r="DW89" s="87" t="str">
        <f aca="false">IF($B89=DW$12,$O89,"")</f>
        <v/>
      </c>
      <c r="DX89" s="88" t="str">
        <f aca="false">IF($B89=DX$12,$O89,"")</f>
        <v/>
      </c>
      <c r="DY89" s="88" t="str">
        <f aca="false">IF($B89=DY$12,$O89,"")</f>
        <v/>
      </c>
      <c r="DZ89" s="88" t="str">
        <f aca="false">IF($B89=DZ$12,$O89,"")</f>
        <v/>
      </c>
      <c r="EA89" s="88" t="str">
        <f aca="false">IF($B89=EA$12,$O89,"")</f>
        <v/>
      </c>
      <c r="EB89" s="88" t="str">
        <f aca="false">IF($B89=EB$12,$O89,"")</f>
        <v/>
      </c>
      <c r="EC89" s="88" t="str">
        <f aca="false">IF($B89=EC$12,$O89,"")</f>
        <v/>
      </c>
      <c r="ED89" s="88" t="str">
        <f aca="false">IF($B89=ED$12,$O89,"")</f>
        <v/>
      </c>
      <c r="EE89" s="88" t="str">
        <f aca="false">IF($B89=EE$12,$O89,"")</f>
        <v/>
      </c>
      <c r="EF89" s="88" t="str">
        <f aca="false">IF($B89=EF$12,$O89,"")</f>
        <v/>
      </c>
      <c r="EG89" s="88" t="str">
        <f aca="false">IF($B89=EG$12,$O89,"")</f>
        <v/>
      </c>
      <c r="EH89" s="88" t="str">
        <f aca="false">IF($B89=EH$12,$O89,"")</f>
        <v/>
      </c>
      <c r="EI89" s="88" t="str">
        <f aca="false">IF($B89=EI$12,$O89,"")</f>
        <v/>
      </c>
      <c r="EJ89" s="88" t="str">
        <f aca="false">IF($B89=EJ$12,$O89,"")</f>
        <v/>
      </c>
      <c r="EK89" s="88" t="str">
        <f aca="false">IF($B89=EK$12,$O89,"")</f>
        <v/>
      </c>
      <c r="EL89" s="88" t="str">
        <f aca="false">IF($B89=EL$12,$O89,"")</f>
        <v/>
      </c>
      <c r="EM89" s="88" t="str">
        <f aca="false">IF($B89=EM$12,$O89,"")</f>
        <v/>
      </c>
      <c r="EN89" s="88" t="str">
        <f aca="false">IF($B89=EN$12,$O89,"")</f>
        <v/>
      </c>
      <c r="EO89" s="88" t="str">
        <f aca="false">IF($B89=EO$12,$O89,"")</f>
        <v/>
      </c>
      <c r="EP89" s="88" t="str">
        <f aca="false">IF($B89=EP$12,$O89,"")</f>
        <v/>
      </c>
      <c r="EQ89" s="88" t="str">
        <f aca="false">IF($B89=EQ$12,$O89,"")</f>
        <v/>
      </c>
      <c r="ER89" s="88" t="str">
        <f aca="false">IF($B89=ER$12,$O89,"")</f>
        <v/>
      </c>
      <c r="ES89" s="88" t="str">
        <f aca="false">IF($B89=ES$12,$O89,"")</f>
        <v/>
      </c>
      <c r="ET89" s="88" t="str">
        <f aca="false">IF($B89=ET$12,$O89,"")</f>
        <v/>
      </c>
      <c r="EU89" s="88" t="str">
        <f aca="false">IF($B89=EU$12,$O89,"")</f>
        <v/>
      </c>
      <c r="EV89" s="88" t="str">
        <f aca="false">IF($B89=EV$12,$O89,"")</f>
        <v/>
      </c>
      <c r="EW89" s="88" t="str">
        <f aca="false">IF($B89=EW$12,$O89,"")</f>
        <v/>
      </c>
      <c r="EX89" s="88" t="str">
        <f aca="false">IF($B89=EX$12,$O89,"")</f>
        <v/>
      </c>
      <c r="EY89" s="88" t="str">
        <f aca="false">IF($B89=EY$12,$O89,"")</f>
        <v/>
      </c>
      <c r="EZ89" s="88" t="str">
        <f aca="false">IF($B89=EZ$12,$O89,"")</f>
        <v/>
      </c>
      <c r="FA89" s="88" t="str">
        <f aca="false">IF($B89=FA$12,$O89,"")</f>
        <v/>
      </c>
      <c r="FB89" s="88" t="str">
        <f aca="false">IF($B89=FB$12,$O89,"")</f>
        <v/>
      </c>
      <c r="FC89" s="88" t="str">
        <f aca="false">IF($B89=FC$12,$O89,"")</f>
        <v/>
      </c>
      <c r="FD89" s="88" t="str">
        <f aca="false">IF($B89=FD$12,$O89,"")</f>
        <v/>
      </c>
      <c r="FE89" s="88" t="str">
        <f aca="false">IF($B89=FE$12,$O89,"")</f>
        <v/>
      </c>
      <c r="FF89" s="88" t="str">
        <f aca="false">IF($B89=FF$12,$O89,"")</f>
        <v/>
      </c>
      <c r="FG89" s="88" t="str">
        <f aca="false">IF($B89=FG$12,$O89,"")</f>
        <v/>
      </c>
      <c r="FH89" s="88" t="str">
        <f aca="false">IF($B89=FH$12,$O89,"")</f>
        <v/>
      </c>
      <c r="FI89" s="88" t="str">
        <f aca="false">IF($B89=FI$12,$O89,"")</f>
        <v/>
      </c>
      <c r="FJ89" s="88" t="str">
        <f aca="false">IF($B89=FJ$12,$O89,"")</f>
        <v/>
      </c>
      <c r="FK89" s="88" t="str">
        <f aca="false">IF($B89=FK$12,$O89,"")</f>
        <v/>
      </c>
      <c r="FL89" s="88" t="str">
        <f aca="false">IF($B89=FL$12,$O89,"")</f>
        <v/>
      </c>
      <c r="FM89" s="88" t="str">
        <f aca="false">IF($B89=FM$12,$O89,"")</f>
        <v/>
      </c>
      <c r="FN89" s="88" t="str">
        <f aca="false">IF($B89=FN$12,$O89,"")</f>
        <v/>
      </c>
      <c r="FO89" s="88" t="str">
        <f aca="false">IF($B89=FO$12,$O89,"")</f>
        <v/>
      </c>
      <c r="FP89" s="88" t="str">
        <f aca="false">IF($B89=FP$12,$O89,"")</f>
        <v/>
      </c>
      <c r="FQ89" s="88" t="str">
        <f aca="false">IF($B89=FQ$12,$O89,"")</f>
        <v/>
      </c>
      <c r="FR89" s="88" t="str">
        <f aca="false">IF($B89=FR$12,$O89,"")</f>
        <v/>
      </c>
      <c r="FS89" s="88" t="str">
        <f aca="false">IF($B89=FS$12,$O89,"")</f>
        <v/>
      </c>
      <c r="FT89" s="88" t="str">
        <f aca="false">IF($B89=FT$12,$O89,"")</f>
        <v/>
      </c>
      <c r="FU89" s="88" t="str">
        <f aca="false">IF($B89=FU$12,$O89,"")</f>
        <v/>
      </c>
      <c r="FV89" s="88" t="str">
        <f aca="false">IF($B89=FV$12,$O89,"")</f>
        <v/>
      </c>
      <c r="FW89" s="88" t="str">
        <f aca="false">IF($B89=FW$12,$O89,"")</f>
        <v/>
      </c>
      <c r="FX89" s="88" t="str">
        <f aca="false">IF($B89=FX$12,$O89,"")</f>
        <v/>
      </c>
      <c r="FY89" s="88" t="str">
        <f aca="false">IF($B89=FY$12,$O89,"")</f>
        <v/>
      </c>
      <c r="FZ89" s="88" t="str">
        <f aca="false">IF($B89=FZ$12,$O89,"")</f>
        <v/>
      </c>
      <c r="GA89" s="88" t="str">
        <f aca="false">IF($B89=GA$12,$O89,"")</f>
        <v/>
      </c>
      <c r="GB89" s="88" t="str">
        <f aca="false">IF($B89=GB$12,$O89,"")</f>
        <v/>
      </c>
      <c r="GC89" s="88" t="str">
        <f aca="false">IF($B89=GC$12,$O89,"")</f>
        <v/>
      </c>
      <c r="GD89" s="88" t="str">
        <f aca="false">IF($B89=GD$12,$O89,"")</f>
        <v/>
      </c>
      <c r="GE89" s="88" t="str">
        <f aca="false">IF($B89=GE$12,$O89,"")</f>
        <v/>
      </c>
      <c r="GF89" s="88" t="str">
        <f aca="false">IF($B89=GF$12,$O89,"")</f>
        <v/>
      </c>
      <c r="GG89" s="88" t="str">
        <f aca="false">IF($B89=GG$12,$O89,"")</f>
        <v/>
      </c>
      <c r="GH89" s="88" t="str">
        <f aca="false">IF($B89=GH$12,$O89,"")</f>
        <v/>
      </c>
      <c r="GI89" s="88" t="str">
        <f aca="false">IF($B89=GI$12,$O89,"")</f>
        <v/>
      </c>
      <c r="GJ89" s="88" t="str">
        <f aca="false">IF($B89=GJ$12,$O89,"")</f>
        <v/>
      </c>
      <c r="GK89" s="88" t="str">
        <f aca="false">IF($B89=GK$12,$O89,"")</f>
        <v/>
      </c>
      <c r="GL89" s="88" t="str">
        <f aca="false">IF($B89=GL$12,$O89,"")</f>
        <v/>
      </c>
      <c r="GM89" s="88" t="str">
        <f aca="false">IF($B89=GM$12,$O89,"")</f>
        <v/>
      </c>
      <c r="GN89" s="88" t="str">
        <f aca="false">IF($B89=GN$12,$O89,"")</f>
        <v/>
      </c>
      <c r="GO89" s="88" t="str">
        <f aca="false">IF($B89=GO$12,$O89,"")</f>
        <v/>
      </c>
      <c r="GP89" s="88" t="str">
        <f aca="false">IF($B89=GP$12,$O89,"")</f>
        <v/>
      </c>
      <c r="GQ89" s="88" t="str">
        <f aca="false">IF($B89=GQ$12,$O89,"")</f>
        <v/>
      </c>
      <c r="GR89" s="88" t="str">
        <f aca="false">IF($B89=GR$12,$O89,"")</f>
        <v/>
      </c>
      <c r="GS89" s="88" t="str">
        <f aca="false">IF($B89=GS$12,$O89,"")</f>
        <v/>
      </c>
      <c r="GT89" s="88" t="str">
        <f aca="false">IF($B89=GT$12,$O89,"")</f>
        <v/>
      </c>
      <c r="GU89" s="88" t="str">
        <f aca="false">IF($B89=GU$12,$O89,"")</f>
        <v/>
      </c>
      <c r="GV89" s="88" t="str">
        <f aca="false">IF($B89=GV$12,$O89,"")</f>
        <v/>
      </c>
      <c r="GW89" s="88" t="str">
        <f aca="false">IF($B89=GW$12,$O89,"")</f>
        <v/>
      </c>
      <c r="GX89" s="88" t="str">
        <f aca="false">IF($B89=GX$12,$O89,"")</f>
        <v/>
      </c>
      <c r="GY89" s="88" t="str">
        <f aca="false">IF($B89=GY$12,$O89,"")</f>
        <v/>
      </c>
      <c r="GZ89" s="88" t="str">
        <f aca="false">IF($B89=GZ$12,$O89,"")</f>
        <v/>
      </c>
      <c r="HA89" s="88" t="str">
        <f aca="false">IF($B89=HA$12,$O89,"")</f>
        <v/>
      </c>
      <c r="HB89" s="88" t="str">
        <f aca="false">IF($B89=HB$12,$O89,"")</f>
        <v/>
      </c>
      <c r="HC89" s="88" t="str">
        <f aca="false">IF($B89=HC$12,$O89,"")</f>
        <v/>
      </c>
      <c r="HD89" s="88" t="str">
        <f aca="false">IF($B89=HD$12,$O89,"")</f>
        <v/>
      </c>
      <c r="HE89" s="88" t="str">
        <f aca="false">IF($B89=HE$12,$O89,"")</f>
        <v/>
      </c>
      <c r="HF89" s="88" t="str">
        <f aca="false">IF($B89=HF$12,$O89,"")</f>
        <v/>
      </c>
      <c r="HG89" s="88" t="str">
        <f aca="false">IF($B89=HG$12,$O89,"")</f>
        <v/>
      </c>
      <c r="HH89" s="88" t="str">
        <f aca="false">IF($B89=HH$12,$O89,"")</f>
        <v/>
      </c>
      <c r="HI89" s="88" t="str">
        <f aca="false">IF($B89=HI$12,$O89,"")</f>
        <v/>
      </c>
      <c r="HJ89" s="88" t="str">
        <f aca="false">IF($B89=HJ$12,$O89,"")</f>
        <v/>
      </c>
      <c r="HK89" s="88" t="str">
        <f aca="false">IF($B89=HK$12,$O89,"")</f>
        <v/>
      </c>
      <c r="HL89" s="88" t="str">
        <f aca="false">IF($B89=HL$12,$O89,"")</f>
        <v/>
      </c>
      <c r="HM89" s="88" t="str">
        <f aca="false">IF($B89=HM$12,$O89,"")</f>
        <v/>
      </c>
      <c r="HN89" s="88" t="str">
        <f aca="false">IF($B89=HN$12,$O89,"")</f>
        <v/>
      </c>
      <c r="HO89" s="88" t="str">
        <f aca="false">IF($B89=HO$12,$O89,"")</f>
        <v/>
      </c>
      <c r="HP89" s="88" t="str">
        <f aca="false">IF($B89=HP$12,$O89,"")</f>
        <v/>
      </c>
      <c r="HQ89" s="88" t="str">
        <f aca="false">IF($B89=HQ$12,$O89,"")</f>
        <v/>
      </c>
      <c r="HR89" s="89" t="str">
        <f aca="false">IF($B89=HR$12,$O89,"")</f>
        <v/>
      </c>
    </row>
    <row r="90" customFormat="false" ht="10.5" hidden="false" customHeight="true" outlineLevel="0" collapsed="false">
      <c r="A90" s="73"/>
      <c r="B90" s="74"/>
      <c r="C90" s="75" t="str">
        <f aca="false">IF(A90=0,"",VLOOKUP(A90,[3]CO!$A$3:$F$5311,2,0))</f>
        <v/>
      </c>
      <c r="D90" s="76"/>
      <c r="E90" s="76"/>
      <c r="F90" s="76"/>
      <c r="G90" s="77" t="str">
        <f aca="false">IF(A90=0,"",VLOOKUP(A90,[3]CO!$A$3:$F$5311,3,0))</f>
        <v/>
      </c>
      <c r="H90" s="76"/>
      <c r="I90" s="78"/>
      <c r="J90" s="78"/>
      <c r="K90" s="78"/>
      <c r="L90" s="78"/>
      <c r="M90" s="79" t="str">
        <f aca="false">IF(L90=0,"",PRODUCT(I90:L90))</f>
        <v/>
      </c>
      <c r="N90" s="79" t="str">
        <f aca="false">IF(B90=0,"",IF(H90="M",HLOOKUP(B90,$Y$12:$DT$13,2),IF(A90=0,"",VLOOKUP(A90,[3]CO!$A$3:$F$5311,4,0))))</f>
        <v/>
      </c>
      <c r="O90" s="79" t="str">
        <f aca="false">IF(L90=0,"",PRODUCT(M90:N90))</f>
        <v/>
      </c>
      <c r="P90" s="80"/>
      <c r="Q90" s="81" t="str">
        <f aca="false">IF(P90=0,"",(HLOOKUP(P90,$DW$12:$HR$13,2)))</f>
        <v/>
      </c>
      <c r="R90" s="82" t="str">
        <f aca="false">IF(S90=0,"",IF(OR(G90="PEON",G90="OF",G90="JARD",G90="CARP",G90="MAESTRO",G90="SOLD",G90="BGRO",G90="CHOFER",G90="AYTE",G90="S.INTTE.",G90="ASEO",G90="P.PISOS",G90="VELADOR",G90="RESID",G90="PINTOR",G90="ELECT",G90="AZULE",G90="AUX CONT.",G90="SECRETARIA",G90="AUXILIAR ADMTVO.",G90="ARQUITECTO",G90="DIBUJANTE",G90="AUX. DE RESIDENTE"),VLOOKUP(B90,P$14:Q$131,2),"")*S90)</f>
        <v/>
      </c>
      <c r="S90" s="5"/>
      <c r="T90" s="65" t="str">
        <f aca="false">IF(A90=0,"",VLOOKUP(A90,[3]CO!$A$3:$F$5302,5,0))</f>
        <v/>
      </c>
      <c r="U90" s="55" t="n">
        <f aca="false">IF(T90=1,O90*0.1,)</f>
        <v>0</v>
      </c>
      <c r="V90" s="66"/>
      <c r="W90" s="83"/>
      <c r="X90" s="83"/>
      <c r="Y90" s="84" t="str">
        <f aca="false">IF($B90=Y$12,$U90,"")</f>
        <v/>
      </c>
      <c r="Z90" s="85" t="str">
        <f aca="false">IF($B90=Z$12,$U90,"")</f>
        <v/>
      </c>
      <c r="AA90" s="85" t="str">
        <f aca="false">IF($B90=AA$12,$U90,"")</f>
        <v/>
      </c>
      <c r="AB90" s="85" t="str">
        <f aca="false">IF($B90=AB$12,$U90,"")</f>
        <v/>
      </c>
      <c r="AC90" s="85" t="str">
        <f aca="false">IF($B90=AC$12,$U90,"")</f>
        <v/>
      </c>
      <c r="AD90" s="85" t="str">
        <f aca="false">IF($B90=AD$12,$U90,"")</f>
        <v/>
      </c>
      <c r="AE90" s="85" t="str">
        <f aca="false">IF($B90=AE$12,$U90,"")</f>
        <v/>
      </c>
      <c r="AF90" s="85" t="str">
        <f aca="false">IF($B90=AF$12,$U90,"")</f>
        <v/>
      </c>
      <c r="AG90" s="85" t="str">
        <f aca="false">IF($B90=AG$12,$U90,"")</f>
        <v/>
      </c>
      <c r="AH90" s="85" t="str">
        <f aca="false">IF($B90=AH$12,$U90,"")</f>
        <v/>
      </c>
      <c r="AI90" s="85" t="str">
        <f aca="false">IF($B90=AI$12,$U90,"")</f>
        <v/>
      </c>
      <c r="AJ90" s="85" t="str">
        <f aca="false">IF($B90=AJ$12,$U90,"")</f>
        <v/>
      </c>
      <c r="AK90" s="85" t="str">
        <f aca="false">IF($B90=AK$12,$U90,"")</f>
        <v/>
      </c>
      <c r="AL90" s="85" t="str">
        <f aca="false">IF($B90=AL$12,$U90,"")</f>
        <v/>
      </c>
      <c r="AM90" s="85" t="str">
        <f aca="false">IF($B90=AM$12,$U90,"")</f>
        <v/>
      </c>
      <c r="AN90" s="85" t="str">
        <f aca="false">IF($B90=AN$12,$U90,"")</f>
        <v/>
      </c>
      <c r="AO90" s="85" t="str">
        <f aca="false">IF($B90=AO$12,$U90,"")</f>
        <v/>
      </c>
      <c r="AP90" s="85" t="str">
        <f aca="false">IF($B90=AP$12,$U90,"")</f>
        <v/>
      </c>
      <c r="AQ90" s="85" t="str">
        <f aca="false">IF($B90=AQ$12,$U90,"")</f>
        <v/>
      </c>
      <c r="AR90" s="85" t="str">
        <f aca="false">IF($B90=AR$12,$U90,"")</f>
        <v/>
      </c>
      <c r="AS90" s="85" t="str">
        <f aca="false">IF($B90=AS$12,$U90,"")</f>
        <v/>
      </c>
      <c r="AT90" s="85" t="str">
        <f aca="false">IF($B90=AT$12,$U90,"")</f>
        <v/>
      </c>
      <c r="AU90" s="85" t="str">
        <f aca="false">IF($B90=AU$12,$U90,"")</f>
        <v/>
      </c>
      <c r="AV90" s="85" t="str">
        <f aca="false">IF($B90=AV$12,$U90,"")</f>
        <v/>
      </c>
      <c r="AW90" s="85" t="str">
        <f aca="false">IF($B90=AW$12,$U90,"")</f>
        <v/>
      </c>
      <c r="AX90" s="85" t="str">
        <f aca="false">IF($B90=AX$12,$U90,"")</f>
        <v/>
      </c>
      <c r="AY90" s="85" t="str">
        <f aca="false">IF($B90=AY$12,$U90,"")</f>
        <v/>
      </c>
      <c r="AZ90" s="85" t="str">
        <f aca="false">IF($B90=AZ$12,$U90,"")</f>
        <v/>
      </c>
      <c r="BA90" s="85" t="str">
        <f aca="false">IF($B90=BA$12,$U90,"")</f>
        <v/>
      </c>
      <c r="BB90" s="85" t="str">
        <f aca="false">IF($B90=BB$12,$U90,"")</f>
        <v/>
      </c>
      <c r="BC90" s="85" t="str">
        <f aca="false">IF($B90=BC$12,$U90,"")</f>
        <v/>
      </c>
      <c r="BD90" s="85" t="str">
        <f aca="false">IF($B90=BD$12,$U90,"")</f>
        <v/>
      </c>
      <c r="BE90" s="85" t="str">
        <f aca="false">IF($B90=BE$12,$U90,"")</f>
        <v/>
      </c>
      <c r="BF90" s="85" t="str">
        <f aca="false">IF($B90=BF$12,$U90,"")</f>
        <v/>
      </c>
      <c r="BG90" s="85" t="str">
        <f aca="false">IF($B90=BG$12,$U90,"")</f>
        <v/>
      </c>
      <c r="BH90" s="85" t="str">
        <f aca="false">IF($B90=BH$12,$U90,"")</f>
        <v/>
      </c>
      <c r="BI90" s="85" t="str">
        <f aca="false">IF($B90=BI$12,$U90,"")</f>
        <v/>
      </c>
      <c r="BJ90" s="85" t="str">
        <f aca="false">IF($B90=BJ$12,$U90,"")</f>
        <v/>
      </c>
      <c r="BK90" s="85" t="str">
        <f aca="false">IF($B90=BK$12,$U90,"")</f>
        <v/>
      </c>
      <c r="BL90" s="85" t="str">
        <f aca="false">IF($B90=BL$12,$U90,"")</f>
        <v/>
      </c>
      <c r="BM90" s="85" t="str">
        <f aca="false">IF($B90=BM$12,$U90,"")</f>
        <v/>
      </c>
      <c r="BN90" s="85" t="str">
        <f aca="false">IF($B90=BN$12,$U90,"")</f>
        <v/>
      </c>
      <c r="BO90" s="85" t="str">
        <f aca="false">IF($B90=BO$12,$U90,"")</f>
        <v/>
      </c>
      <c r="BP90" s="85" t="str">
        <f aca="false">IF($B90=BP$12,$U90,"")</f>
        <v/>
      </c>
      <c r="BQ90" s="85" t="str">
        <f aca="false">IF($B90=BQ$12,$U90,"")</f>
        <v/>
      </c>
      <c r="BR90" s="85" t="str">
        <f aca="false">IF($B90=BR$12,$U90,"")</f>
        <v/>
      </c>
      <c r="BS90" s="85" t="str">
        <f aca="false">IF($B90=BS$12,$U90,"")</f>
        <v/>
      </c>
      <c r="BT90" s="85" t="str">
        <f aca="false">IF($B90=BT$12,$U90,"")</f>
        <v/>
      </c>
      <c r="BU90" s="85" t="str">
        <f aca="false">IF($B90=BU$12,$U90,"")</f>
        <v/>
      </c>
      <c r="BV90" s="85" t="str">
        <f aca="false">IF($B90=BV$12,$U90,"")</f>
        <v/>
      </c>
      <c r="BW90" s="85" t="str">
        <f aca="false">IF($B90=BW$12,$U90,"")</f>
        <v/>
      </c>
      <c r="BX90" s="85" t="str">
        <f aca="false">IF($B90=BX$12,$U90,"")</f>
        <v/>
      </c>
      <c r="BY90" s="85" t="str">
        <f aca="false">IF($B90=BY$12,$U90,"")</f>
        <v/>
      </c>
      <c r="BZ90" s="85" t="str">
        <f aca="false">IF($B90=BZ$12,$U90,"")</f>
        <v/>
      </c>
      <c r="CA90" s="85" t="str">
        <f aca="false">IF($B90=CA$12,$U90,"")</f>
        <v/>
      </c>
      <c r="CB90" s="85" t="str">
        <f aca="false">IF($B90=CB$12,$U90,"")</f>
        <v/>
      </c>
      <c r="CC90" s="85" t="str">
        <f aca="false">IF($B90=CC$12,$U90,"")</f>
        <v/>
      </c>
      <c r="CD90" s="85" t="str">
        <f aca="false">IF($B90=CD$12,$U90,"")</f>
        <v/>
      </c>
      <c r="CE90" s="85" t="str">
        <f aca="false">IF($B90=CE$12,$U90,"")</f>
        <v/>
      </c>
      <c r="CF90" s="85" t="str">
        <f aca="false">IF($B90=CF$12,$U90,"")</f>
        <v/>
      </c>
      <c r="CG90" s="85" t="str">
        <f aca="false">IF($B90=CG$12,$U90,"")</f>
        <v/>
      </c>
      <c r="CH90" s="85" t="str">
        <f aca="false">IF($B90=CH$12,$U90,"")</f>
        <v/>
      </c>
      <c r="CI90" s="85" t="str">
        <f aca="false">IF($B90=CI$12,$U90,"")</f>
        <v/>
      </c>
      <c r="CJ90" s="85" t="str">
        <f aca="false">IF($B90=CJ$12,$U90,"")</f>
        <v/>
      </c>
      <c r="CK90" s="85" t="str">
        <f aca="false">IF($B90=CK$12,$U90,"")</f>
        <v/>
      </c>
      <c r="CL90" s="85" t="str">
        <f aca="false">IF($B90=CL$12,$U90,"")</f>
        <v/>
      </c>
      <c r="CM90" s="85" t="str">
        <f aca="false">IF($B90=CM$12,$U90,"")</f>
        <v/>
      </c>
      <c r="CN90" s="85" t="str">
        <f aca="false">IF($B90=CN$12,$U90,"")</f>
        <v/>
      </c>
      <c r="CO90" s="85" t="str">
        <f aca="false">IF($B90=CO$12,$U90,"")</f>
        <v/>
      </c>
      <c r="CP90" s="85" t="str">
        <f aca="false">IF($B90=CP$12,$U90,"")</f>
        <v/>
      </c>
      <c r="CQ90" s="85" t="str">
        <f aca="false">IF($B90=CQ$12,$U90,"")</f>
        <v/>
      </c>
      <c r="CR90" s="85" t="str">
        <f aca="false">IF($B90=CR$12,$U90,"")</f>
        <v/>
      </c>
      <c r="CS90" s="85" t="str">
        <f aca="false">IF($B90=CS$12,$U90,"")</f>
        <v/>
      </c>
      <c r="CT90" s="85" t="str">
        <f aca="false">IF($B90=CT$12,$U90,"")</f>
        <v/>
      </c>
      <c r="CU90" s="85" t="str">
        <f aca="false">IF($B90=CU$12,$U90,"")</f>
        <v/>
      </c>
      <c r="CV90" s="85" t="str">
        <f aca="false">IF($B90=CV$12,$U90,"")</f>
        <v/>
      </c>
      <c r="CW90" s="85" t="str">
        <f aca="false">IF($B90=CW$12,$U90,"")</f>
        <v/>
      </c>
      <c r="CX90" s="85" t="str">
        <f aca="false">IF($B90=CX$12,$U90,"")</f>
        <v/>
      </c>
      <c r="CY90" s="85" t="str">
        <f aca="false">IF($B90=CY$12,$U90,"")</f>
        <v/>
      </c>
      <c r="CZ90" s="85" t="str">
        <f aca="false">IF($B90=CZ$12,$U90,"")</f>
        <v/>
      </c>
      <c r="DA90" s="85" t="str">
        <f aca="false">IF($B90=DA$12,$U90,"")</f>
        <v/>
      </c>
      <c r="DB90" s="85" t="str">
        <f aca="false">IF($B90=DB$12,$U90,"")</f>
        <v/>
      </c>
      <c r="DC90" s="85" t="str">
        <f aca="false">IF($B90=DC$12,$U90,"")</f>
        <v/>
      </c>
      <c r="DD90" s="85" t="str">
        <f aca="false">IF($B90=DD$12,$U90,"")</f>
        <v/>
      </c>
      <c r="DE90" s="85" t="str">
        <f aca="false">IF($B90=DE$12,$U90,"")</f>
        <v/>
      </c>
      <c r="DF90" s="85" t="str">
        <f aca="false">IF($B90=DF$12,$U90,"")</f>
        <v/>
      </c>
      <c r="DG90" s="85" t="str">
        <f aca="false">IF($B90=DG$12,$U90,"")</f>
        <v/>
      </c>
      <c r="DH90" s="85" t="str">
        <f aca="false">IF($B90=DH$12,$U90,"")</f>
        <v/>
      </c>
      <c r="DI90" s="85" t="str">
        <f aca="false">IF($B90=DI$12,$U90,"")</f>
        <v/>
      </c>
      <c r="DJ90" s="85" t="str">
        <f aca="false">IF($B90=DJ$12,$U90,"")</f>
        <v/>
      </c>
      <c r="DK90" s="85" t="str">
        <f aca="false">IF($B90=DK$12,$U90,"")</f>
        <v/>
      </c>
      <c r="DL90" s="85" t="str">
        <f aca="false">IF($B90=DL$12,$U90,"")</f>
        <v/>
      </c>
      <c r="DM90" s="85" t="str">
        <f aca="false">IF($B90=DM$12,$U90,"")</f>
        <v/>
      </c>
      <c r="DN90" s="85" t="str">
        <f aca="false">IF($B90=DN$12,$U90,"")</f>
        <v/>
      </c>
      <c r="DO90" s="85" t="str">
        <f aca="false">IF($B90=DO$12,$U90,"")</f>
        <v/>
      </c>
      <c r="DP90" s="85" t="str">
        <f aca="false">IF($B90=DP$12,$U90,"")</f>
        <v/>
      </c>
      <c r="DQ90" s="85" t="str">
        <f aca="false">IF($B90=DQ$12,$U90,"")</f>
        <v/>
      </c>
      <c r="DR90" s="85" t="str">
        <f aca="false">IF($B90=DR$12,$U90,"")</f>
        <v/>
      </c>
      <c r="DS90" s="85" t="str">
        <f aca="false">IF($B90=DS$12,$U90,"")</f>
        <v/>
      </c>
      <c r="DT90" s="86" t="str">
        <f aca="false">IF($B90=DT$12,$U90,"")</f>
        <v/>
      </c>
      <c r="DU90" s="55"/>
      <c r="DV90" s="83"/>
      <c r="DW90" s="87" t="str">
        <f aca="false">IF($B90=DW$12,$O90,"")</f>
        <v/>
      </c>
      <c r="DX90" s="88" t="str">
        <f aca="false">IF($B90=DX$12,$O90,"")</f>
        <v/>
      </c>
      <c r="DY90" s="88" t="str">
        <f aca="false">IF($B90=DY$12,$O90,"")</f>
        <v/>
      </c>
      <c r="DZ90" s="88" t="str">
        <f aca="false">IF($B90=DZ$12,$O90,"")</f>
        <v/>
      </c>
      <c r="EA90" s="88" t="str">
        <f aca="false">IF($B90=EA$12,$O90,"")</f>
        <v/>
      </c>
      <c r="EB90" s="88" t="str">
        <f aca="false">IF($B90=EB$12,$O90,"")</f>
        <v/>
      </c>
      <c r="EC90" s="88" t="str">
        <f aca="false">IF($B90=EC$12,$O90,"")</f>
        <v/>
      </c>
      <c r="ED90" s="88" t="str">
        <f aca="false">IF($B90=ED$12,$O90,"")</f>
        <v/>
      </c>
      <c r="EE90" s="88" t="str">
        <f aca="false">IF($B90=EE$12,$O90,"")</f>
        <v/>
      </c>
      <c r="EF90" s="88" t="str">
        <f aca="false">IF($B90=EF$12,$O90,"")</f>
        <v/>
      </c>
      <c r="EG90" s="88" t="str">
        <f aca="false">IF($B90=EG$12,$O90,"")</f>
        <v/>
      </c>
      <c r="EH90" s="88" t="str">
        <f aca="false">IF($B90=EH$12,$O90,"")</f>
        <v/>
      </c>
      <c r="EI90" s="88" t="str">
        <f aca="false">IF($B90=EI$12,$O90,"")</f>
        <v/>
      </c>
      <c r="EJ90" s="88" t="str">
        <f aca="false">IF($B90=EJ$12,$O90,"")</f>
        <v/>
      </c>
      <c r="EK90" s="88" t="str">
        <f aca="false">IF($B90=EK$12,$O90,"")</f>
        <v/>
      </c>
      <c r="EL90" s="88" t="str">
        <f aca="false">IF($B90=EL$12,$O90,"")</f>
        <v/>
      </c>
      <c r="EM90" s="88" t="str">
        <f aca="false">IF($B90=EM$12,$O90,"")</f>
        <v/>
      </c>
      <c r="EN90" s="88" t="str">
        <f aca="false">IF($B90=EN$12,$O90,"")</f>
        <v/>
      </c>
      <c r="EO90" s="88" t="str">
        <f aca="false">IF($B90=EO$12,$O90,"")</f>
        <v/>
      </c>
      <c r="EP90" s="88" t="str">
        <f aca="false">IF($B90=EP$12,$O90,"")</f>
        <v/>
      </c>
      <c r="EQ90" s="88" t="str">
        <f aca="false">IF($B90=EQ$12,$O90,"")</f>
        <v/>
      </c>
      <c r="ER90" s="88" t="str">
        <f aca="false">IF($B90=ER$12,$O90,"")</f>
        <v/>
      </c>
      <c r="ES90" s="88" t="str">
        <f aca="false">IF($B90=ES$12,$O90,"")</f>
        <v/>
      </c>
      <c r="ET90" s="88" t="str">
        <f aca="false">IF($B90=ET$12,$O90,"")</f>
        <v/>
      </c>
      <c r="EU90" s="88" t="str">
        <f aca="false">IF($B90=EU$12,$O90,"")</f>
        <v/>
      </c>
      <c r="EV90" s="88" t="str">
        <f aca="false">IF($B90=EV$12,$O90,"")</f>
        <v/>
      </c>
      <c r="EW90" s="88" t="str">
        <f aca="false">IF($B90=EW$12,$O90,"")</f>
        <v/>
      </c>
      <c r="EX90" s="88" t="str">
        <f aca="false">IF($B90=EX$12,$O90,"")</f>
        <v/>
      </c>
      <c r="EY90" s="88" t="str">
        <f aca="false">IF($B90=EY$12,$O90,"")</f>
        <v/>
      </c>
      <c r="EZ90" s="88" t="str">
        <f aca="false">IF($B90=EZ$12,$O90,"")</f>
        <v/>
      </c>
      <c r="FA90" s="88" t="str">
        <f aca="false">IF($B90=FA$12,$O90,"")</f>
        <v/>
      </c>
      <c r="FB90" s="88" t="str">
        <f aca="false">IF($B90=FB$12,$O90,"")</f>
        <v/>
      </c>
      <c r="FC90" s="88" t="str">
        <f aca="false">IF($B90=FC$12,$O90,"")</f>
        <v/>
      </c>
      <c r="FD90" s="88" t="str">
        <f aca="false">IF($B90=FD$12,$O90,"")</f>
        <v/>
      </c>
      <c r="FE90" s="88" t="str">
        <f aca="false">IF($B90=FE$12,$O90,"")</f>
        <v/>
      </c>
      <c r="FF90" s="88" t="str">
        <f aca="false">IF($B90=FF$12,$O90,"")</f>
        <v/>
      </c>
      <c r="FG90" s="88" t="str">
        <f aca="false">IF($B90=FG$12,$O90,"")</f>
        <v/>
      </c>
      <c r="FH90" s="88" t="str">
        <f aca="false">IF($B90=FH$12,$O90,"")</f>
        <v/>
      </c>
      <c r="FI90" s="88" t="str">
        <f aca="false">IF($B90=FI$12,$O90,"")</f>
        <v/>
      </c>
      <c r="FJ90" s="88" t="str">
        <f aca="false">IF($B90=FJ$12,$O90,"")</f>
        <v/>
      </c>
      <c r="FK90" s="88" t="str">
        <f aca="false">IF($B90=FK$12,$O90,"")</f>
        <v/>
      </c>
      <c r="FL90" s="88" t="str">
        <f aca="false">IF($B90=FL$12,$O90,"")</f>
        <v/>
      </c>
      <c r="FM90" s="88" t="str">
        <f aca="false">IF($B90=FM$12,$O90,"")</f>
        <v/>
      </c>
      <c r="FN90" s="88" t="str">
        <f aca="false">IF($B90=FN$12,$O90,"")</f>
        <v/>
      </c>
      <c r="FO90" s="88" t="str">
        <f aca="false">IF($B90=FO$12,$O90,"")</f>
        <v/>
      </c>
      <c r="FP90" s="88" t="str">
        <f aca="false">IF($B90=FP$12,$O90,"")</f>
        <v/>
      </c>
      <c r="FQ90" s="88" t="str">
        <f aca="false">IF($B90=FQ$12,$O90,"")</f>
        <v/>
      </c>
      <c r="FR90" s="88" t="str">
        <f aca="false">IF($B90=FR$12,$O90,"")</f>
        <v/>
      </c>
      <c r="FS90" s="88" t="str">
        <f aca="false">IF($B90=FS$12,$O90,"")</f>
        <v/>
      </c>
      <c r="FT90" s="88" t="str">
        <f aca="false">IF($B90=FT$12,$O90,"")</f>
        <v/>
      </c>
      <c r="FU90" s="88" t="str">
        <f aca="false">IF($B90=FU$12,$O90,"")</f>
        <v/>
      </c>
      <c r="FV90" s="88" t="str">
        <f aca="false">IF($B90=FV$12,$O90,"")</f>
        <v/>
      </c>
      <c r="FW90" s="88" t="str">
        <f aca="false">IF($B90=FW$12,$O90,"")</f>
        <v/>
      </c>
      <c r="FX90" s="88" t="str">
        <f aca="false">IF($B90=FX$12,$O90,"")</f>
        <v/>
      </c>
      <c r="FY90" s="88" t="str">
        <f aca="false">IF($B90=FY$12,$O90,"")</f>
        <v/>
      </c>
      <c r="FZ90" s="88" t="str">
        <f aca="false">IF($B90=FZ$12,$O90,"")</f>
        <v/>
      </c>
      <c r="GA90" s="88" t="str">
        <f aca="false">IF($B90=GA$12,$O90,"")</f>
        <v/>
      </c>
      <c r="GB90" s="88" t="str">
        <f aca="false">IF($B90=GB$12,$O90,"")</f>
        <v/>
      </c>
      <c r="GC90" s="88" t="str">
        <f aca="false">IF($B90=GC$12,$O90,"")</f>
        <v/>
      </c>
      <c r="GD90" s="88" t="str">
        <f aca="false">IF($B90=GD$12,$O90,"")</f>
        <v/>
      </c>
      <c r="GE90" s="88" t="str">
        <f aca="false">IF($B90=GE$12,$O90,"")</f>
        <v/>
      </c>
      <c r="GF90" s="88" t="str">
        <f aca="false">IF($B90=GF$12,$O90,"")</f>
        <v/>
      </c>
      <c r="GG90" s="88" t="str">
        <f aca="false">IF($B90=GG$12,$O90,"")</f>
        <v/>
      </c>
      <c r="GH90" s="88" t="str">
        <f aca="false">IF($B90=GH$12,$O90,"")</f>
        <v/>
      </c>
      <c r="GI90" s="88" t="str">
        <f aca="false">IF($B90=GI$12,$O90,"")</f>
        <v/>
      </c>
      <c r="GJ90" s="88" t="str">
        <f aca="false">IF($B90=GJ$12,$O90,"")</f>
        <v/>
      </c>
      <c r="GK90" s="88" t="str">
        <f aca="false">IF($B90=GK$12,$O90,"")</f>
        <v/>
      </c>
      <c r="GL90" s="88" t="str">
        <f aca="false">IF($B90=GL$12,$O90,"")</f>
        <v/>
      </c>
      <c r="GM90" s="88" t="str">
        <f aca="false">IF($B90=GM$12,$O90,"")</f>
        <v/>
      </c>
      <c r="GN90" s="88" t="str">
        <f aca="false">IF($B90=GN$12,$O90,"")</f>
        <v/>
      </c>
      <c r="GO90" s="88" t="str">
        <f aca="false">IF($B90=GO$12,$O90,"")</f>
        <v/>
      </c>
      <c r="GP90" s="88" t="str">
        <f aca="false">IF($B90=GP$12,$O90,"")</f>
        <v/>
      </c>
      <c r="GQ90" s="88" t="str">
        <f aca="false">IF($B90=GQ$12,$O90,"")</f>
        <v/>
      </c>
      <c r="GR90" s="88" t="str">
        <f aca="false">IF($B90=GR$12,$O90,"")</f>
        <v/>
      </c>
      <c r="GS90" s="88" t="str">
        <f aca="false">IF($B90=GS$12,$O90,"")</f>
        <v/>
      </c>
      <c r="GT90" s="88" t="str">
        <f aca="false">IF($B90=GT$12,$O90,"")</f>
        <v/>
      </c>
      <c r="GU90" s="88" t="str">
        <f aca="false">IF($B90=GU$12,$O90,"")</f>
        <v/>
      </c>
      <c r="GV90" s="88" t="str">
        <f aca="false">IF($B90=GV$12,$O90,"")</f>
        <v/>
      </c>
      <c r="GW90" s="88" t="str">
        <f aca="false">IF($B90=GW$12,$O90,"")</f>
        <v/>
      </c>
      <c r="GX90" s="88" t="str">
        <f aca="false">IF($B90=GX$12,$O90,"")</f>
        <v/>
      </c>
      <c r="GY90" s="88" t="str">
        <f aca="false">IF($B90=GY$12,$O90,"")</f>
        <v/>
      </c>
      <c r="GZ90" s="88" t="str">
        <f aca="false">IF($B90=GZ$12,$O90,"")</f>
        <v/>
      </c>
      <c r="HA90" s="88" t="str">
        <f aca="false">IF($B90=HA$12,$O90,"")</f>
        <v/>
      </c>
      <c r="HB90" s="88" t="str">
        <f aca="false">IF($B90=HB$12,$O90,"")</f>
        <v/>
      </c>
      <c r="HC90" s="88" t="str">
        <f aca="false">IF($B90=HC$12,$O90,"")</f>
        <v/>
      </c>
      <c r="HD90" s="88" t="str">
        <f aca="false">IF($B90=HD$12,$O90,"")</f>
        <v/>
      </c>
      <c r="HE90" s="88" t="str">
        <f aca="false">IF($B90=HE$12,$O90,"")</f>
        <v/>
      </c>
      <c r="HF90" s="88" t="str">
        <f aca="false">IF($B90=HF$12,$O90,"")</f>
        <v/>
      </c>
      <c r="HG90" s="88" t="str">
        <f aca="false">IF($B90=HG$12,$O90,"")</f>
        <v/>
      </c>
      <c r="HH90" s="88" t="str">
        <f aca="false">IF($B90=HH$12,$O90,"")</f>
        <v/>
      </c>
      <c r="HI90" s="88" t="str">
        <f aca="false">IF($B90=HI$12,$O90,"")</f>
        <v/>
      </c>
      <c r="HJ90" s="88" t="str">
        <f aca="false">IF($B90=HJ$12,$O90,"")</f>
        <v/>
      </c>
      <c r="HK90" s="88" t="str">
        <f aca="false">IF($B90=HK$12,$O90,"")</f>
        <v/>
      </c>
      <c r="HL90" s="88" t="str">
        <f aca="false">IF($B90=HL$12,$O90,"")</f>
        <v/>
      </c>
      <c r="HM90" s="88" t="str">
        <f aca="false">IF($B90=HM$12,$O90,"")</f>
        <v/>
      </c>
      <c r="HN90" s="88" t="str">
        <f aca="false">IF($B90=HN$12,$O90,"")</f>
        <v/>
      </c>
      <c r="HO90" s="88" t="str">
        <f aca="false">IF($B90=HO$12,$O90,"")</f>
        <v/>
      </c>
      <c r="HP90" s="88" t="str">
        <f aca="false">IF($B90=HP$12,$O90,"")</f>
        <v/>
      </c>
      <c r="HQ90" s="88" t="str">
        <f aca="false">IF($B90=HQ$12,$O90,"")</f>
        <v/>
      </c>
      <c r="HR90" s="89" t="str">
        <f aca="false">IF($B90=HR$12,$O90,"")</f>
        <v/>
      </c>
    </row>
    <row r="91" customFormat="false" ht="10.5" hidden="false" customHeight="true" outlineLevel="0" collapsed="false">
      <c r="A91" s="73"/>
      <c r="B91" s="74"/>
      <c r="C91" s="75" t="str">
        <f aca="false">IF(A91=0,"",VLOOKUP(A91,[3]CO!$A$3:$F$5311,2,0))</f>
        <v/>
      </c>
      <c r="D91" s="76"/>
      <c r="E91" s="76"/>
      <c r="F91" s="76"/>
      <c r="G91" s="77" t="str">
        <f aca="false">IF(A91=0,"",VLOOKUP(A91,[3]CO!$A$3:$F$5311,3,0))</f>
        <v/>
      </c>
      <c r="H91" s="76"/>
      <c r="I91" s="78"/>
      <c r="J91" s="78"/>
      <c r="K91" s="78"/>
      <c r="L91" s="78"/>
      <c r="M91" s="79" t="str">
        <f aca="false">IF(L91=0,"",PRODUCT(I91:L91))</f>
        <v/>
      </c>
      <c r="N91" s="79" t="str">
        <f aca="false">IF(B91=0,"",IF(H91="M",HLOOKUP(B91,$Y$12:$DT$13,2),IF(A91=0,"",VLOOKUP(A91,[3]CO!$A$3:$F$5311,4,0))))</f>
        <v/>
      </c>
      <c r="O91" s="79" t="str">
        <f aca="false">IF(L91=0,"",PRODUCT(M91:N91))</f>
        <v/>
      </c>
      <c r="P91" s="80"/>
      <c r="Q91" s="81" t="str">
        <f aca="false">IF(P91=0,"",(HLOOKUP(P91,$DW$12:$HR$13,2)))</f>
        <v/>
      </c>
      <c r="R91" s="82" t="str">
        <f aca="false">IF(S91=0,"",IF(OR(G91="PEON",G91="OF",G91="JARD",G91="CARP",G91="MAESTRO",G91="SOLD",G91="BGRO",G91="CHOFER",G91="AYTE",G91="S.INTTE.",G91="ASEO",G91="P.PISOS",G91="VELADOR",G91="RESID",G91="PINTOR",G91="ELECT",G91="AZULE",G91="AUX CONT.",G91="SECRETARIA",G91="AUXILIAR ADMTVO.",G91="ARQUITECTO",G91="DIBUJANTE",G91="AUX. DE RESIDENTE"),VLOOKUP(B91,P$14:Q$131,2),"")*S91)</f>
        <v/>
      </c>
      <c r="S91" s="5"/>
      <c r="T91" s="65" t="str">
        <f aca="false">IF(A91=0,"",VLOOKUP(A91,[3]CO!$A$3:$F$5302,5,0))</f>
        <v/>
      </c>
      <c r="U91" s="55" t="n">
        <f aca="false">IF(T91=1,O91*0.1,)</f>
        <v>0</v>
      </c>
      <c r="V91" s="66"/>
      <c r="W91" s="83"/>
      <c r="X91" s="83"/>
      <c r="Y91" s="84" t="str">
        <f aca="false">IF($B91=Y$12,$U91,"")</f>
        <v/>
      </c>
      <c r="Z91" s="85" t="str">
        <f aca="false">IF($B91=Z$12,$U91,"")</f>
        <v/>
      </c>
      <c r="AA91" s="85" t="str">
        <f aca="false">IF($B91=AA$12,$U91,"")</f>
        <v/>
      </c>
      <c r="AB91" s="85" t="str">
        <f aca="false">IF($B91=AB$12,$U91,"")</f>
        <v/>
      </c>
      <c r="AC91" s="85" t="str">
        <f aca="false">IF($B91=AC$12,$U91,"")</f>
        <v/>
      </c>
      <c r="AD91" s="85" t="str">
        <f aca="false">IF($B91=AD$12,$U91,"")</f>
        <v/>
      </c>
      <c r="AE91" s="85" t="str">
        <f aca="false">IF($B91=AE$12,$U91,"")</f>
        <v/>
      </c>
      <c r="AF91" s="85" t="str">
        <f aca="false">IF($B91=AF$12,$U91,"")</f>
        <v/>
      </c>
      <c r="AG91" s="85" t="str">
        <f aca="false">IF($B91=AG$12,$U91,"")</f>
        <v/>
      </c>
      <c r="AH91" s="85" t="str">
        <f aca="false">IF($B91=AH$12,$U91,"")</f>
        <v/>
      </c>
      <c r="AI91" s="85" t="str">
        <f aca="false">IF($B91=AI$12,$U91,"")</f>
        <v/>
      </c>
      <c r="AJ91" s="85" t="str">
        <f aca="false">IF($B91=AJ$12,$U91,"")</f>
        <v/>
      </c>
      <c r="AK91" s="85" t="str">
        <f aca="false">IF($B91=AK$12,$U91,"")</f>
        <v/>
      </c>
      <c r="AL91" s="85" t="str">
        <f aca="false">IF($B91=AL$12,$U91,"")</f>
        <v/>
      </c>
      <c r="AM91" s="85" t="str">
        <f aca="false">IF($B91=AM$12,$U91,"")</f>
        <v/>
      </c>
      <c r="AN91" s="85" t="str">
        <f aca="false">IF($B91=AN$12,$U91,"")</f>
        <v/>
      </c>
      <c r="AO91" s="85" t="str">
        <f aca="false">IF($B91=AO$12,$U91,"")</f>
        <v/>
      </c>
      <c r="AP91" s="85" t="str">
        <f aca="false">IF($B91=AP$12,$U91,"")</f>
        <v/>
      </c>
      <c r="AQ91" s="85" t="str">
        <f aca="false">IF($B91=AQ$12,$U91,"")</f>
        <v/>
      </c>
      <c r="AR91" s="85" t="str">
        <f aca="false">IF($B91=AR$12,$U91,"")</f>
        <v/>
      </c>
      <c r="AS91" s="85" t="str">
        <f aca="false">IF($B91=AS$12,$U91,"")</f>
        <v/>
      </c>
      <c r="AT91" s="85" t="str">
        <f aca="false">IF($B91=AT$12,$U91,"")</f>
        <v/>
      </c>
      <c r="AU91" s="85" t="str">
        <f aca="false">IF($B91=AU$12,$U91,"")</f>
        <v/>
      </c>
      <c r="AV91" s="85" t="str">
        <f aca="false">IF($B91=AV$12,$U91,"")</f>
        <v/>
      </c>
      <c r="AW91" s="85" t="str">
        <f aca="false">IF($B91=AW$12,$U91,"")</f>
        <v/>
      </c>
      <c r="AX91" s="85" t="str">
        <f aca="false">IF($B91=AX$12,$U91,"")</f>
        <v/>
      </c>
      <c r="AY91" s="85" t="str">
        <f aca="false">IF($B91=AY$12,$U91,"")</f>
        <v/>
      </c>
      <c r="AZ91" s="85" t="str">
        <f aca="false">IF($B91=AZ$12,$U91,"")</f>
        <v/>
      </c>
      <c r="BA91" s="85" t="str">
        <f aca="false">IF($B91=BA$12,$U91,"")</f>
        <v/>
      </c>
      <c r="BB91" s="85" t="str">
        <f aca="false">IF($B91=BB$12,$U91,"")</f>
        <v/>
      </c>
      <c r="BC91" s="85" t="str">
        <f aca="false">IF($B91=BC$12,$U91,"")</f>
        <v/>
      </c>
      <c r="BD91" s="85" t="str">
        <f aca="false">IF($B91=BD$12,$U91,"")</f>
        <v/>
      </c>
      <c r="BE91" s="85" t="str">
        <f aca="false">IF($B91=BE$12,$U91,"")</f>
        <v/>
      </c>
      <c r="BF91" s="85" t="str">
        <f aca="false">IF($B91=BF$12,$U91,"")</f>
        <v/>
      </c>
      <c r="BG91" s="85" t="str">
        <f aca="false">IF($B91=BG$12,$U91,"")</f>
        <v/>
      </c>
      <c r="BH91" s="85" t="str">
        <f aca="false">IF($B91=BH$12,$U91,"")</f>
        <v/>
      </c>
      <c r="BI91" s="85" t="str">
        <f aca="false">IF($B91=BI$12,$U91,"")</f>
        <v/>
      </c>
      <c r="BJ91" s="85" t="str">
        <f aca="false">IF($B91=BJ$12,$U91,"")</f>
        <v/>
      </c>
      <c r="BK91" s="85" t="str">
        <f aca="false">IF($B91=BK$12,$U91,"")</f>
        <v/>
      </c>
      <c r="BL91" s="85" t="str">
        <f aca="false">IF($B91=BL$12,$U91,"")</f>
        <v/>
      </c>
      <c r="BM91" s="85" t="str">
        <f aca="false">IF($B91=BM$12,$U91,"")</f>
        <v/>
      </c>
      <c r="BN91" s="85" t="str">
        <f aca="false">IF($B91=BN$12,$U91,"")</f>
        <v/>
      </c>
      <c r="BO91" s="85" t="str">
        <f aca="false">IF($B91=BO$12,$U91,"")</f>
        <v/>
      </c>
      <c r="BP91" s="85" t="str">
        <f aca="false">IF($B91=BP$12,$U91,"")</f>
        <v/>
      </c>
      <c r="BQ91" s="85" t="str">
        <f aca="false">IF($B91=BQ$12,$U91,"")</f>
        <v/>
      </c>
      <c r="BR91" s="85" t="str">
        <f aca="false">IF($B91=BR$12,$U91,"")</f>
        <v/>
      </c>
      <c r="BS91" s="85" t="str">
        <f aca="false">IF($B91=BS$12,$U91,"")</f>
        <v/>
      </c>
      <c r="BT91" s="85" t="str">
        <f aca="false">IF($B91=BT$12,$U91,"")</f>
        <v/>
      </c>
      <c r="BU91" s="85" t="str">
        <f aca="false">IF($B91=BU$12,$U91,"")</f>
        <v/>
      </c>
      <c r="BV91" s="85" t="str">
        <f aca="false">IF($B91=BV$12,$U91,"")</f>
        <v/>
      </c>
      <c r="BW91" s="85" t="str">
        <f aca="false">IF($B91=BW$12,$U91,"")</f>
        <v/>
      </c>
      <c r="BX91" s="85" t="str">
        <f aca="false">IF($B91=BX$12,$U91,"")</f>
        <v/>
      </c>
      <c r="BY91" s="85" t="str">
        <f aca="false">IF($B91=BY$12,$U91,"")</f>
        <v/>
      </c>
      <c r="BZ91" s="85" t="str">
        <f aca="false">IF($B91=BZ$12,$U91,"")</f>
        <v/>
      </c>
      <c r="CA91" s="85" t="str">
        <f aca="false">IF($B91=CA$12,$U91,"")</f>
        <v/>
      </c>
      <c r="CB91" s="85" t="str">
        <f aca="false">IF($B91=CB$12,$U91,"")</f>
        <v/>
      </c>
      <c r="CC91" s="85" t="str">
        <f aca="false">IF($B91=CC$12,$U91,"")</f>
        <v/>
      </c>
      <c r="CD91" s="85" t="str">
        <f aca="false">IF($B91=CD$12,$U91,"")</f>
        <v/>
      </c>
      <c r="CE91" s="85" t="str">
        <f aca="false">IF($B91=CE$12,$U91,"")</f>
        <v/>
      </c>
      <c r="CF91" s="85" t="str">
        <f aca="false">IF($B91=CF$12,$U91,"")</f>
        <v/>
      </c>
      <c r="CG91" s="85" t="str">
        <f aca="false">IF($B91=CG$12,$U91,"")</f>
        <v/>
      </c>
      <c r="CH91" s="85" t="str">
        <f aca="false">IF($B91=CH$12,$U91,"")</f>
        <v/>
      </c>
      <c r="CI91" s="85" t="str">
        <f aca="false">IF($B91=CI$12,$U91,"")</f>
        <v/>
      </c>
      <c r="CJ91" s="85" t="str">
        <f aca="false">IF($B91=CJ$12,$U91,"")</f>
        <v/>
      </c>
      <c r="CK91" s="85" t="str">
        <f aca="false">IF($B91=CK$12,$U91,"")</f>
        <v/>
      </c>
      <c r="CL91" s="85" t="str">
        <f aca="false">IF($B91=CL$12,$U91,"")</f>
        <v/>
      </c>
      <c r="CM91" s="85" t="str">
        <f aca="false">IF($B91=CM$12,$U91,"")</f>
        <v/>
      </c>
      <c r="CN91" s="85" t="str">
        <f aca="false">IF($B91=CN$12,$U91,"")</f>
        <v/>
      </c>
      <c r="CO91" s="85" t="str">
        <f aca="false">IF($B91=CO$12,$U91,"")</f>
        <v/>
      </c>
      <c r="CP91" s="85" t="str">
        <f aca="false">IF($B91=CP$12,$U91,"")</f>
        <v/>
      </c>
      <c r="CQ91" s="85" t="str">
        <f aca="false">IF($B91=CQ$12,$U91,"")</f>
        <v/>
      </c>
      <c r="CR91" s="85" t="str">
        <f aca="false">IF($B91=CR$12,$U91,"")</f>
        <v/>
      </c>
      <c r="CS91" s="85" t="str">
        <f aca="false">IF($B91=CS$12,$U91,"")</f>
        <v/>
      </c>
      <c r="CT91" s="85" t="str">
        <f aca="false">IF($B91=CT$12,$U91,"")</f>
        <v/>
      </c>
      <c r="CU91" s="85" t="str">
        <f aca="false">IF($B91=CU$12,$U91,"")</f>
        <v/>
      </c>
      <c r="CV91" s="85" t="str">
        <f aca="false">IF($B91=CV$12,$U91,"")</f>
        <v/>
      </c>
      <c r="CW91" s="85" t="str">
        <f aca="false">IF($B91=CW$12,$U91,"")</f>
        <v/>
      </c>
      <c r="CX91" s="85" t="str">
        <f aca="false">IF($B91=CX$12,$U91,"")</f>
        <v/>
      </c>
      <c r="CY91" s="85" t="str">
        <f aca="false">IF($B91=CY$12,$U91,"")</f>
        <v/>
      </c>
      <c r="CZ91" s="85" t="str">
        <f aca="false">IF($B91=CZ$12,$U91,"")</f>
        <v/>
      </c>
      <c r="DA91" s="85" t="str">
        <f aca="false">IF($B91=DA$12,$U91,"")</f>
        <v/>
      </c>
      <c r="DB91" s="85" t="str">
        <f aca="false">IF($B91=DB$12,$U91,"")</f>
        <v/>
      </c>
      <c r="DC91" s="85" t="str">
        <f aca="false">IF($B91=DC$12,$U91,"")</f>
        <v/>
      </c>
      <c r="DD91" s="85" t="str">
        <f aca="false">IF($B91=DD$12,$U91,"")</f>
        <v/>
      </c>
      <c r="DE91" s="85" t="str">
        <f aca="false">IF($B91=DE$12,$U91,"")</f>
        <v/>
      </c>
      <c r="DF91" s="85" t="str">
        <f aca="false">IF($B91=DF$12,$U91,"")</f>
        <v/>
      </c>
      <c r="DG91" s="85" t="str">
        <f aca="false">IF($B91=DG$12,$U91,"")</f>
        <v/>
      </c>
      <c r="DH91" s="85" t="str">
        <f aca="false">IF($B91=DH$12,$U91,"")</f>
        <v/>
      </c>
      <c r="DI91" s="85" t="str">
        <f aca="false">IF($B91=DI$12,$U91,"")</f>
        <v/>
      </c>
      <c r="DJ91" s="85" t="str">
        <f aca="false">IF($B91=DJ$12,$U91,"")</f>
        <v/>
      </c>
      <c r="DK91" s="85" t="str">
        <f aca="false">IF($B91=DK$12,$U91,"")</f>
        <v/>
      </c>
      <c r="DL91" s="85" t="str">
        <f aca="false">IF($B91=DL$12,$U91,"")</f>
        <v/>
      </c>
      <c r="DM91" s="85" t="str">
        <f aca="false">IF($B91=DM$12,$U91,"")</f>
        <v/>
      </c>
      <c r="DN91" s="85" t="str">
        <f aca="false">IF($B91=DN$12,$U91,"")</f>
        <v/>
      </c>
      <c r="DO91" s="85" t="str">
        <f aca="false">IF($B91=DO$12,$U91,"")</f>
        <v/>
      </c>
      <c r="DP91" s="85" t="str">
        <f aca="false">IF($B91=DP$12,$U91,"")</f>
        <v/>
      </c>
      <c r="DQ91" s="85" t="str">
        <f aca="false">IF($B91=DQ$12,$U91,"")</f>
        <v/>
      </c>
      <c r="DR91" s="85" t="str">
        <f aca="false">IF($B91=DR$12,$U91,"")</f>
        <v/>
      </c>
      <c r="DS91" s="85" t="str">
        <f aca="false">IF($B91=DS$12,$U91,"")</f>
        <v/>
      </c>
      <c r="DT91" s="86" t="str">
        <f aca="false">IF($B91=DT$12,$U91,"")</f>
        <v/>
      </c>
      <c r="DU91" s="55"/>
      <c r="DV91" s="83"/>
      <c r="DW91" s="87" t="str">
        <f aca="false">IF($B91=DW$12,$O91,"")</f>
        <v/>
      </c>
      <c r="DX91" s="88" t="str">
        <f aca="false">IF($B91=DX$12,$O91,"")</f>
        <v/>
      </c>
      <c r="DY91" s="88" t="str">
        <f aca="false">IF($B91=DY$12,$O91,"")</f>
        <v/>
      </c>
      <c r="DZ91" s="88" t="str">
        <f aca="false">IF($B91=DZ$12,$O91,"")</f>
        <v/>
      </c>
      <c r="EA91" s="88" t="str">
        <f aca="false">IF($B91=EA$12,$O91,"")</f>
        <v/>
      </c>
      <c r="EB91" s="88" t="str">
        <f aca="false">IF($B91=EB$12,$O91,"")</f>
        <v/>
      </c>
      <c r="EC91" s="88" t="str">
        <f aca="false">IF($B91=EC$12,$O91,"")</f>
        <v/>
      </c>
      <c r="ED91" s="88" t="str">
        <f aca="false">IF($B91=ED$12,$O91,"")</f>
        <v/>
      </c>
      <c r="EE91" s="88" t="str">
        <f aca="false">IF($B91=EE$12,$O91,"")</f>
        <v/>
      </c>
      <c r="EF91" s="88" t="str">
        <f aca="false">IF($B91=EF$12,$O91,"")</f>
        <v/>
      </c>
      <c r="EG91" s="88" t="str">
        <f aca="false">IF($B91=EG$12,$O91,"")</f>
        <v/>
      </c>
      <c r="EH91" s="88" t="str">
        <f aca="false">IF($B91=EH$12,$O91,"")</f>
        <v/>
      </c>
      <c r="EI91" s="88" t="str">
        <f aca="false">IF($B91=EI$12,$O91,"")</f>
        <v/>
      </c>
      <c r="EJ91" s="88" t="str">
        <f aca="false">IF($B91=EJ$12,$O91,"")</f>
        <v/>
      </c>
      <c r="EK91" s="88" t="str">
        <f aca="false">IF($B91=EK$12,$O91,"")</f>
        <v/>
      </c>
      <c r="EL91" s="88" t="str">
        <f aca="false">IF($B91=EL$12,$O91,"")</f>
        <v/>
      </c>
      <c r="EM91" s="88" t="str">
        <f aca="false">IF($B91=EM$12,$O91,"")</f>
        <v/>
      </c>
      <c r="EN91" s="88" t="str">
        <f aca="false">IF($B91=EN$12,$O91,"")</f>
        <v/>
      </c>
      <c r="EO91" s="88" t="str">
        <f aca="false">IF($B91=EO$12,$O91,"")</f>
        <v/>
      </c>
      <c r="EP91" s="88" t="str">
        <f aca="false">IF($B91=EP$12,$O91,"")</f>
        <v/>
      </c>
      <c r="EQ91" s="88" t="str">
        <f aca="false">IF($B91=EQ$12,$O91,"")</f>
        <v/>
      </c>
      <c r="ER91" s="88" t="str">
        <f aca="false">IF($B91=ER$12,$O91,"")</f>
        <v/>
      </c>
      <c r="ES91" s="88" t="str">
        <f aca="false">IF($B91=ES$12,$O91,"")</f>
        <v/>
      </c>
      <c r="ET91" s="88" t="str">
        <f aca="false">IF($B91=ET$12,$O91,"")</f>
        <v/>
      </c>
      <c r="EU91" s="88" t="str">
        <f aca="false">IF($B91=EU$12,$O91,"")</f>
        <v/>
      </c>
      <c r="EV91" s="88" t="str">
        <f aca="false">IF($B91=EV$12,$O91,"")</f>
        <v/>
      </c>
      <c r="EW91" s="88" t="str">
        <f aca="false">IF($B91=EW$12,$O91,"")</f>
        <v/>
      </c>
      <c r="EX91" s="88" t="str">
        <f aca="false">IF($B91=EX$12,$O91,"")</f>
        <v/>
      </c>
      <c r="EY91" s="88" t="str">
        <f aca="false">IF($B91=EY$12,$O91,"")</f>
        <v/>
      </c>
      <c r="EZ91" s="88" t="str">
        <f aca="false">IF($B91=EZ$12,$O91,"")</f>
        <v/>
      </c>
      <c r="FA91" s="88" t="str">
        <f aca="false">IF($B91=FA$12,$O91,"")</f>
        <v/>
      </c>
      <c r="FB91" s="88" t="str">
        <f aca="false">IF($B91=FB$12,$O91,"")</f>
        <v/>
      </c>
      <c r="FC91" s="88" t="str">
        <f aca="false">IF($B91=FC$12,$O91,"")</f>
        <v/>
      </c>
      <c r="FD91" s="88" t="str">
        <f aca="false">IF($B91=FD$12,$O91,"")</f>
        <v/>
      </c>
      <c r="FE91" s="88" t="str">
        <f aca="false">IF($B91=FE$12,$O91,"")</f>
        <v/>
      </c>
      <c r="FF91" s="88" t="str">
        <f aca="false">IF($B91=FF$12,$O91,"")</f>
        <v/>
      </c>
      <c r="FG91" s="88" t="str">
        <f aca="false">IF($B91=FG$12,$O91,"")</f>
        <v/>
      </c>
      <c r="FH91" s="88" t="str">
        <f aca="false">IF($B91=FH$12,$O91,"")</f>
        <v/>
      </c>
      <c r="FI91" s="88" t="str">
        <f aca="false">IF($B91=FI$12,$O91,"")</f>
        <v/>
      </c>
      <c r="FJ91" s="88" t="str">
        <f aca="false">IF($B91=FJ$12,$O91,"")</f>
        <v/>
      </c>
      <c r="FK91" s="88" t="str">
        <f aca="false">IF($B91=FK$12,$O91,"")</f>
        <v/>
      </c>
      <c r="FL91" s="88" t="str">
        <f aca="false">IF($B91=FL$12,$O91,"")</f>
        <v/>
      </c>
      <c r="FM91" s="88" t="str">
        <f aca="false">IF($B91=FM$12,$O91,"")</f>
        <v/>
      </c>
      <c r="FN91" s="88" t="str">
        <f aca="false">IF($B91=FN$12,$O91,"")</f>
        <v/>
      </c>
      <c r="FO91" s="88" t="str">
        <f aca="false">IF($B91=FO$12,$O91,"")</f>
        <v/>
      </c>
      <c r="FP91" s="88" t="str">
        <f aca="false">IF($B91=FP$12,$O91,"")</f>
        <v/>
      </c>
      <c r="FQ91" s="88" t="str">
        <f aca="false">IF($B91=FQ$12,$O91,"")</f>
        <v/>
      </c>
      <c r="FR91" s="88" t="str">
        <f aca="false">IF($B91=FR$12,$O91,"")</f>
        <v/>
      </c>
      <c r="FS91" s="88" t="str">
        <f aca="false">IF($B91=FS$12,$O91,"")</f>
        <v/>
      </c>
      <c r="FT91" s="88" t="str">
        <f aca="false">IF($B91=FT$12,$O91,"")</f>
        <v/>
      </c>
      <c r="FU91" s="88" t="str">
        <f aca="false">IF($B91=FU$12,$O91,"")</f>
        <v/>
      </c>
      <c r="FV91" s="88" t="str">
        <f aca="false">IF($B91=FV$12,$O91,"")</f>
        <v/>
      </c>
      <c r="FW91" s="88" t="str">
        <f aca="false">IF($B91=FW$12,$O91,"")</f>
        <v/>
      </c>
      <c r="FX91" s="88" t="str">
        <f aca="false">IF($B91=FX$12,$O91,"")</f>
        <v/>
      </c>
      <c r="FY91" s="88" t="str">
        <f aca="false">IF($B91=FY$12,$O91,"")</f>
        <v/>
      </c>
      <c r="FZ91" s="88" t="str">
        <f aca="false">IF($B91=FZ$12,$O91,"")</f>
        <v/>
      </c>
      <c r="GA91" s="88" t="str">
        <f aca="false">IF($B91=GA$12,$O91,"")</f>
        <v/>
      </c>
      <c r="GB91" s="88" t="str">
        <f aca="false">IF($B91=GB$12,$O91,"")</f>
        <v/>
      </c>
      <c r="GC91" s="88" t="str">
        <f aca="false">IF($B91=GC$12,$O91,"")</f>
        <v/>
      </c>
      <c r="GD91" s="88" t="str">
        <f aca="false">IF($B91=GD$12,$O91,"")</f>
        <v/>
      </c>
      <c r="GE91" s="88" t="str">
        <f aca="false">IF($B91=GE$12,$O91,"")</f>
        <v/>
      </c>
      <c r="GF91" s="88" t="str">
        <f aca="false">IF($B91=GF$12,$O91,"")</f>
        <v/>
      </c>
      <c r="GG91" s="88" t="str">
        <f aca="false">IF($B91=GG$12,$O91,"")</f>
        <v/>
      </c>
      <c r="GH91" s="88" t="str">
        <f aca="false">IF($B91=GH$12,$O91,"")</f>
        <v/>
      </c>
      <c r="GI91" s="88" t="str">
        <f aca="false">IF($B91=GI$12,$O91,"")</f>
        <v/>
      </c>
      <c r="GJ91" s="88" t="str">
        <f aca="false">IF($B91=GJ$12,$O91,"")</f>
        <v/>
      </c>
      <c r="GK91" s="88" t="str">
        <f aca="false">IF($B91=GK$12,$O91,"")</f>
        <v/>
      </c>
      <c r="GL91" s="88" t="str">
        <f aca="false">IF($B91=GL$12,$O91,"")</f>
        <v/>
      </c>
      <c r="GM91" s="88" t="str">
        <f aca="false">IF($B91=GM$12,$O91,"")</f>
        <v/>
      </c>
      <c r="GN91" s="88" t="str">
        <f aca="false">IF($B91=GN$12,$O91,"")</f>
        <v/>
      </c>
      <c r="GO91" s="88" t="str">
        <f aca="false">IF($B91=GO$12,$O91,"")</f>
        <v/>
      </c>
      <c r="GP91" s="88" t="str">
        <f aca="false">IF($B91=GP$12,$O91,"")</f>
        <v/>
      </c>
      <c r="GQ91" s="88" t="str">
        <f aca="false">IF($B91=GQ$12,$O91,"")</f>
        <v/>
      </c>
      <c r="GR91" s="88" t="str">
        <f aca="false">IF($B91=GR$12,$O91,"")</f>
        <v/>
      </c>
      <c r="GS91" s="88" t="str">
        <f aca="false">IF($B91=GS$12,$O91,"")</f>
        <v/>
      </c>
      <c r="GT91" s="88" t="str">
        <f aca="false">IF($B91=GT$12,$O91,"")</f>
        <v/>
      </c>
      <c r="GU91" s="88" t="str">
        <f aca="false">IF($B91=GU$12,$O91,"")</f>
        <v/>
      </c>
      <c r="GV91" s="88" t="str">
        <f aca="false">IF($B91=GV$12,$O91,"")</f>
        <v/>
      </c>
      <c r="GW91" s="88" t="str">
        <f aca="false">IF($B91=GW$12,$O91,"")</f>
        <v/>
      </c>
      <c r="GX91" s="88" t="str">
        <f aca="false">IF($B91=GX$12,$O91,"")</f>
        <v/>
      </c>
      <c r="GY91" s="88" t="str">
        <f aca="false">IF($B91=GY$12,$O91,"")</f>
        <v/>
      </c>
      <c r="GZ91" s="88" t="str">
        <f aca="false">IF($B91=GZ$12,$O91,"")</f>
        <v/>
      </c>
      <c r="HA91" s="88" t="str">
        <f aca="false">IF($B91=HA$12,$O91,"")</f>
        <v/>
      </c>
      <c r="HB91" s="88" t="str">
        <f aca="false">IF($B91=HB$12,$O91,"")</f>
        <v/>
      </c>
      <c r="HC91" s="88" t="str">
        <f aca="false">IF($B91=HC$12,$O91,"")</f>
        <v/>
      </c>
      <c r="HD91" s="88" t="str">
        <f aca="false">IF($B91=HD$12,$O91,"")</f>
        <v/>
      </c>
      <c r="HE91" s="88" t="str">
        <f aca="false">IF($B91=HE$12,$O91,"")</f>
        <v/>
      </c>
      <c r="HF91" s="88" t="str">
        <f aca="false">IF($B91=HF$12,$O91,"")</f>
        <v/>
      </c>
      <c r="HG91" s="88" t="str">
        <f aca="false">IF($B91=HG$12,$O91,"")</f>
        <v/>
      </c>
      <c r="HH91" s="88" t="str">
        <f aca="false">IF($B91=HH$12,$O91,"")</f>
        <v/>
      </c>
      <c r="HI91" s="88" t="str">
        <f aca="false">IF($B91=HI$12,$O91,"")</f>
        <v/>
      </c>
      <c r="HJ91" s="88" t="str">
        <f aca="false">IF($B91=HJ$12,$O91,"")</f>
        <v/>
      </c>
      <c r="HK91" s="88" t="str">
        <f aca="false">IF($B91=HK$12,$O91,"")</f>
        <v/>
      </c>
      <c r="HL91" s="88" t="str">
        <f aca="false">IF($B91=HL$12,$O91,"")</f>
        <v/>
      </c>
      <c r="HM91" s="88" t="str">
        <f aca="false">IF($B91=HM$12,$O91,"")</f>
        <v/>
      </c>
      <c r="HN91" s="88" t="str">
        <f aca="false">IF($B91=HN$12,$O91,"")</f>
        <v/>
      </c>
      <c r="HO91" s="88" t="str">
        <f aca="false">IF($B91=HO$12,$O91,"")</f>
        <v/>
      </c>
      <c r="HP91" s="88" t="str">
        <f aca="false">IF($B91=HP$12,$O91,"")</f>
        <v/>
      </c>
      <c r="HQ91" s="88" t="str">
        <f aca="false">IF($B91=HQ$12,$O91,"")</f>
        <v/>
      </c>
      <c r="HR91" s="89" t="str">
        <f aca="false">IF($B91=HR$12,$O91,"")</f>
        <v/>
      </c>
    </row>
    <row r="92" customFormat="false" ht="10.5" hidden="false" customHeight="true" outlineLevel="0" collapsed="false">
      <c r="A92" s="73"/>
      <c r="B92" s="74"/>
      <c r="C92" s="75" t="str">
        <f aca="false">IF(A92=0,"",VLOOKUP(A92,[3]CO!$A$3:$F$5311,2,0))</f>
        <v/>
      </c>
      <c r="D92" s="76"/>
      <c r="E92" s="76"/>
      <c r="F92" s="76"/>
      <c r="G92" s="77" t="str">
        <f aca="false">IF(A92=0,"",VLOOKUP(A92,[3]CO!$A$3:$F$5311,3,0))</f>
        <v/>
      </c>
      <c r="H92" s="76"/>
      <c r="I92" s="78"/>
      <c r="J92" s="78"/>
      <c r="K92" s="78"/>
      <c r="L92" s="78"/>
      <c r="M92" s="79" t="str">
        <f aca="false">IF(L92=0,"",PRODUCT(I92:L92))</f>
        <v/>
      </c>
      <c r="N92" s="79" t="str">
        <f aca="false">IF(B92=0,"",IF(H92="M",HLOOKUP(B92,$Y$12:$DT$13,2),IF(A92=0,"",VLOOKUP(A92,[3]CO!$A$3:$F$5311,4,0))))</f>
        <v/>
      </c>
      <c r="O92" s="79" t="str">
        <f aca="false">IF(L92=0,"",PRODUCT(M92:N92))</f>
        <v/>
      </c>
      <c r="P92" s="80"/>
      <c r="Q92" s="81" t="str">
        <f aca="false">IF(P92=0,"",(HLOOKUP(P92,$DW$12:$HR$13,2)))</f>
        <v/>
      </c>
      <c r="R92" s="82" t="str">
        <f aca="false">IF(S92=0,"",IF(OR(G92="PEON",G92="OF",G92="JARD",G92="CARP",G92="MAESTRO",G92="SOLD",G92="BGRO",G92="CHOFER",G92="AYTE",G92="S.INTTE.",G92="ASEO",G92="P.PISOS",G92="VELADOR",G92="RESID",G92="PINTOR",G92="ELECT",G92="AZULE",G92="AUX CONT.",G92="SECRETARIA",G92="AUXILIAR ADMTVO.",G92="ARQUITECTO",G92="DIBUJANTE",G92="AUX. DE RESIDENTE"),VLOOKUP(B92,P$14:Q$131,2),"")*S92)</f>
        <v/>
      </c>
      <c r="S92" s="5"/>
      <c r="T92" s="65" t="str">
        <f aca="false">IF(A92=0,"",VLOOKUP(A92,[3]CO!$A$3:$F$5302,5,0))</f>
        <v/>
      </c>
      <c r="U92" s="55" t="n">
        <f aca="false">IF(T92=1,O92*0.1,)</f>
        <v>0</v>
      </c>
      <c r="V92" s="66"/>
      <c r="W92" s="83"/>
      <c r="X92" s="83"/>
      <c r="Y92" s="84" t="str">
        <f aca="false">IF($B92=Y$12,$U92,"")</f>
        <v/>
      </c>
      <c r="Z92" s="85" t="str">
        <f aca="false">IF($B92=Z$12,$U92,"")</f>
        <v/>
      </c>
      <c r="AA92" s="85" t="str">
        <f aca="false">IF($B92=AA$12,$U92,"")</f>
        <v/>
      </c>
      <c r="AB92" s="85" t="str">
        <f aca="false">IF($B92=AB$12,$U92,"")</f>
        <v/>
      </c>
      <c r="AC92" s="85" t="str">
        <f aca="false">IF($B92=AC$12,$U92,"")</f>
        <v/>
      </c>
      <c r="AD92" s="85" t="str">
        <f aca="false">IF($B92=AD$12,$U92,"")</f>
        <v/>
      </c>
      <c r="AE92" s="85" t="str">
        <f aca="false">IF($B92=AE$12,$U92,"")</f>
        <v/>
      </c>
      <c r="AF92" s="85" t="str">
        <f aca="false">IF($B92=AF$12,$U92,"")</f>
        <v/>
      </c>
      <c r="AG92" s="85" t="str">
        <f aca="false">IF($B92=AG$12,$U92,"")</f>
        <v/>
      </c>
      <c r="AH92" s="85" t="str">
        <f aca="false">IF($B92=AH$12,$U92,"")</f>
        <v/>
      </c>
      <c r="AI92" s="85" t="str">
        <f aca="false">IF($B92=AI$12,$U92,"")</f>
        <v/>
      </c>
      <c r="AJ92" s="85" t="str">
        <f aca="false">IF($B92=AJ$12,$U92,"")</f>
        <v/>
      </c>
      <c r="AK92" s="85" t="str">
        <f aca="false">IF($B92=AK$12,$U92,"")</f>
        <v/>
      </c>
      <c r="AL92" s="85" t="str">
        <f aca="false">IF($B92=AL$12,$U92,"")</f>
        <v/>
      </c>
      <c r="AM92" s="85" t="str">
        <f aca="false">IF($B92=AM$12,$U92,"")</f>
        <v/>
      </c>
      <c r="AN92" s="85" t="str">
        <f aca="false">IF($B92=AN$12,$U92,"")</f>
        <v/>
      </c>
      <c r="AO92" s="85" t="str">
        <f aca="false">IF($B92=AO$12,$U92,"")</f>
        <v/>
      </c>
      <c r="AP92" s="85" t="str">
        <f aca="false">IF($B92=AP$12,$U92,"")</f>
        <v/>
      </c>
      <c r="AQ92" s="85" t="str">
        <f aca="false">IF($B92=AQ$12,$U92,"")</f>
        <v/>
      </c>
      <c r="AR92" s="85" t="str">
        <f aca="false">IF($B92=AR$12,$U92,"")</f>
        <v/>
      </c>
      <c r="AS92" s="85" t="str">
        <f aca="false">IF($B92=AS$12,$U92,"")</f>
        <v/>
      </c>
      <c r="AT92" s="85" t="str">
        <f aca="false">IF($B92=AT$12,$U92,"")</f>
        <v/>
      </c>
      <c r="AU92" s="85" t="str">
        <f aca="false">IF($B92=AU$12,$U92,"")</f>
        <v/>
      </c>
      <c r="AV92" s="85" t="str">
        <f aca="false">IF($B92=AV$12,$U92,"")</f>
        <v/>
      </c>
      <c r="AW92" s="85" t="str">
        <f aca="false">IF($B92=AW$12,$U92,"")</f>
        <v/>
      </c>
      <c r="AX92" s="85" t="str">
        <f aca="false">IF($B92=AX$12,$U92,"")</f>
        <v/>
      </c>
      <c r="AY92" s="85" t="str">
        <f aca="false">IF($B92=AY$12,$U92,"")</f>
        <v/>
      </c>
      <c r="AZ92" s="85" t="str">
        <f aca="false">IF($B92=AZ$12,$U92,"")</f>
        <v/>
      </c>
      <c r="BA92" s="85" t="str">
        <f aca="false">IF($B92=BA$12,$U92,"")</f>
        <v/>
      </c>
      <c r="BB92" s="85" t="str">
        <f aca="false">IF($B92=BB$12,$U92,"")</f>
        <v/>
      </c>
      <c r="BC92" s="85" t="str">
        <f aca="false">IF($B92=BC$12,$U92,"")</f>
        <v/>
      </c>
      <c r="BD92" s="85" t="str">
        <f aca="false">IF($B92=BD$12,$U92,"")</f>
        <v/>
      </c>
      <c r="BE92" s="85" t="str">
        <f aca="false">IF($B92=BE$12,$U92,"")</f>
        <v/>
      </c>
      <c r="BF92" s="85" t="str">
        <f aca="false">IF($B92=BF$12,$U92,"")</f>
        <v/>
      </c>
      <c r="BG92" s="85" t="str">
        <f aca="false">IF($B92=BG$12,$U92,"")</f>
        <v/>
      </c>
      <c r="BH92" s="85" t="str">
        <f aca="false">IF($B92=BH$12,$U92,"")</f>
        <v/>
      </c>
      <c r="BI92" s="85" t="str">
        <f aca="false">IF($B92=BI$12,$U92,"")</f>
        <v/>
      </c>
      <c r="BJ92" s="85" t="str">
        <f aca="false">IF($B92=BJ$12,$U92,"")</f>
        <v/>
      </c>
      <c r="BK92" s="85" t="str">
        <f aca="false">IF($B92=BK$12,$U92,"")</f>
        <v/>
      </c>
      <c r="BL92" s="85" t="str">
        <f aca="false">IF($B92=BL$12,$U92,"")</f>
        <v/>
      </c>
      <c r="BM92" s="85" t="str">
        <f aca="false">IF($B92=BM$12,$U92,"")</f>
        <v/>
      </c>
      <c r="BN92" s="85" t="str">
        <f aca="false">IF($B92=BN$12,$U92,"")</f>
        <v/>
      </c>
      <c r="BO92" s="85" t="str">
        <f aca="false">IF($B92=BO$12,$U92,"")</f>
        <v/>
      </c>
      <c r="BP92" s="85" t="str">
        <f aca="false">IF($B92=BP$12,$U92,"")</f>
        <v/>
      </c>
      <c r="BQ92" s="85" t="str">
        <f aca="false">IF($B92=BQ$12,$U92,"")</f>
        <v/>
      </c>
      <c r="BR92" s="85" t="str">
        <f aca="false">IF($B92=BR$12,$U92,"")</f>
        <v/>
      </c>
      <c r="BS92" s="85" t="str">
        <f aca="false">IF($B92=BS$12,$U92,"")</f>
        <v/>
      </c>
      <c r="BT92" s="85" t="str">
        <f aca="false">IF($B92=BT$12,$U92,"")</f>
        <v/>
      </c>
      <c r="BU92" s="85" t="str">
        <f aca="false">IF($B92=BU$12,$U92,"")</f>
        <v/>
      </c>
      <c r="BV92" s="85" t="str">
        <f aca="false">IF($B92=BV$12,$U92,"")</f>
        <v/>
      </c>
      <c r="BW92" s="85" t="str">
        <f aca="false">IF($B92=BW$12,$U92,"")</f>
        <v/>
      </c>
      <c r="BX92" s="85" t="str">
        <f aca="false">IF($B92=BX$12,$U92,"")</f>
        <v/>
      </c>
      <c r="BY92" s="85" t="str">
        <f aca="false">IF($B92=BY$12,$U92,"")</f>
        <v/>
      </c>
      <c r="BZ92" s="85" t="str">
        <f aca="false">IF($B92=BZ$12,$U92,"")</f>
        <v/>
      </c>
      <c r="CA92" s="85" t="str">
        <f aca="false">IF($B92=CA$12,$U92,"")</f>
        <v/>
      </c>
      <c r="CB92" s="85" t="str">
        <f aca="false">IF($B92=CB$12,$U92,"")</f>
        <v/>
      </c>
      <c r="CC92" s="85" t="str">
        <f aca="false">IF($B92=CC$12,$U92,"")</f>
        <v/>
      </c>
      <c r="CD92" s="85" t="str">
        <f aca="false">IF($B92=CD$12,$U92,"")</f>
        <v/>
      </c>
      <c r="CE92" s="85" t="str">
        <f aca="false">IF($B92=CE$12,$U92,"")</f>
        <v/>
      </c>
      <c r="CF92" s="85" t="str">
        <f aca="false">IF($B92=CF$12,$U92,"")</f>
        <v/>
      </c>
      <c r="CG92" s="85" t="str">
        <f aca="false">IF($B92=CG$12,$U92,"")</f>
        <v/>
      </c>
      <c r="CH92" s="85" t="str">
        <f aca="false">IF($B92=CH$12,$U92,"")</f>
        <v/>
      </c>
      <c r="CI92" s="85" t="str">
        <f aca="false">IF($B92=CI$12,$U92,"")</f>
        <v/>
      </c>
      <c r="CJ92" s="85" t="str">
        <f aca="false">IF($B92=CJ$12,$U92,"")</f>
        <v/>
      </c>
      <c r="CK92" s="85" t="str">
        <f aca="false">IF($B92=CK$12,$U92,"")</f>
        <v/>
      </c>
      <c r="CL92" s="85" t="str">
        <f aca="false">IF($B92=CL$12,$U92,"")</f>
        <v/>
      </c>
      <c r="CM92" s="85" t="str">
        <f aca="false">IF($B92=CM$12,$U92,"")</f>
        <v/>
      </c>
      <c r="CN92" s="85" t="str">
        <f aca="false">IF($B92=CN$12,$U92,"")</f>
        <v/>
      </c>
      <c r="CO92" s="85" t="str">
        <f aca="false">IF($B92=CO$12,$U92,"")</f>
        <v/>
      </c>
      <c r="CP92" s="85" t="str">
        <f aca="false">IF($B92=CP$12,$U92,"")</f>
        <v/>
      </c>
      <c r="CQ92" s="85" t="str">
        <f aca="false">IF($B92=CQ$12,$U92,"")</f>
        <v/>
      </c>
      <c r="CR92" s="85" t="str">
        <f aca="false">IF($B92=CR$12,$U92,"")</f>
        <v/>
      </c>
      <c r="CS92" s="85" t="str">
        <f aca="false">IF($B92=CS$12,$U92,"")</f>
        <v/>
      </c>
      <c r="CT92" s="85" t="str">
        <f aca="false">IF($B92=CT$12,$U92,"")</f>
        <v/>
      </c>
      <c r="CU92" s="85" t="str">
        <f aca="false">IF($B92=CU$12,$U92,"")</f>
        <v/>
      </c>
      <c r="CV92" s="85" t="str">
        <f aca="false">IF($B92=CV$12,$U92,"")</f>
        <v/>
      </c>
      <c r="CW92" s="85" t="str">
        <f aca="false">IF($B92=CW$12,$U92,"")</f>
        <v/>
      </c>
      <c r="CX92" s="85" t="str">
        <f aca="false">IF($B92=CX$12,$U92,"")</f>
        <v/>
      </c>
      <c r="CY92" s="85" t="str">
        <f aca="false">IF($B92=CY$12,$U92,"")</f>
        <v/>
      </c>
      <c r="CZ92" s="85" t="str">
        <f aca="false">IF($B92=CZ$12,$U92,"")</f>
        <v/>
      </c>
      <c r="DA92" s="85" t="str">
        <f aca="false">IF($B92=DA$12,$U92,"")</f>
        <v/>
      </c>
      <c r="DB92" s="85" t="str">
        <f aca="false">IF($B92=DB$12,$U92,"")</f>
        <v/>
      </c>
      <c r="DC92" s="85" t="str">
        <f aca="false">IF($B92=DC$12,$U92,"")</f>
        <v/>
      </c>
      <c r="DD92" s="85" t="str">
        <f aca="false">IF($B92=DD$12,$U92,"")</f>
        <v/>
      </c>
      <c r="DE92" s="85" t="str">
        <f aca="false">IF($B92=DE$12,$U92,"")</f>
        <v/>
      </c>
      <c r="DF92" s="85" t="str">
        <f aca="false">IF($B92=DF$12,$U92,"")</f>
        <v/>
      </c>
      <c r="DG92" s="85" t="str">
        <f aca="false">IF($B92=DG$12,$U92,"")</f>
        <v/>
      </c>
      <c r="DH92" s="85" t="str">
        <f aca="false">IF($B92=DH$12,$U92,"")</f>
        <v/>
      </c>
      <c r="DI92" s="85" t="str">
        <f aca="false">IF($B92=DI$12,$U92,"")</f>
        <v/>
      </c>
      <c r="DJ92" s="85" t="str">
        <f aca="false">IF($B92=DJ$12,$U92,"")</f>
        <v/>
      </c>
      <c r="DK92" s="85" t="str">
        <f aca="false">IF($B92=DK$12,$U92,"")</f>
        <v/>
      </c>
      <c r="DL92" s="85" t="str">
        <f aca="false">IF($B92=DL$12,$U92,"")</f>
        <v/>
      </c>
      <c r="DM92" s="85" t="str">
        <f aca="false">IF($B92=DM$12,$U92,"")</f>
        <v/>
      </c>
      <c r="DN92" s="85" t="str">
        <f aca="false">IF($B92=DN$12,$U92,"")</f>
        <v/>
      </c>
      <c r="DO92" s="85" t="str">
        <f aca="false">IF($B92=DO$12,$U92,"")</f>
        <v/>
      </c>
      <c r="DP92" s="85" t="str">
        <f aca="false">IF($B92=DP$12,$U92,"")</f>
        <v/>
      </c>
      <c r="DQ92" s="85" t="str">
        <f aca="false">IF($B92=DQ$12,$U92,"")</f>
        <v/>
      </c>
      <c r="DR92" s="85" t="str">
        <f aca="false">IF($B92=DR$12,$U92,"")</f>
        <v/>
      </c>
      <c r="DS92" s="85" t="str">
        <f aca="false">IF($B92=DS$12,$U92,"")</f>
        <v/>
      </c>
      <c r="DT92" s="86" t="str">
        <f aca="false">IF($B92=DT$12,$U92,"")</f>
        <v/>
      </c>
      <c r="DU92" s="55"/>
      <c r="DV92" s="83"/>
      <c r="DW92" s="87" t="str">
        <f aca="false">IF($B92=DW$12,$O92,"")</f>
        <v/>
      </c>
      <c r="DX92" s="88" t="str">
        <f aca="false">IF($B92=DX$12,$O92,"")</f>
        <v/>
      </c>
      <c r="DY92" s="88" t="str">
        <f aca="false">IF($B92=DY$12,$O92,"")</f>
        <v/>
      </c>
      <c r="DZ92" s="88" t="str">
        <f aca="false">IF($B92=DZ$12,$O92,"")</f>
        <v/>
      </c>
      <c r="EA92" s="88" t="str">
        <f aca="false">IF($B92=EA$12,$O92,"")</f>
        <v/>
      </c>
      <c r="EB92" s="88" t="str">
        <f aca="false">IF($B92=EB$12,$O92,"")</f>
        <v/>
      </c>
      <c r="EC92" s="88" t="str">
        <f aca="false">IF($B92=EC$12,$O92,"")</f>
        <v/>
      </c>
      <c r="ED92" s="88" t="str">
        <f aca="false">IF($B92=ED$12,$O92,"")</f>
        <v/>
      </c>
      <c r="EE92" s="88" t="str">
        <f aca="false">IF($B92=EE$12,$O92,"")</f>
        <v/>
      </c>
      <c r="EF92" s="88" t="str">
        <f aca="false">IF($B92=EF$12,$O92,"")</f>
        <v/>
      </c>
      <c r="EG92" s="88" t="str">
        <f aca="false">IF($B92=EG$12,$O92,"")</f>
        <v/>
      </c>
      <c r="EH92" s="88" t="str">
        <f aca="false">IF($B92=EH$12,$O92,"")</f>
        <v/>
      </c>
      <c r="EI92" s="88" t="str">
        <f aca="false">IF($B92=EI$12,$O92,"")</f>
        <v/>
      </c>
      <c r="EJ92" s="88" t="str">
        <f aca="false">IF($B92=EJ$12,$O92,"")</f>
        <v/>
      </c>
      <c r="EK92" s="88" t="str">
        <f aca="false">IF($B92=EK$12,$O92,"")</f>
        <v/>
      </c>
      <c r="EL92" s="88" t="str">
        <f aca="false">IF($B92=EL$12,$O92,"")</f>
        <v/>
      </c>
      <c r="EM92" s="88" t="str">
        <f aca="false">IF($B92=EM$12,$O92,"")</f>
        <v/>
      </c>
      <c r="EN92" s="88" t="str">
        <f aca="false">IF($B92=EN$12,$O92,"")</f>
        <v/>
      </c>
      <c r="EO92" s="88" t="str">
        <f aca="false">IF($B92=EO$12,$O92,"")</f>
        <v/>
      </c>
      <c r="EP92" s="88" t="str">
        <f aca="false">IF($B92=EP$12,$O92,"")</f>
        <v/>
      </c>
      <c r="EQ92" s="88" t="str">
        <f aca="false">IF($B92=EQ$12,$O92,"")</f>
        <v/>
      </c>
      <c r="ER92" s="88" t="str">
        <f aca="false">IF($B92=ER$12,$O92,"")</f>
        <v/>
      </c>
      <c r="ES92" s="88" t="str">
        <f aca="false">IF($B92=ES$12,$O92,"")</f>
        <v/>
      </c>
      <c r="ET92" s="88" t="str">
        <f aca="false">IF($B92=ET$12,$O92,"")</f>
        <v/>
      </c>
      <c r="EU92" s="88" t="str">
        <f aca="false">IF($B92=EU$12,$O92,"")</f>
        <v/>
      </c>
      <c r="EV92" s="88" t="str">
        <f aca="false">IF($B92=EV$12,$O92,"")</f>
        <v/>
      </c>
      <c r="EW92" s="88" t="str">
        <f aca="false">IF($B92=EW$12,$O92,"")</f>
        <v/>
      </c>
      <c r="EX92" s="88" t="str">
        <f aca="false">IF($B92=EX$12,$O92,"")</f>
        <v/>
      </c>
      <c r="EY92" s="88" t="str">
        <f aca="false">IF($B92=EY$12,$O92,"")</f>
        <v/>
      </c>
      <c r="EZ92" s="88" t="str">
        <f aca="false">IF($B92=EZ$12,$O92,"")</f>
        <v/>
      </c>
      <c r="FA92" s="88" t="str">
        <f aca="false">IF($B92=FA$12,$O92,"")</f>
        <v/>
      </c>
      <c r="FB92" s="88" t="str">
        <f aca="false">IF($B92=FB$12,$O92,"")</f>
        <v/>
      </c>
      <c r="FC92" s="88" t="str">
        <f aca="false">IF($B92=FC$12,$O92,"")</f>
        <v/>
      </c>
      <c r="FD92" s="88" t="str">
        <f aca="false">IF($B92=FD$12,$O92,"")</f>
        <v/>
      </c>
      <c r="FE92" s="88" t="str">
        <f aca="false">IF($B92=FE$12,$O92,"")</f>
        <v/>
      </c>
      <c r="FF92" s="88" t="str">
        <f aca="false">IF($B92=FF$12,$O92,"")</f>
        <v/>
      </c>
      <c r="FG92" s="88" t="str">
        <f aca="false">IF($B92=FG$12,$O92,"")</f>
        <v/>
      </c>
      <c r="FH92" s="88" t="str">
        <f aca="false">IF($B92=FH$12,$O92,"")</f>
        <v/>
      </c>
      <c r="FI92" s="88" t="str">
        <f aca="false">IF($B92=FI$12,$O92,"")</f>
        <v/>
      </c>
      <c r="FJ92" s="88" t="str">
        <f aca="false">IF($B92=FJ$12,$O92,"")</f>
        <v/>
      </c>
      <c r="FK92" s="88" t="str">
        <f aca="false">IF($B92=FK$12,$O92,"")</f>
        <v/>
      </c>
      <c r="FL92" s="88" t="str">
        <f aca="false">IF($B92=FL$12,$O92,"")</f>
        <v/>
      </c>
      <c r="FM92" s="88" t="str">
        <f aca="false">IF($B92=FM$12,$O92,"")</f>
        <v/>
      </c>
      <c r="FN92" s="88" t="str">
        <f aca="false">IF($B92=FN$12,$O92,"")</f>
        <v/>
      </c>
      <c r="FO92" s="88" t="str">
        <f aca="false">IF($B92=FO$12,$O92,"")</f>
        <v/>
      </c>
      <c r="FP92" s="88" t="str">
        <f aca="false">IF($B92=FP$12,$O92,"")</f>
        <v/>
      </c>
      <c r="FQ92" s="88" t="str">
        <f aca="false">IF($B92=FQ$12,$O92,"")</f>
        <v/>
      </c>
      <c r="FR92" s="88" t="str">
        <f aca="false">IF($B92=FR$12,$O92,"")</f>
        <v/>
      </c>
      <c r="FS92" s="88" t="str">
        <f aca="false">IF($B92=FS$12,$O92,"")</f>
        <v/>
      </c>
      <c r="FT92" s="88" t="str">
        <f aca="false">IF($B92=FT$12,$O92,"")</f>
        <v/>
      </c>
      <c r="FU92" s="88" t="str">
        <f aca="false">IF($B92=FU$12,$O92,"")</f>
        <v/>
      </c>
      <c r="FV92" s="88" t="str">
        <f aca="false">IF($B92=FV$12,$O92,"")</f>
        <v/>
      </c>
      <c r="FW92" s="88" t="str">
        <f aca="false">IF($B92=FW$12,$O92,"")</f>
        <v/>
      </c>
      <c r="FX92" s="88" t="str">
        <f aca="false">IF($B92=FX$12,$O92,"")</f>
        <v/>
      </c>
      <c r="FY92" s="88" t="str">
        <f aca="false">IF($B92=FY$12,$O92,"")</f>
        <v/>
      </c>
      <c r="FZ92" s="88" t="str">
        <f aca="false">IF($B92=FZ$12,$O92,"")</f>
        <v/>
      </c>
      <c r="GA92" s="88" t="str">
        <f aca="false">IF($B92=GA$12,$O92,"")</f>
        <v/>
      </c>
      <c r="GB92" s="88" t="str">
        <f aca="false">IF($B92=GB$12,$O92,"")</f>
        <v/>
      </c>
      <c r="GC92" s="88" t="str">
        <f aca="false">IF($B92=GC$12,$O92,"")</f>
        <v/>
      </c>
      <c r="GD92" s="88" t="str">
        <f aca="false">IF($B92=GD$12,$O92,"")</f>
        <v/>
      </c>
      <c r="GE92" s="88" t="str">
        <f aca="false">IF($B92=GE$12,$O92,"")</f>
        <v/>
      </c>
      <c r="GF92" s="88" t="str">
        <f aca="false">IF($B92=GF$12,$O92,"")</f>
        <v/>
      </c>
      <c r="GG92" s="88" t="str">
        <f aca="false">IF($B92=GG$12,$O92,"")</f>
        <v/>
      </c>
      <c r="GH92" s="88" t="str">
        <f aca="false">IF($B92=GH$12,$O92,"")</f>
        <v/>
      </c>
      <c r="GI92" s="88" t="str">
        <f aca="false">IF($B92=GI$12,$O92,"")</f>
        <v/>
      </c>
      <c r="GJ92" s="88" t="str">
        <f aca="false">IF($B92=GJ$12,$O92,"")</f>
        <v/>
      </c>
      <c r="GK92" s="88" t="str">
        <f aca="false">IF($B92=GK$12,$O92,"")</f>
        <v/>
      </c>
      <c r="GL92" s="88" t="str">
        <f aca="false">IF($B92=GL$12,$O92,"")</f>
        <v/>
      </c>
      <c r="GM92" s="88" t="str">
        <f aca="false">IF($B92=GM$12,$O92,"")</f>
        <v/>
      </c>
      <c r="GN92" s="88" t="str">
        <f aca="false">IF($B92=GN$12,$O92,"")</f>
        <v/>
      </c>
      <c r="GO92" s="88" t="str">
        <f aca="false">IF($B92=GO$12,$O92,"")</f>
        <v/>
      </c>
      <c r="GP92" s="88" t="str">
        <f aca="false">IF($B92=GP$12,$O92,"")</f>
        <v/>
      </c>
      <c r="GQ92" s="88" t="str">
        <f aca="false">IF($B92=GQ$12,$O92,"")</f>
        <v/>
      </c>
      <c r="GR92" s="88" t="str">
        <f aca="false">IF($B92=GR$12,$O92,"")</f>
        <v/>
      </c>
      <c r="GS92" s="88" t="str">
        <f aca="false">IF($B92=GS$12,$O92,"")</f>
        <v/>
      </c>
      <c r="GT92" s="88" t="str">
        <f aca="false">IF($B92=GT$12,$O92,"")</f>
        <v/>
      </c>
      <c r="GU92" s="88" t="str">
        <f aca="false">IF($B92=GU$12,$O92,"")</f>
        <v/>
      </c>
      <c r="GV92" s="88" t="str">
        <f aca="false">IF($B92=GV$12,$O92,"")</f>
        <v/>
      </c>
      <c r="GW92" s="88" t="str">
        <f aca="false">IF($B92=GW$12,$O92,"")</f>
        <v/>
      </c>
      <c r="GX92" s="88" t="str">
        <f aca="false">IF($B92=GX$12,$O92,"")</f>
        <v/>
      </c>
      <c r="GY92" s="88" t="str">
        <f aca="false">IF($B92=GY$12,$O92,"")</f>
        <v/>
      </c>
      <c r="GZ92" s="88" t="str">
        <f aca="false">IF($B92=GZ$12,$O92,"")</f>
        <v/>
      </c>
      <c r="HA92" s="88" t="str">
        <f aca="false">IF($B92=HA$12,$O92,"")</f>
        <v/>
      </c>
      <c r="HB92" s="88" t="str">
        <f aca="false">IF($B92=HB$12,$O92,"")</f>
        <v/>
      </c>
      <c r="HC92" s="88" t="str">
        <f aca="false">IF($B92=HC$12,$O92,"")</f>
        <v/>
      </c>
      <c r="HD92" s="88" t="str">
        <f aca="false">IF($B92=HD$12,$O92,"")</f>
        <v/>
      </c>
      <c r="HE92" s="88" t="str">
        <f aca="false">IF($B92=HE$12,$O92,"")</f>
        <v/>
      </c>
      <c r="HF92" s="88" t="str">
        <f aca="false">IF($B92=HF$12,$O92,"")</f>
        <v/>
      </c>
      <c r="HG92" s="88" t="str">
        <f aca="false">IF($B92=HG$12,$O92,"")</f>
        <v/>
      </c>
      <c r="HH92" s="88" t="str">
        <f aca="false">IF($B92=HH$12,$O92,"")</f>
        <v/>
      </c>
      <c r="HI92" s="88" t="str">
        <f aca="false">IF($B92=HI$12,$O92,"")</f>
        <v/>
      </c>
      <c r="HJ92" s="88" t="str">
        <f aca="false">IF($B92=HJ$12,$O92,"")</f>
        <v/>
      </c>
      <c r="HK92" s="88" t="str">
        <f aca="false">IF($B92=HK$12,$O92,"")</f>
        <v/>
      </c>
      <c r="HL92" s="88" t="str">
        <f aca="false">IF($B92=HL$12,$O92,"")</f>
        <v/>
      </c>
      <c r="HM92" s="88" t="str">
        <f aca="false">IF($B92=HM$12,$O92,"")</f>
        <v/>
      </c>
      <c r="HN92" s="88" t="str">
        <f aca="false">IF($B92=HN$12,$O92,"")</f>
        <v/>
      </c>
      <c r="HO92" s="88" t="str">
        <f aca="false">IF($B92=HO$12,$O92,"")</f>
        <v/>
      </c>
      <c r="HP92" s="88" t="str">
        <f aca="false">IF($B92=HP$12,$O92,"")</f>
        <v/>
      </c>
      <c r="HQ92" s="88" t="str">
        <f aca="false">IF($B92=HQ$12,$O92,"")</f>
        <v/>
      </c>
      <c r="HR92" s="89" t="str">
        <f aca="false">IF($B92=HR$12,$O92,"")</f>
        <v/>
      </c>
    </row>
    <row r="93" customFormat="false" ht="10.5" hidden="false" customHeight="true" outlineLevel="0" collapsed="false">
      <c r="A93" s="73"/>
      <c r="B93" s="74"/>
      <c r="C93" s="75" t="str">
        <f aca="false">IF(A93=0,"",VLOOKUP(A93,[3]CO!$A$3:$F$5311,2,0))</f>
        <v/>
      </c>
      <c r="D93" s="76"/>
      <c r="E93" s="76"/>
      <c r="F93" s="76"/>
      <c r="G93" s="77" t="str">
        <f aca="false">IF(A93=0,"",VLOOKUP(A93,[3]CO!$A$3:$F$5311,3,0))</f>
        <v/>
      </c>
      <c r="H93" s="76"/>
      <c r="I93" s="78"/>
      <c r="J93" s="78"/>
      <c r="K93" s="78"/>
      <c r="L93" s="78"/>
      <c r="M93" s="79" t="str">
        <f aca="false">IF(L93=0,"",PRODUCT(I93:L93))</f>
        <v/>
      </c>
      <c r="N93" s="79" t="str">
        <f aca="false">IF(B93=0,"",IF(H93="M",HLOOKUP(B93,$Y$12:$DT$13,2),IF(A93=0,"",VLOOKUP(A93,[3]CO!$A$3:$F$5311,4,0))))</f>
        <v/>
      </c>
      <c r="O93" s="79" t="str">
        <f aca="false">IF(L93=0,"",PRODUCT(M93:N93))</f>
        <v/>
      </c>
      <c r="P93" s="80"/>
      <c r="Q93" s="81" t="str">
        <f aca="false">IF(P93=0,"",(HLOOKUP(P93,$DW$12:$HR$13,2)))</f>
        <v/>
      </c>
      <c r="R93" s="82" t="str">
        <f aca="false">IF(S93=0,"",IF(OR(G93="PEON",G93="OF",G93="JARD",G93="CARP",G93="MAESTRO",G93="SOLD",G93="BGRO",G93="CHOFER",G93="AYTE",G93="S.INTTE.",G93="ASEO",G93="P.PISOS",G93="VELADOR",G93="RESID",G93="PINTOR",G93="ELECT",G93="AZULE",G93="AUX CONT.",G93="SECRETARIA",G93="AUXILIAR ADMTVO.",G93="ARQUITECTO",G93="DIBUJANTE",G93="AUX. DE RESIDENTE"),VLOOKUP(B93,P$14:Q$131,2),"")*S93)</f>
        <v/>
      </c>
      <c r="S93" s="5"/>
      <c r="T93" s="65" t="str">
        <f aca="false">IF(A93=0,"",VLOOKUP(A93,[3]CO!$A$3:$F$5302,5,0))</f>
        <v/>
      </c>
      <c r="U93" s="55" t="n">
        <f aca="false">IF(T93=1,O93*0.1,)</f>
        <v>0</v>
      </c>
      <c r="V93" s="66"/>
      <c r="W93" s="83"/>
      <c r="X93" s="83"/>
      <c r="Y93" s="84" t="str">
        <f aca="false">IF($B93=Y$12,$U93,"")</f>
        <v/>
      </c>
      <c r="Z93" s="85" t="str">
        <f aca="false">IF($B93=Z$12,$U93,"")</f>
        <v/>
      </c>
      <c r="AA93" s="85" t="str">
        <f aca="false">IF($B93=AA$12,$U93,"")</f>
        <v/>
      </c>
      <c r="AB93" s="85" t="str">
        <f aca="false">IF($B93=AB$12,$U93,"")</f>
        <v/>
      </c>
      <c r="AC93" s="85" t="str">
        <f aca="false">IF($B93=AC$12,$U93,"")</f>
        <v/>
      </c>
      <c r="AD93" s="85" t="str">
        <f aca="false">IF($B93=AD$12,$U93,"")</f>
        <v/>
      </c>
      <c r="AE93" s="85" t="str">
        <f aca="false">IF($B93=AE$12,$U93,"")</f>
        <v/>
      </c>
      <c r="AF93" s="85" t="str">
        <f aca="false">IF($B93=AF$12,$U93,"")</f>
        <v/>
      </c>
      <c r="AG93" s="85" t="str">
        <f aca="false">IF($B93=AG$12,$U93,"")</f>
        <v/>
      </c>
      <c r="AH93" s="85" t="str">
        <f aca="false">IF($B93=AH$12,$U93,"")</f>
        <v/>
      </c>
      <c r="AI93" s="85" t="str">
        <f aca="false">IF($B93=AI$12,$U93,"")</f>
        <v/>
      </c>
      <c r="AJ93" s="85" t="str">
        <f aca="false">IF($B93=AJ$12,$U93,"")</f>
        <v/>
      </c>
      <c r="AK93" s="85" t="str">
        <f aca="false">IF($B93=AK$12,$U93,"")</f>
        <v/>
      </c>
      <c r="AL93" s="85" t="str">
        <f aca="false">IF($B93=AL$12,$U93,"")</f>
        <v/>
      </c>
      <c r="AM93" s="85" t="str">
        <f aca="false">IF($B93=AM$12,$U93,"")</f>
        <v/>
      </c>
      <c r="AN93" s="85" t="str">
        <f aca="false">IF($B93=AN$12,$U93,"")</f>
        <v/>
      </c>
      <c r="AO93" s="85" t="str">
        <f aca="false">IF($B93=AO$12,$U93,"")</f>
        <v/>
      </c>
      <c r="AP93" s="85" t="str">
        <f aca="false">IF($B93=AP$12,$U93,"")</f>
        <v/>
      </c>
      <c r="AQ93" s="85" t="str">
        <f aca="false">IF($B93=AQ$12,$U93,"")</f>
        <v/>
      </c>
      <c r="AR93" s="85" t="str">
        <f aca="false">IF($B93=AR$12,$U93,"")</f>
        <v/>
      </c>
      <c r="AS93" s="85" t="str">
        <f aca="false">IF($B93=AS$12,$U93,"")</f>
        <v/>
      </c>
      <c r="AT93" s="85" t="str">
        <f aca="false">IF($B93=AT$12,$U93,"")</f>
        <v/>
      </c>
      <c r="AU93" s="85" t="str">
        <f aca="false">IF($B93=AU$12,$U93,"")</f>
        <v/>
      </c>
      <c r="AV93" s="85" t="str">
        <f aca="false">IF($B93=AV$12,$U93,"")</f>
        <v/>
      </c>
      <c r="AW93" s="85" t="str">
        <f aca="false">IF($B93=AW$12,$U93,"")</f>
        <v/>
      </c>
      <c r="AX93" s="85" t="str">
        <f aca="false">IF($B93=AX$12,$U93,"")</f>
        <v/>
      </c>
      <c r="AY93" s="85" t="str">
        <f aca="false">IF($B93=AY$12,$U93,"")</f>
        <v/>
      </c>
      <c r="AZ93" s="85" t="str">
        <f aca="false">IF($B93=AZ$12,$U93,"")</f>
        <v/>
      </c>
      <c r="BA93" s="85" t="str">
        <f aca="false">IF($B93=BA$12,$U93,"")</f>
        <v/>
      </c>
      <c r="BB93" s="85" t="str">
        <f aca="false">IF($B93=BB$12,$U93,"")</f>
        <v/>
      </c>
      <c r="BC93" s="85" t="str">
        <f aca="false">IF($B93=BC$12,$U93,"")</f>
        <v/>
      </c>
      <c r="BD93" s="85" t="str">
        <f aca="false">IF($B93=BD$12,$U93,"")</f>
        <v/>
      </c>
      <c r="BE93" s="85" t="str">
        <f aca="false">IF($B93=BE$12,$U93,"")</f>
        <v/>
      </c>
      <c r="BF93" s="85" t="str">
        <f aca="false">IF($B93=BF$12,$U93,"")</f>
        <v/>
      </c>
      <c r="BG93" s="85" t="str">
        <f aca="false">IF($B93=BG$12,$U93,"")</f>
        <v/>
      </c>
      <c r="BH93" s="85" t="str">
        <f aca="false">IF($B93=BH$12,$U93,"")</f>
        <v/>
      </c>
      <c r="BI93" s="85" t="str">
        <f aca="false">IF($B93=BI$12,$U93,"")</f>
        <v/>
      </c>
      <c r="BJ93" s="85" t="str">
        <f aca="false">IF($B93=BJ$12,$U93,"")</f>
        <v/>
      </c>
      <c r="BK93" s="85" t="str">
        <f aca="false">IF($B93=BK$12,$U93,"")</f>
        <v/>
      </c>
      <c r="BL93" s="85" t="str">
        <f aca="false">IF($B93=BL$12,$U93,"")</f>
        <v/>
      </c>
      <c r="BM93" s="85" t="str">
        <f aca="false">IF($B93=BM$12,$U93,"")</f>
        <v/>
      </c>
      <c r="BN93" s="85" t="str">
        <f aca="false">IF($B93=BN$12,$U93,"")</f>
        <v/>
      </c>
      <c r="BO93" s="85" t="str">
        <f aca="false">IF($B93=BO$12,$U93,"")</f>
        <v/>
      </c>
      <c r="BP93" s="85" t="str">
        <f aca="false">IF($B93=BP$12,$U93,"")</f>
        <v/>
      </c>
      <c r="BQ93" s="85" t="str">
        <f aca="false">IF($B93=BQ$12,$U93,"")</f>
        <v/>
      </c>
      <c r="BR93" s="85" t="str">
        <f aca="false">IF($B93=BR$12,$U93,"")</f>
        <v/>
      </c>
      <c r="BS93" s="85" t="str">
        <f aca="false">IF($B93=BS$12,$U93,"")</f>
        <v/>
      </c>
      <c r="BT93" s="85" t="str">
        <f aca="false">IF($B93=BT$12,$U93,"")</f>
        <v/>
      </c>
      <c r="BU93" s="85" t="str">
        <f aca="false">IF($B93=BU$12,$U93,"")</f>
        <v/>
      </c>
      <c r="BV93" s="85" t="str">
        <f aca="false">IF($B93=BV$12,$U93,"")</f>
        <v/>
      </c>
      <c r="BW93" s="85" t="str">
        <f aca="false">IF($B93=BW$12,$U93,"")</f>
        <v/>
      </c>
      <c r="BX93" s="85" t="str">
        <f aca="false">IF($B93=BX$12,$U93,"")</f>
        <v/>
      </c>
      <c r="BY93" s="85" t="str">
        <f aca="false">IF($B93=BY$12,$U93,"")</f>
        <v/>
      </c>
      <c r="BZ93" s="85" t="str">
        <f aca="false">IF($B93=BZ$12,$U93,"")</f>
        <v/>
      </c>
      <c r="CA93" s="85" t="str">
        <f aca="false">IF($B93=CA$12,$U93,"")</f>
        <v/>
      </c>
      <c r="CB93" s="85" t="str">
        <f aca="false">IF($B93=CB$12,$U93,"")</f>
        <v/>
      </c>
      <c r="CC93" s="85" t="str">
        <f aca="false">IF($B93=CC$12,$U93,"")</f>
        <v/>
      </c>
      <c r="CD93" s="85" t="str">
        <f aca="false">IF($B93=CD$12,$U93,"")</f>
        <v/>
      </c>
      <c r="CE93" s="85" t="str">
        <f aca="false">IF($B93=CE$12,$U93,"")</f>
        <v/>
      </c>
      <c r="CF93" s="85" t="str">
        <f aca="false">IF($B93=CF$12,$U93,"")</f>
        <v/>
      </c>
      <c r="CG93" s="85" t="str">
        <f aca="false">IF($B93=CG$12,$U93,"")</f>
        <v/>
      </c>
      <c r="CH93" s="85" t="str">
        <f aca="false">IF($B93=CH$12,$U93,"")</f>
        <v/>
      </c>
      <c r="CI93" s="85" t="str">
        <f aca="false">IF($B93=CI$12,$U93,"")</f>
        <v/>
      </c>
      <c r="CJ93" s="85" t="str">
        <f aca="false">IF($B93=CJ$12,$U93,"")</f>
        <v/>
      </c>
      <c r="CK93" s="85" t="str">
        <f aca="false">IF($B93=CK$12,$U93,"")</f>
        <v/>
      </c>
      <c r="CL93" s="85" t="str">
        <f aca="false">IF($B93=CL$12,$U93,"")</f>
        <v/>
      </c>
      <c r="CM93" s="85" t="str">
        <f aca="false">IF($B93=CM$12,$U93,"")</f>
        <v/>
      </c>
      <c r="CN93" s="85" t="str">
        <f aca="false">IF($B93=CN$12,$U93,"")</f>
        <v/>
      </c>
      <c r="CO93" s="85" t="str">
        <f aca="false">IF($B93=CO$12,$U93,"")</f>
        <v/>
      </c>
      <c r="CP93" s="85" t="str">
        <f aca="false">IF($B93=CP$12,$U93,"")</f>
        <v/>
      </c>
      <c r="CQ93" s="85" t="str">
        <f aca="false">IF($B93=CQ$12,$U93,"")</f>
        <v/>
      </c>
      <c r="CR93" s="85" t="str">
        <f aca="false">IF($B93=CR$12,$U93,"")</f>
        <v/>
      </c>
      <c r="CS93" s="85" t="str">
        <f aca="false">IF($B93=CS$12,$U93,"")</f>
        <v/>
      </c>
      <c r="CT93" s="85" t="str">
        <f aca="false">IF($B93=CT$12,$U93,"")</f>
        <v/>
      </c>
      <c r="CU93" s="85" t="str">
        <f aca="false">IF($B93=CU$12,$U93,"")</f>
        <v/>
      </c>
      <c r="CV93" s="85" t="str">
        <f aca="false">IF($B93=CV$12,$U93,"")</f>
        <v/>
      </c>
      <c r="CW93" s="85" t="str">
        <f aca="false">IF($B93=CW$12,$U93,"")</f>
        <v/>
      </c>
      <c r="CX93" s="85" t="str">
        <f aca="false">IF($B93=CX$12,$U93,"")</f>
        <v/>
      </c>
      <c r="CY93" s="85" t="str">
        <f aca="false">IF($B93=CY$12,$U93,"")</f>
        <v/>
      </c>
      <c r="CZ93" s="85" t="str">
        <f aca="false">IF($B93=CZ$12,$U93,"")</f>
        <v/>
      </c>
      <c r="DA93" s="85" t="str">
        <f aca="false">IF($B93=DA$12,$U93,"")</f>
        <v/>
      </c>
      <c r="DB93" s="85" t="str">
        <f aca="false">IF($B93=DB$12,$U93,"")</f>
        <v/>
      </c>
      <c r="DC93" s="85" t="str">
        <f aca="false">IF($B93=DC$12,$U93,"")</f>
        <v/>
      </c>
      <c r="DD93" s="85" t="str">
        <f aca="false">IF($B93=DD$12,$U93,"")</f>
        <v/>
      </c>
      <c r="DE93" s="85" t="str">
        <f aca="false">IF($B93=DE$12,$U93,"")</f>
        <v/>
      </c>
      <c r="DF93" s="85" t="str">
        <f aca="false">IF($B93=DF$12,$U93,"")</f>
        <v/>
      </c>
      <c r="DG93" s="85" t="str">
        <f aca="false">IF($B93=DG$12,$U93,"")</f>
        <v/>
      </c>
      <c r="DH93" s="85" t="str">
        <f aca="false">IF($B93=DH$12,$U93,"")</f>
        <v/>
      </c>
      <c r="DI93" s="85" t="str">
        <f aca="false">IF($B93=DI$12,$U93,"")</f>
        <v/>
      </c>
      <c r="DJ93" s="85" t="str">
        <f aca="false">IF($B93=DJ$12,$U93,"")</f>
        <v/>
      </c>
      <c r="DK93" s="85" t="str">
        <f aca="false">IF($B93=DK$12,$U93,"")</f>
        <v/>
      </c>
      <c r="DL93" s="85" t="str">
        <f aca="false">IF($B93=DL$12,$U93,"")</f>
        <v/>
      </c>
      <c r="DM93" s="85" t="str">
        <f aca="false">IF($B93=DM$12,$U93,"")</f>
        <v/>
      </c>
      <c r="DN93" s="85" t="str">
        <f aca="false">IF($B93=DN$12,$U93,"")</f>
        <v/>
      </c>
      <c r="DO93" s="85" t="str">
        <f aca="false">IF($B93=DO$12,$U93,"")</f>
        <v/>
      </c>
      <c r="DP93" s="85" t="str">
        <f aca="false">IF($B93=DP$12,$U93,"")</f>
        <v/>
      </c>
      <c r="DQ93" s="85" t="str">
        <f aca="false">IF($B93=DQ$12,$U93,"")</f>
        <v/>
      </c>
      <c r="DR93" s="85" t="str">
        <f aca="false">IF($B93=DR$12,$U93,"")</f>
        <v/>
      </c>
      <c r="DS93" s="85" t="str">
        <f aca="false">IF($B93=DS$12,$U93,"")</f>
        <v/>
      </c>
      <c r="DT93" s="86" t="str">
        <f aca="false">IF($B93=DT$12,$U93,"")</f>
        <v/>
      </c>
      <c r="DU93" s="55"/>
      <c r="DV93" s="83"/>
      <c r="DW93" s="87" t="str">
        <f aca="false">IF($B93=DW$12,$O93,"")</f>
        <v/>
      </c>
      <c r="DX93" s="88" t="str">
        <f aca="false">IF($B93=DX$12,$O93,"")</f>
        <v/>
      </c>
      <c r="DY93" s="88" t="str">
        <f aca="false">IF($B93=DY$12,$O93,"")</f>
        <v/>
      </c>
      <c r="DZ93" s="88" t="str">
        <f aca="false">IF($B93=DZ$12,$O93,"")</f>
        <v/>
      </c>
      <c r="EA93" s="88" t="str">
        <f aca="false">IF($B93=EA$12,$O93,"")</f>
        <v/>
      </c>
      <c r="EB93" s="88" t="str">
        <f aca="false">IF($B93=EB$12,$O93,"")</f>
        <v/>
      </c>
      <c r="EC93" s="88" t="str">
        <f aca="false">IF($B93=EC$12,$O93,"")</f>
        <v/>
      </c>
      <c r="ED93" s="88" t="str">
        <f aca="false">IF($B93=ED$12,$O93,"")</f>
        <v/>
      </c>
      <c r="EE93" s="88" t="str">
        <f aca="false">IF($B93=EE$12,$O93,"")</f>
        <v/>
      </c>
      <c r="EF93" s="88" t="str">
        <f aca="false">IF($B93=EF$12,$O93,"")</f>
        <v/>
      </c>
      <c r="EG93" s="88" t="str">
        <f aca="false">IF($B93=EG$12,$O93,"")</f>
        <v/>
      </c>
      <c r="EH93" s="88" t="str">
        <f aca="false">IF($B93=EH$12,$O93,"")</f>
        <v/>
      </c>
      <c r="EI93" s="88" t="str">
        <f aca="false">IF($B93=EI$12,$O93,"")</f>
        <v/>
      </c>
      <c r="EJ93" s="88" t="str">
        <f aca="false">IF($B93=EJ$12,$O93,"")</f>
        <v/>
      </c>
      <c r="EK93" s="88" t="str">
        <f aca="false">IF($B93=EK$12,$O93,"")</f>
        <v/>
      </c>
      <c r="EL93" s="88" t="str">
        <f aca="false">IF($B93=EL$12,$O93,"")</f>
        <v/>
      </c>
      <c r="EM93" s="88" t="str">
        <f aca="false">IF($B93=EM$12,$O93,"")</f>
        <v/>
      </c>
      <c r="EN93" s="88" t="str">
        <f aca="false">IF($B93=EN$12,$O93,"")</f>
        <v/>
      </c>
      <c r="EO93" s="88" t="str">
        <f aca="false">IF($B93=EO$12,$O93,"")</f>
        <v/>
      </c>
      <c r="EP93" s="88" t="str">
        <f aca="false">IF($B93=EP$12,$O93,"")</f>
        <v/>
      </c>
      <c r="EQ93" s="88" t="str">
        <f aca="false">IF($B93=EQ$12,$O93,"")</f>
        <v/>
      </c>
      <c r="ER93" s="88" t="str">
        <f aca="false">IF($B93=ER$12,$O93,"")</f>
        <v/>
      </c>
      <c r="ES93" s="88" t="str">
        <f aca="false">IF($B93=ES$12,$O93,"")</f>
        <v/>
      </c>
      <c r="ET93" s="88" t="str">
        <f aca="false">IF($B93=ET$12,$O93,"")</f>
        <v/>
      </c>
      <c r="EU93" s="88" t="str">
        <f aca="false">IF($B93=EU$12,$O93,"")</f>
        <v/>
      </c>
      <c r="EV93" s="88" t="str">
        <f aca="false">IF($B93=EV$12,$O93,"")</f>
        <v/>
      </c>
      <c r="EW93" s="88" t="str">
        <f aca="false">IF($B93=EW$12,$O93,"")</f>
        <v/>
      </c>
      <c r="EX93" s="88" t="str">
        <f aca="false">IF($B93=EX$12,$O93,"")</f>
        <v/>
      </c>
      <c r="EY93" s="88" t="str">
        <f aca="false">IF($B93=EY$12,$O93,"")</f>
        <v/>
      </c>
      <c r="EZ93" s="88" t="str">
        <f aca="false">IF($B93=EZ$12,$O93,"")</f>
        <v/>
      </c>
      <c r="FA93" s="88" t="str">
        <f aca="false">IF($B93=FA$12,$O93,"")</f>
        <v/>
      </c>
      <c r="FB93" s="88" t="str">
        <f aca="false">IF($B93=FB$12,$O93,"")</f>
        <v/>
      </c>
      <c r="FC93" s="88" t="str">
        <f aca="false">IF($B93=FC$12,$O93,"")</f>
        <v/>
      </c>
      <c r="FD93" s="88" t="str">
        <f aca="false">IF($B93=FD$12,$O93,"")</f>
        <v/>
      </c>
      <c r="FE93" s="88" t="str">
        <f aca="false">IF($B93=FE$12,$O93,"")</f>
        <v/>
      </c>
      <c r="FF93" s="88" t="str">
        <f aca="false">IF($B93=FF$12,$O93,"")</f>
        <v/>
      </c>
      <c r="FG93" s="88" t="str">
        <f aca="false">IF($B93=FG$12,$O93,"")</f>
        <v/>
      </c>
      <c r="FH93" s="88" t="str">
        <f aca="false">IF($B93=FH$12,$O93,"")</f>
        <v/>
      </c>
      <c r="FI93" s="88" t="str">
        <f aca="false">IF($B93=FI$12,$O93,"")</f>
        <v/>
      </c>
      <c r="FJ93" s="88" t="str">
        <f aca="false">IF($B93=FJ$12,$O93,"")</f>
        <v/>
      </c>
      <c r="FK93" s="88" t="str">
        <f aca="false">IF($B93=FK$12,$O93,"")</f>
        <v/>
      </c>
      <c r="FL93" s="88" t="str">
        <f aca="false">IF($B93=FL$12,$O93,"")</f>
        <v/>
      </c>
      <c r="FM93" s="88" t="str">
        <f aca="false">IF($B93=FM$12,$O93,"")</f>
        <v/>
      </c>
      <c r="FN93" s="88" t="str">
        <f aca="false">IF($B93=FN$12,$O93,"")</f>
        <v/>
      </c>
      <c r="FO93" s="88" t="str">
        <f aca="false">IF($B93=FO$12,$O93,"")</f>
        <v/>
      </c>
      <c r="FP93" s="88" t="str">
        <f aca="false">IF($B93=FP$12,$O93,"")</f>
        <v/>
      </c>
      <c r="FQ93" s="88" t="str">
        <f aca="false">IF($B93=FQ$12,$O93,"")</f>
        <v/>
      </c>
      <c r="FR93" s="88" t="str">
        <f aca="false">IF($B93=FR$12,$O93,"")</f>
        <v/>
      </c>
      <c r="FS93" s="88" t="str">
        <f aca="false">IF($B93=FS$12,$O93,"")</f>
        <v/>
      </c>
      <c r="FT93" s="88" t="str">
        <f aca="false">IF($B93=FT$12,$O93,"")</f>
        <v/>
      </c>
      <c r="FU93" s="88" t="str">
        <f aca="false">IF($B93=FU$12,$O93,"")</f>
        <v/>
      </c>
      <c r="FV93" s="88" t="str">
        <f aca="false">IF($B93=FV$12,$O93,"")</f>
        <v/>
      </c>
      <c r="FW93" s="88" t="str">
        <f aca="false">IF($B93=FW$12,$O93,"")</f>
        <v/>
      </c>
      <c r="FX93" s="88" t="str">
        <f aca="false">IF($B93=FX$12,$O93,"")</f>
        <v/>
      </c>
      <c r="FY93" s="88" t="str">
        <f aca="false">IF($B93=FY$12,$O93,"")</f>
        <v/>
      </c>
      <c r="FZ93" s="88" t="str">
        <f aca="false">IF($B93=FZ$12,$O93,"")</f>
        <v/>
      </c>
      <c r="GA93" s="88" t="str">
        <f aca="false">IF($B93=GA$12,$O93,"")</f>
        <v/>
      </c>
      <c r="GB93" s="88" t="str">
        <f aca="false">IF($B93=GB$12,$O93,"")</f>
        <v/>
      </c>
      <c r="GC93" s="88" t="str">
        <f aca="false">IF($B93=GC$12,$O93,"")</f>
        <v/>
      </c>
      <c r="GD93" s="88" t="str">
        <f aca="false">IF($B93=GD$12,$O93,"")</f>
        <v/>
      </c>
      <c r="GE93" s="88" t="str">
        <f aca="false">IF($B93=GE$12,$O93,"")</f>
        <v/>
      </c>
      <c r="GF93" s="88" t="str">
        <f aca="false">IF($B93=GF$12,$O93,"")</f>
        <v/>
      </c>
      <c r="GG93" s="88" t="str">
        <f aca="false">IF($B93=GG$12,$O93,"")</f>
        <v/>
      </c>
      <c r="GH93" s="88" t="str">
        <f aca="false">IF($B93=GH$12,$O93,"")</f>
        <v/>
      </c>
      <c r="GI93" s="88" t="str">
        <f aca="false">IF($B93=GI$12,$O93,"")</f>
        <v/>
      </c>
      <c r="GJ93" s="88" t="str">
        <f aca="false">IF($B93=GJ$12,$O93,"")</f>
        <v/>
      </c>
      <c r="GK93" s="88" t="str">
        <f aca="false">IF($B93=GK$12,$O93,"")</f>
        <v/>
      </c>
      <c r="GL93" s="88" t="str">
        <f aca="false">IF($B93=GL$12,$O93,"")</f>
        <v/>
      </c>
      <c r="GM93" s="88" t="str">
        <f aca="false">IF($B93=GM$12,$O93,"")</f>
        <v/>
      </c>
      <c r="GN93" s="88" t="str">
        <f aca="false">IF($B93=GN$12,$O93,"")</f>
        <v/>
      </c>
      <c r="GO93" s="88" t="str">
        <f aca="false">IF($B93=GO$12,$O93,"")</f>
        <v/>
      </c>
      <c r="GP93" s="88" t="str">
        <f aca="false">IF($B93=GP$12,$O93,"")</f>
        <v/>
      </c>
      <c r="GQ93" s="88" t="str">
        <f aca="false">IF($B93=GQ$12,$O93,"")</f>
        <v/>
      </c>
      <c r="GR93" s="88" t="str">
        <f aca="false">IF($B93=GR$12,$O93,"")</f>
        <v/>
      </c>
      <c r="GS93" s="88" t="str">
        <f aca="false">IF($B93=GS$12,$O93,"")</f>
        <v/>
      </c>
      <c r="GT93" s="88" t="str">
        <f aca="false">IF($B93=GT$12,$O93,"")</f>
        <v/>
      </c>
      <c r="GU93" s="88" t="str">
        <f aca="false">IF($B93=GU$12,$O93,"")</f>
        <v/>
      </c>
      <c r="GV93" s="88" t="str">
        <f aca="false">IF($B93=GV$12,$O93,"")</f>
        <v/>
      </c>
      <c r="GW93" s="88" t="str">
        <f aca="false">IF($B93=GW$12,$O93,"")</f>
        <v/>
      </c>
      <c r="GX93" s="88" t="str">
        <f aca="false">IF($B93=GX$12,$O93,"")</f>
        <v/>
      </c>
      <c r="GY93" s="88" t="str">
        <f aca="false">IF($B93=GY$12,$O93,"")</f>
        <v/>
      </c>
      <c r="GZ93" s="88" t="str">
        <f aca="false">IF($B93=GZ$12,$O93,"")</f>
        <v/>
      </c>
      <c r="HA93" s="88" t="str">
        <f aca="false">IF($B93=HA$12,$O93,"")</f>
        <v/>
      </c>
      <c r="HB93" s="88" t="str">
        <f aca="false">IF($B93=HB$12,$O93,"")</f>
        <v/>
      </c>
      <c r="HC93" s="88" t="str">
        <f aca="false">IF($B93=HC$12,$O93,"")</f>
        <v/>
      </c>
      <c r="HD93" s="88" t="str">
        <f aca="false">IF($B93=HD$12,$O93,"")</f>
        <v/>
      </c>
      <c r="HE93" s="88" t="str">
        <f aca="false">IF($B93=HE$12,$O93,"")</f>
        <v/>
      </c>
      <c r="HF93" s="88" t="str">
        <f aca="false">IF($B93=HF$12,$O93,"")</f>
        <v/>
      </c>
      <c r="HG93" s="88" t="str">
        <f aca="false">IF($B93=HG$12,$O93,"")</f>
        <v/>
      </c>
      <c r="HH93" s="88" t="str">
        <f aca="false">IF($B93=HH$12,$O93,"")</f>
        <v/>
      </c>
      <c r="HI93" s="88" t="str">
        <f aca="false">IF($B93=HI$12,$O93,"")</f>
        <v/>
      </c>
      <c r="HJ93" s="88" t="str">
        <f aca="false">IF($B93=HJ$12,$O93,"")</f>
        <v/>
      </c>
      <c r="HK93" s="88" t="str">
        <f aca="false">IF($B93=HK$12,$O93,"")</f>
        <v/>
      </c>
      <c r="HL93" s="88" t="str">
        <f aca="false">IF($B93=HL$12,$O93,"")</f>
        <v/>
      </c>
      <c r="HM93" s="88" t="str">
        <f aca="false">IF($B93=HM$12,$O93,"")</f>
        <v/>
      </c>
      <c r="HN93" s="88" t="str">
        <f aca="false">IF($B93=HN$12,$O93,"")</f>
        <v/>
      </c>
      <c r="HO93" s="88" t="str">
        <f aca="false">IF($B93=HO$12,$O93,"")</f>
        <v/>
      </c>
      <c r="HP93" s="88" t="str">
        <f aca="false">IF($B93=HP$12,$O93,"")</f>
        <v/>
      </c>
      <c r="HQ93" s="88" t="str">
        <f aca="false">IF($B93=HQ$12,$O93,"")</f>
        <v/>
      </c>
      <c r="HR93" s="89" t="str">
        <f aca="false">IF($B93=HR$12,$O93,"")</f>
        <v/>
      </c>
    </row>
    <row r="94" customFormat="false" ht="10.5" hidden="false" customHeight="true" outlineLevel="0" collapsed="false">
      <c r="A94" s="73"/>
      <c r="B94" s="74"/>
      <c r="C94" s="75" t="str">
        <f aca="false">IF(A94=0,"",VLOOKUP(A94,[3]CO!$A$3:$F$5311,2,0))</f>
        <v/>
      </c>
      <c r="D94" s="76"/>
      <c r="E94" s="76"/>
      <c r="F94" s="76"/>
      <c r="G94" s="77" t="str">
        <f aca="false">IF(A94=0,"",VLOOKUP(A94,[3]CO!$A$3:$F$5311,3,0))</f>
        <v/>
      </c>
      <c r="H94" s="76"/>
      <c r="I94" s="78"/>
      <c r="J94" s="78"/>
      <c r="K94" s="78"/>
      <c r="L94" s="78"/>
      <c r="M94" s="79" t="str">
        <f aca="false">IF(L94=0,"",PRODUCT(I94:L94))</f>
        <v/>
      </c>
      <c r="N94" s="79" t="str">
        <f aca="false">IF(B94=0,"",IF(H94="M",HLOOKUP(B94,$Y$12:$DT$13,2),IF(A94=0,"",VLOOKUP(A94,[3]CO!$A$3:$F$5311,4,0))))</f>
        <v/>
      </c>
      <c r="O94" s="79" t="str">
        <f aca="false">IF(L94=0,"",PRODUCT(M94:N94))</f>
        <v/>
      </c>
      <c r="P94" s="80"/>
      <c r="Q94" s="81" t="str">
        <f aca="false">IF(P94=0,"",(HLOOKUP(P94,$DW$12:$HR$13,2)))</f>
        <v/>
      </c>
      <c r="R94" s="82" t="str">
        <f aca="false">IF(S94=0,"",IF(OR(G94="PEON",G94="OF",G94="JARD",G94="CARP",G94="MAESTRO",G94="SOLD",G94="BGRO",G94="CHOFER",G94="AYTE",G94="S.INTTE.",G94="ASEO",G94="P.PISOS",G94="VELADOR",G94="RESID",G94="PINTOR",G94="ELECT",G94="AZULE",G94="AUX CONT.",G94="SECRETARIA",G94="AUXILIAR ADMTVO.",G94="ARQUITECTO",G94="DIBUJANTE",G94="AUX. DE RESIDENTE"),VLOOKUP(B94,P$14:Q$131,2),"")*S94)</f>
        <v/>
      </c>
      <c r="S94" s="5"/>
      <c r="T94" s="65" t="str">
        <f aca="false">IF(A94=0,"",VLOOKUP(A94,[3]CO!$A$3:$F$5302,5,0))</f>
        <v/>
      </c>
      <c r="U94" s="55" t="n">
        <f aca="false">IF(T94=1,O94*0.1,)</f>
        <v>0</v>
      </c>
      <c r="V94" s="66"/>
      <c r="W94" s="83"/>
      <c r="X94" s="83"/>
      <c r="Y94" s="84" t="str">
        <f aca="false">IF($B94=Y$12,$U94,"")</f>
        <v/>
      </c>
      <c r="Z94" s="85" t="str">
        <f aca="false">IF($B94=Z$12,$U94,"")</f>
        <v/>
      </c>
      <c r="AA94" s="85" t="str">
        <f aca="false">IF($B94=AA$12,$U94,"")</f>
        <v/>
      </c>
      <c r="AB94" s="85" t="str">
        <f aca="false">IF($B94=AB$12,$U94,"")</f>
        <v/>
      </c>
      <c r="AC94" s="85" t="str">
        <f aca="false">IF($B94=AC$12,$U94,"")</f>
        <v/>
      </c>
      <c r="AD94" s="85" t="str">
        <f aca="false">IF($B94=AD$12,$U94,"")</f>
        <v/>
      </c>
      <c r="AE94" s="85" t="str">
        <f aca="false">IF($B94=AE$12,$U94,"")</f>
        <v/>
      </c>
      <c r="AF94" s="85" t="str">
        <f aca="false">IF($B94=AF$12,$U94,"")</f>
        <v/>
      </c>
      <c r="AG94" s="85" t="str">
        <f aca="false">IF($B94=AG$12,$U94,"")</f>
        <v/>
      </c>
      <c r="AH94" s="85" t="str">
        <f aca="false">IF($B94=AH$12,$U94,"")</f>
        <v/>
      </c>
      <c r="AI94" s="85" t="str">
        <f aca="false">IF($B94=AI$12,$U94,"")</f>
        <v/>
      </c>
      <c r="AJ94" s="85" t="str">
        <f aca="false">IF($B94=AJ$12,$U94,"")</f>
        <v/>
      </c>
      <c r="AK94" s="85" t="str">
        <f aca="false">IF($B94=AK$12,$U94,"")</f>
        <v/>
      </c>
      <c r="AL94" s="85" t="str">
        <f aca="false">IF($B94=AL$12,$U94,"")</f>
        <v/>
      </c>
      <c r="AM94" s="85" t="str">
        <f aca="false">IF($B94=AM$12,$U94,"")</f>
        <v/>
      </c>
      <c r="AN94" s="85" t="str">
        <f aca="false">IF($B94=AN$12,$U94,"")</f>
        <v/>
      </c>
      <c r="AO94" s="85" t="str">
        <f aca="false">IF($B94=AO$12,$U94,"")</f>
        <v/>
      </c>
      <c r="AP94" s="85" t="str">
        <f aca="false">IF($B94=AP$12,$U94,"")</f>
        <v/>
      </c>
      <c r="AQ94" s="85" t="str">
        <f aca="false">IF($B94=AQ$12,$U94,"")</f>
        <v/>
      </c>
      <c r="AR94" s="85" t="str">
        <f aca="false">IF($B94=AR$12,$U94,"")</f>
        <v/>
      </c>
      <c r="AS94" s="85" t="str">
        <f aca="false">IF($B94=AS$12,$U94,"")</f>
        <v/>
      </c>
      <c r="AT94" s="85" t="str">
        <f aca="false">IF($B94=AT$12,$U94,"")</f>
        <v/>
      </c>
      <c r="AU94" s="85" t="str">
        <f aca="false">IF($B94=AU$12,$U94,"")</f>
        <v/>
      </c>
      <c r="AV94" s="85" t="str">
        <f aca="false">IF($B94=AV$12,$U94,"")</f>
        <v/>
      </c>
      <c r="AW94" s="85" t="str">
        <f aca="false">IF($B94=AW$12,$U94,"")</f>
        <v/>
      </c>
      <c r="AX94" s="85" t="str">
        <f aca="false">IF($B94=AX$12,$U94,"")</f>
        <v/>
      </c>
      <c r="AY94" s="85" t="str">
        <f aca="false">IF($B94=AY$12,$U94,"")</f>
        <v/>
      </c>
      <c r="AZ94" s="85" t="str">
        <f aca="false">IF($B94=AZ$12,$U94,"")</f>
        <v/>
      </c>
      <c r="BA94" s="85" t="str">
        <f aca="false">IF($B94=BA$12,$U94,"")</f>
        <v/>
      </c>
      <c r="BB94" s="85" t="str">
        <f aca="false">IF($B94=BB$12,$U94,"")</f>
        <v/>
      </c>
      <c r="BC94" s="85" t="str">
        <f aca="false">IF($B94=BC$12,$U94,"")</f>
        <v/>
      </c>
      <c r="BD94" s="85" t="str">
        <f aca="false">IF($B94=BD$12,$U94,"")</f>
        <v/>
      </c>
      <c r="BE94" s="85" t="str">
        <f aca="false">IF($B94=BE$12,$U94,"")</f>
        <v/>
      </c>
      <c r="BF94" s="85" t="str">
        <f aca="false">IF($B94=BF$12,$U94,"")</f>
        <v/>
      </c>
      <c r="BG94" s="85" t="str">
        <f aca="false">IF($B94=BG$12,$U94,"")</f>
        <v/>
      </c>
      <c r="BH94" s="85" t="str">
        <f aca="false">IF($B94=BH$12,$U94,"")</f>
        <v/>
      </c>
      <c r="BI94" s="85" t="str">
        <f aca="false">IF($B94=BI$12,$U94,"")</f>
        <v/>
      </c>
      <c r="BJ94" s="85" t="str">
        <f aca="false">IF($B94=BJ$12,$U94,"")</f>
        <v/>
      </c>
      <c r="BK94" s="85" t="str">
        <f aca="false">IF($B94=BK$12,$U94,"")</f>
        <v/>
      </c>
      <c r="BL94" s="85" t="str">
        <f aca="false">IF($B94=BL$12,$U94,"")</f>
        <v/>
      </c>
      <c r="BM94" s="85" t="str">
        <f aca="false">IF($B94=BM$12,$U94,"")</f>
        <v/>
      </c>
      <c r="BN94" s="85" t="str">
        <f aca="false">IF($B94=BN$12,$U94,"")</f>
        <v/>
      </c>
      <c r="BO94" s="85" t="str">
        <f aca="false">IF($B94=BO$12,$U94,"")</f>
        <v/>
      </c>
      <c r="BP94" s="85" t="str">
        <f aca="false">IF($B94=BP$12,$U94,"")</f>
        <v/>
      </c>
      <c r="BQ94" s="85" t="str">
        <f aca="false">IF($B94=BQ$12,$U94,"")</f>
        <v/>
      </c>
      <c r="BR94" s="85" t="str">
        <f aca="false">IF($B94=BR$12,$U94,"")</f>
        <v/>
      </c>
      <c r="BS94" s="85" t="str">
        <f aca="false">IF($B94=BS$12,$U94,"")</f>
        <v/>
      </c>
      <c r="BT94" s="85" t="str">
        <f aca="false">IF($B94=BT$12,$U94,"")</f>
        <v/>
      </c>
      <c r="BU94" s="85" t="str">
        <f aca="false">IF($B94=BU$12,$U94,"")</f>
        <v/>
      </c>
      <c r="BV94" s="85" t="str">
        <f aca="false">IF($B94=BV$12,$U94,"")</f>
        <v/>
      </c>
      <c r="BW94" s="85" t="str">
        <f aca="false">IF($B94=BW$12,$U94,"")</f>
        <v/>
      </c>
      <c r="BX94" s="85" t="str">
        <f aca="false">IF($B94=BX$12,$U94,"")</f>
        <v/>
      </c>
      <c r="BY94" s="85" t="str">
        <f aca="false">IF($B94=BY$12,$U94,"")</f>
        <v/>
      </c>
      <c r="BZ94" s="85" t="str">
        <f aca="false">IF($B94=BZ$12,$U94,"")</f>
        <v/>
      </c>
      <c r="CA94" s="85" t="str">
        <f aca="false">IF($B94=CA$12,$U94,"")</f>
        <v/>
      </c>
      <c r="CB94" s="85" t="str">
        <f aca="false">IF($B94=CB$12,$U94,"")</f>
        <v/>
      </c>
      <c r="CC94" s="85" t="str">
        <f aca="false">IF($B94=CC$12,$U94,"")</f>
        <v/>
      </c>
      <c r="CD94" s="85" t="str">
        <f aca="false">IF($B94=CD$12,$U94,"")</f>
        <v/>
      </c>
      <c r="CE94" s="85" t="str">
        <f aca="false">IF($B94=CE$12,$U94,"")</f>
        <v/>
      </c>
      <c r="CF94" s="85" t="str">
        <f aca="false">IF($B94=CF$12,$U94,"")</f>
        <v/>
      </c>
      <c r="CG94" s="85" t="str">
        <f aca="false">IF($B94=CG$12,$U94,"")</f>
        <v/>
      </c>
      <c r="CH94" s="85" t="str">
        <f aca="false">IF($B94=CH$12,$U94,"")</f>
        <v/>
      </c>
      <c r="CI94" s="85" t="str">
        <f aca="false">IF($B94=CI$12,$U94,"")</f>
        <v/>
      </c>
      <c r="CJ94" s="85" t="str">
        <f aca="false">IF($B94=CJ$12,$U94,"")</f>
        <v/>
      </c>
      <c r="CK94" s="85" t="str">
        <f aca="false">IF($B94=CK$12,$U94,"")</f>
        <v/>
      </c>
      <c r="CL94" s="85" t="str">
        <f aca="false">IF($B94=CL$12,$U94,"")</f>
        <v/>
      </c>
      <c r="CM94" s="85" t="str">
        <f aca="false">IF($B94=CM$12,$U94,"")</f>
        <v/>
      </c>
      <c r="CN94" s="85" t="str">
        <f aca="false">IF($B94=CN$12,$U94,"")</f>
        <v/>
      </c>
      <c r="CO94" s="85" t="str">
        <f aca="false">IF($B94=CO$12,$U94,"")</f>
        <v/>
      </c>
      <c r="CP94" s="85" t="str">
        <f aca="false">IF($B94=CP$12,$U94,"")</f>
        <v/>
      </c>
      <c r="CQ94" s="85" t="str">
        <f aca="false">IF($B94=CQ$12,$U94,"")</f>
        <v/>
      </c>
      <c r="CR94" s="85" t="str">
        <f aca="false">IF($B94=CR$12,$U94,"")</f>
        <v/>
      </c>
      <c r="CS94" s="85" t="str">
        <f aca="false">IF($B94=CS$12,$U94,"")</f>
        <v/>
      </c>
      <c r="CT94" s="85" t="str">
        <f aca="false">IF($B94=CT$12,$U94,"")</f>
        <v/>
      </c>
      <c r="CU94" s="85" t="str">
        <f aca="false">IF($B94=CU$12,$U94,"")</f>
        <v/>
      </c>
      <c r="CV94" s="85" t="str">
        <f aca="false">IF($B94=CV$12,$U94,"")</f>
        <v/>
      </c>
      <c r="CW94" s="85" t="str">
        <f aca="false">IF($B94=CW$12,$U94,"")</f>
        <v/>
      </c>
      <c r="CX94" s="85" t="str">
        <f aca="false">IF($B94=CX$12,$U94,"")</f>
        <v/>
      </c>
      <c r="CY94" s="85" t="str">
        <f aca="false">IF($B94=CY$12,$U94,"")</f>
        <v/>
      </c>
      <c r="CZ94" s="85" t="str">
        <f aca="false">IF($B94=CZ$12,$U94,"")</f>
        <v/>
      </c>
      <c r="DA94" s="85" t="str">
        <f aca="false">IF($B94=DA$12,$U94,"")</f>
        <v/>
      </c>
      <c r="DB94" s="85" t="str">
        <f aca="false">IF($B94=DB$12,$U94,"")</f>
        <v/>
      </c>
      <c r="DC94" s="85" t="str">
        <f aca="false">IF($B94=DC$12,$U94,"")</f>
        <v/>
      </c>
      <c r="DD94" s="85" t="str">
        <f aca="false">IF($B94=DD$12,$U94,"")</f>
        <v/>
      </c>
      <c r="DE94" s="85" t="str">
        <f aca="false">IF($B94=DE$12,$U94,"")</f>
        <v/>
      </c>
      <c r="DF94" s="85" t="str">
        <f aca="false">IF($B94=DF$12,$U94,"")</f>
        <v/>
      </c>
      <c r="DG94" s="85" t="str">
        <f aca="false">IF($B94=DG$12,$U94,"")</f>
        <v/>
      </c>
      <c r="DH94" s="85" t="str">
        <f aca="false">IF($B94=DH$12,$U94,"")</f>
        <v/>
      </c>
      <c r="DI94" s="85" t="str">
        <f aca="false">IF($B94=DI$12,$U94,"")</f>
        <v/>
      </c>
      <c r="DJ94" s="85" t="str">
        <f aca="false">IF($B94=DJ$12,$U94,"")</f>
        <v/>
      </c>
      <c r="DK94" s="85" t="str">
        <f aca="false">IF($B94=DK$12,$U94,"")</f>
        <v/>
      </c>
      <c r="DL94" s="85" t="str">
        <f aca="false">IF($B94=DL$12,$U94,"")</f>
        <v/>
      </c>
      <c r="DM94" s="85" t="str">
        <f aca="false">IF($B94=DM$12,$U94,"")</f>
        <v/>
      </c>
      <c r="DN94" s="85" t="str">
        <f aca="false">IF($B94=DN$12,$U94,"")</f>
        <v/>
      </c>
      <c r="DO94" s="85" t="str">
        <f aca="false">IF($B94=DO$12,$U94,"")</f>
        <v/>
      </c>
      <c r="DP94" s="85" t="str">
        <f aca="false">IF($B94=DP$12,$U94,"")</f>
        <v/>
      </c>
      <c r="DQ94" s="85" t="str">
        <f aca="false">IF($B94=DQ$12,$U94,"")</f>
        <v/>
      </c>
      <c r="DR94" s="85" t="str">
        <f aca="false">IF($B94=DR$12,$U94,"")</f>
        <v/>
      </c>
      <c r="DS94" s="85" t="str">
        <f aca="false">IF($B94=DS$12,$U94,"")</f>
        <v/>
      </c>
      <c r="DT94" s="86" t="str">
        <f aca="false">IF($B94=DT$12,$U94,"")</f>
        <v/>
      </c>
      <c r="DU94" s="55"/>
      <c r="DV94" s="83"/>
      <c r="DW94" s="87" t="str">
        <f aca="false">IF($B94=DW$12,$O94,"")</f>
        <v/>
      </c>
      <c r="DX94" s="88" t="str">
        <f aca="false">IF($B94=DX$12,$O94,"")</f>
        <v/>
      </c>
      <c r="DY94" s="88" t="str">
        <f aca="false">IF($B94=DY$12,$O94,"")</f>
        <v/>
      </c>
      <c r="DZ94" s="88" t="str">
        <f aca="false">IF($B94=DZ$12,$O94,"")</f>
        <v/>
      </c>
      <c r="EA94" s="88" t="str">
        <f aca="false">IF($B94=EA$12,$O94,"")</f>
        <v/>
      </c>
      <c r="EB94" s="88" t="str">
        <f aca="false">IF($B94=EB$12,$O94,"")</f>
        <v/>
      </c>
      <c r="EC94" s="88" t="str">
        <f aca="false">IF($B94=EC$12,$O94,"")</f>
        <v/>
      </c>
      <c r="ED94" s="88" t="str">
        <f aca="false">IF($B94=ED$12,$O94,"")</f>
        <v/>
      </c>
      <c r="EE94" s="88" t="str">
        <f aca="false">IF($B94=EE$12,$O94,"")</f>
        <v/>
      </c>
      <c r="EF94" s="88" t="str">
        <f aca="false">IF($B94=EF$12,$O94,"")</f>
        <v/>
      </c>
      <c r="EG94" s="88" t="str">
        <f aca="false">IF($B94=EG$12,$O94,"")</f>
        <v/>
      </c>
      <c r="EH94" s="88" t="str">
        <f aca="false">IF($B94=EH$12,$O94,"")</f>
        <v/>
      </c>
      <c r="EI94" s="88" t="str">
        <f aca="false">IF($B94=EI$12,$O94,"")</f>
        <v/>
      </c>
      <c r="EJ94" s="88" t="str">
        <f aca="false">IF($B94=EJ$12,$O94,"")</f>
        <v/>
      </c>
      <c r="EK94" s="88" t="str">
        <f aca="false">IF($B94=EK$12,$O94,"")</f>
        <v/>
      </c>
      <c r="EL94" s="88" t="str">
        <f aca="false">IF($B94=EL$12,$O94,"")</f>
        <v/>
      </c>
      <c r="EM94" s="88" t="str">
        <f aca="false">IF($B94=EM$12,$O94,"")</f>
        <v/>
      </c>
      <c r="EN94" s="88" t="str">
        <f aca="false">IF($B94=EN$12,$O94,"")</f>
        <v/>
      </c>
      <c r="EO94" s="88" t="str">
        <f aca="false">IF($B94=EO$12,$O94,"")</f>
        <v/>
      </c>
      <c r="EP94" s="88" t="str">
        <f aca="false">IF($B94=EP$12,$O94,"")</f>
        <v/>
      </c>
      <c r="EQ94" s="88" t="str">
        <f aca="false">IF($B94=EQ$12,$O94,"")</f>
        <v/>
      </c>
      <c r="ER94" s="88" t="str">
        <f aca="false">IF($B94=ER$12,$O94,"")</f>
        <v/>
      </c>
      <c r="ES94" s="88" t="str">
        <f aca="false">IF($B94=ES$12,$O94,"")</f>
        <v/>
      </c>
      <c r="ET94" s="88" t="str">
        <f aca="false">IF($B94=ET$12,$O94,"")</f>
        <v/>
      </c>
      <c r="EU94" s="88" t="str">
        <f aca="false">IF($B94=EU$12,$O94,"")</f>
        <v/>
      </c>
      <c r="EV94" s="88" t="str">
        <f aca="false">IF($B94=EV$12,$O94,"")</f>
        <v/>
      </c>
      <c r="EW94" s="88" t="str">
        <f aca="false">IF($B94=EW$12,$O94,"")</f>
        <v/>
      </c>
      <c r="EX94" s="88" t="str">
        <f aca="false">IF($B94=EX$12,$O94,"")</f>
        <v/>
      </c>
      <c r="EY94" s="88" t="str">
        <f aca="false">IF($B94=EY$12,$O94,"")</f>
        <v/>
      </c>
      <c r="EZ94" s="88" t="str">
        <f aca="false">IF($B94=EZ$12,$O94,"")</f>
        <v/>
      </c>
      <c r="FA94" s="88" t="str">
        <f aca="false">IF($B94=FA$12,$O94,"")</f>
        <v/>
      </c>
      <c r="FB94" s="88" t="str">
        <f aca="false">IF($B94=FB$12,$O94,"")</f>
        <v/>
      </c>
      <c r="FC94" s="88" t="str">
        <f aca="false">IF($B94=FC$12,$O94,"")</f>
        <v/>
      </c>
      <c r="FD94" s="88" t="str">
        <f aca="false">IF($B94=FD$12,$O94,"")</f>
        <v/>
      </c>
      <c r="FE94" s="88" t="str">
        <f aca="false">IF($B94=FE$12,$O94,"")</f>
        <v/>
      </c>
      <c r="FF94" s="88" t="str">
        <f aca="false">IF($B94=FF$12,$O94,"")</f>
        <v/>
      </c>
      <c r="FG94" s="88" t="str">
        <f aca="false">IF($B94=FG$12,$O94,"")</f>
        <v/>
      </c>
      <c r="FH94" s="88" t="str">
        <f aca="false">IF($B94=FH$12,$O94,"")</f>
        <v/>
      </c>
      <c r="FI94" s="88" t="str">
        <f aca="false">IF($B94=FI$12,$O94,"")</f>
        <v/>
      </c>
      <c r="FJ94" s="88" t="str">
        <f aca="false">IF($B94=FJ$12,$O94,"")</f>
        <v/>
      </c>
      <c r="FK94" s="88" t="str">
        <f aca="false">IF($B94=FK$12,$O94,"")</f>
        <v/>
      </c>
      <c r="FL94" s="88" t="str">
        <f aca="false">IF($B94=FL$12,$O94,"")</f>
        <v/>
      </c>
      <c r="FM94" s="88" t="str">
        <f aca="false">IF($B94=FM$12,$O94,"")</f>
        <v/>
      </c>
      <c r="FN94" s="88" t="str">
        <f aca="false">IF($B94=FN$12,$O94,"")</f>
        <v/>
      </c>
      <c r="FO94" s="88" t="str">
        <f aca="false">IF($B94=FO$12,$O94,"")</f>
        <v/>
      </c>
      <c r="FP94" s="88" t="str">
        <f aca="false">IF($B94=FP$12,$O94,"")</f>
        <v/>
      </c>
      <c r="FQ94" s="88" t="str">
        <f aca="false">IF($B94=FQ$12,$O94,"")</f>
        <v/>
      </c>
      <c r="FR94" s="88" t="str">
        <f aca="false">IF($B94=FR$12,$O94,"")</f>
        <v/>
      </c>
      <c r="FS94" s="88" t="str">
        <f aca="false">IF($B94=FS$12,$O94,"")</f>
        <v/>
      </c>
      <c r="FT94" s="88" t="str">
        <f aca="false">IF($B94=FT$12,$O94,"")</f>
        <v/>
      </c>
      <c r="FU94" s="88" t="str">
        <f aca="false">IF($B94=FU$12,$O94,"")</f>
        <v/>
      </c>
      <c r="FV94" s="88" t="str">
        <f aca="false">IF($B94=FV$12,$O94,"")</f>
        <v/>
      </c>
      <c r="FW94" s="88" t="str">
        <f aca="false">IF($B94=FW$12,$O94,"")</f>
        <v/>
      </c>
      <c r="FX94" s="88" t="str">
        <f aca="false">IF($B94=FX$12,$O94,"")</f>
        <v/>
      </c>
      <c r="FY94" s="88" t="str">
        <f aca="false">IF($B94=FY$12,$O94,"")</f>
        <v/>
      </c>
      <c r="FZ94" s="88" t="str">
        <f aca="false">IF($B94=FZ$12,$O94,"")</f>
        <v/>
      </c>
      <c r="GA94" s="88" t="str">
        <f aca="false">IF($B94=GA$12,$O94,"")</f>
        <v/>
      </c>
      <c r="GB94" s="88" t="str">
        <f aca="false">IF($B94=GB$12,$O94,"")</f>
        <v/>
      </c>
      <c r="GC94" s="88" t="str">
        <f aca="false">IF($B94=GC$12,$O94,"")</f>
        <v/>
      </c>
      <c r="GD94" s="88" t="str">
        <f aca="false">IF($B94=GD$12,$O94,"")</f>
        <v/>
      </c>
      <c r="GE94" s="88" t="str">
        <f aca="false">IF($B94=GE$12,$O94,"")</f>
        <v/>
      </c>
      <c r="GF94" s="88" t="str">
        <f aca="false">IF($B94=GF$12,$O94,"")</f>
        <v/>
      </c>
      <c r="GG94" s="88" t="str">
        <f aca="false">IF($B94=GG$12,$O94,"")</f>
        <v/>
      </c>
      <c r="GH94" s="88" t="str">
        <f aca="false">IF($B94=GH$12,$O94,"")</f>
        <v/>
      </c>
      <c r="GI94" s="88" t="str">
        <f aca="false">IF($B94=GI$12,$O94,"")</f>
        <v/>
      </c>
      <c r="GJ94" s="88" t="str">
        <f aca="false">IF($B94=GJ$12,$O94,"")</f>
        <v/>
      </c>
      <c r="GK94" s="88" t="str">
        <f aca="false">IF($B94=GK$12,$O94,"")</f>
        <v/>
      </c>
      <c r="GL94" s="88" t="str">
        <f aca="false">IF($B94=GL$12,$O94,"")</f>
        <v/>
      </c>
      <c r="GM94" s="88" t="str">
        <f aca="false">IF($B94=GM$12,$O94,"")</f>
        <v/>
      </c>
      <c r="GN94" s="88" t="str">
        <f aca="false">IF($B94=GN$12,$O94,"")</f>
        <v/>
      </c>
      <c r="GO94" s="88" t="str">
        <f aca="false">IF($B94=GO$12,$O94,"")</f>
        <v/>
      </c>
      <c r="GP94" s="88" t="str">
        <f aca="false">IF($B94=GP$12,$O94,"")</f>
        <v/>
      </c>
      <c r="GQ94" s="88" t="str">
        <f aca="false">IF($B94=GQ$12,$O94,"")</f>
        <v/>
      </c>
      <c r="GR94" s="88" t="str">
        <f aca="false">IF($B94=GR$12,$O94,"")</f>
        <v/>
      </c>
      <c r="GS94" s="88" t="str">
        <f aca="false">IF($B94=GS$12,$O94,"")</f>
        <v/>
      </c>
      <c r="GT94" s="88" t="str">
        <f aca="false">IF($B94=GT$12,$O94,"")</f>
        <v/>
      </c>
      <c r="GU94" s="88" t="str">
        <f aca="false">IF($B94=GU$12,$O94,"")</f>
        <v/>
      </c>
      <c r="GV94" s="88" t="str">
        <f aca="false">IF($B94=GV$12,$O94,"")</f>
        <v/>
      </c>
      <c r="GW94" s="88" t="str">
        <f aca="false">IF($B94=GW$12,$O94,"")</f>
        <v/>
      </c>
      <c r="GX94" s="88" t="str">
        <f aca="false">IF($B94=GX$12,$O94,"")</f>
        <v/>
      </c>
      <c r="GY94" s="88" t="str">
        <f aca="false">IF($B94=GY$12,$O94,"")</f>
        <v/>
      </c>
      <c r="GZ94" s="88" t="str">
        <f aca="false">IF($B94=GZ$12,$O94,"")</f>
        <v/>
      </c>
      <c r="HA94" s="88" t="str">
        <f aca="false">IF($B94=HA$12,$O94,"")</f>
        <v/>
      </c>
      <c r="HB94" s="88" t="str">
        <f aca="false">IF($B94=HB$12,$O94,"")</f>
        <v/>
      </c>
      <c r="HC94" s="88" t="str">
        <f aca="false">IF($B94=HC$12,$O94,"")</f>
        <v/>
      </c>
      <c r="HD94" s="88" t="str">
        <f aca="false">IF($B94=HD$12,$O94,"")</f>
        <v/>
      </c>
      <c r="HE94" s="88" t="str">
        <f aca="false">IF($B94=HE$12,$O94,"")</f>
        <v/>
      </c>
      <c r="HF94" s="88" t="str">
        <f aca="false">IF($B94=HF$12,$O94,"")</f>
        <v/>
      </c>
      <c r="HG94" s="88" t="str">
        <f aca="false">IF($B94=HG$12,$O94,"")</f>
        <v/>
      </c>
      <c r="HH94" s="88" t="str">
        <f aca="false">IF($B94=HH$12,$O94,"")</f>
        <v/>
      </c>
      <c r="HI94" s="88" t="str">
        <f aca="false">IF($B94=HI$12,$O94,"")</f>
        <v/>
      </c>
      <c r="HJ94" s="88" t="str">
        <f aca="false">IF($B94=HJ$12,$O94,"")</f>
        <v/>
      </c>
      <c r="HK94" s="88" t="str">
        <f aca="false">IF($B94=HK$12,$O94,"")</f>
        <v/>
      </c>
      <c r="HL94" s="88" t="str">
        <f aca="false">IF($B94=HL$12,$O94,"")</f>
        <v/>
      </c>
      <c r="HM94" s="88" t="str">
        <f aca="false">IF($B94=HM$12,$O94,"")</f>
        <v/>
      </c>
      <c r="HN94" s="88" t="str">
        <f aca="false">IF($B94=HN$12,$O94,"")</f>
        <v/>
      </c>
      <c r="HO94" s="88" t="str">
        <f aca="false">IF($B94=HO$12,$O94,"")</f>
        <v/>
      </c>
      <c r="HP94" s="88" t="str">
        <f aca="false">IF($B94=HP$12,$O94,"")</f>
        <v/>
      </c>
      <c r="HQ94" s="88" t="str">
        <f aca="false">IF($B94=HQ$12,$O94,"")</f>
        <v/>
      </c>
      <c r="HR94" s="89" t="str">
        <f aca="false">IF($B94=HR$12,$O94,"")</f>
        <v/>
      </c>
    </row>
    <row r="95" customFormat="false" ht="10.5" hidden="false" customHeight="true" outlineLevel="0" collapsed="false">
      <c r="A95" s="73"/>
      <c r="B95" s="74"/>
      <c r="C95" s="75" t="str">
        <f aca="false">IF(A95=0,"",VLOOKUP(A95,[3]CO!$A$3:$F$5311,2,0))</f>
        <v/>
      </c>
      <c r="D95" s="76"/>
      <c r="E95" s="76"/>
      <c r="F95" s="76"/>
      <c r="G95" s="77" t="str">
        <f aca="false">IF(A95=0,"",VLOOKUP(A95,[3]CO!$A$3:$F$5311,3,0))</f>
        <v/>
      </c>
      <c r="H95" s="76"/>
      <c r="I95" s="78"/>
      <c r="J95" s="78"/>
      <c r="K95" s="78"/>
      <c r="L95" s="78"/>
      <c r="M95" s="79" t="str">
        <f aca="false">IF(L95=0,"",PRODUCT(I95:L95))</f>
        <v/>
      </c>
      <c r="N95" s="79" t="str">
        <f aca="false">IF(B95=0,"",IF(H95="M",HLOOKUP(B95,$Y$12:$DT$13,2),IF(A95=0,"",VLOOKUP(A95,[3]CO!$A$3:$F$5311,4,0))))</f>
        <v/>
      </c>
      <c r="O95" s="79" t="str">
        <f aca="false">IF(L95=0,"",PRODUCT(M95:N95))</f>
        <v/>
      </c>
      <c r="P95" s="80"/>
      <c r="Q95" s="81" t="str">
        <f aca="false">IF(P95=0,"",(HLOOKUP(P95,$DW$12:$HR$13,2)))</f>
        <v/>
      </c>
      <c r="R95" s="82" t="str">
        <f aca="false">IF(S95=0,"",IF(OR(G95="PEON",G95="OF",G95="JARD",G95="CARP",G95="MAESTRO",G95="SOLD",G95="BGRO",G95="CHOFER",G95="AYTE",G95="S.INTTE.",G95="ASEO",G95="P.PISOS",G95="VELADOR",G95="RESID",G95="PINTOR",G95="ELECT",G95="AZULE",G95="AUX CONT.",G95="SECRETARIA",G95="AUXILIAR ADMTVO.",G95="ARQUITECTO",G95="DIBUJANTE",G95="AUX. DE RESIDENTE"),VLOOKUP(B95,P$14:Q$131,2),"")*S95)</f>
        <v/>
      </c>
      <c r="S95" s="5"/>
      <c r="T95" s="65" t="str">
        <f aca="false">IF(A95=0,"",VLOOKUP(A95,[3]CO!$A$3:$F$5302,5,0))</f>
        <v/>
      </c>
      <c r="U95" s="55" t="n">
        <f aca="false">IF(T95=1,O95*0.1,)</f>
        <v>0</v>
      </c>
      <c r="V95" s="66"/>
      <c r="W95" s="83"/>
      <c r="X95" s="83"/>
      <c r="Y95" s="84" t="str">
        <f aca="false">IF($B95=Y$12,$U95,"")</f>
        <v/>
      </c>
      <c r="Z95" s="85" t="str">
        <f aca="false">IF($B95=Z$12,$U95,"")</f>
        <v/>
      </c>
      <c r="AA95" s="85" t="str">
        <f aca="false">IF($B95=AA$12,$U95,"")</f>
        <v/>
      </c>
      <c r="AB95" s="85" t="str">
        <f aca="false">IF($B95=AB$12,$U95,"")</f>
        <v/>
      </c>
      <c r="AC95" s="85" t="str">
        <f aca="false">IF($B95=AC$12,$U95,"")</f>
        <v/>
      </c>
      <c r="AD95" s="85" t="str">
        <f aca="false">IF($B95=AD$12,$U95,"")</f>
        <v/>
      </c>
      <c r="AE95" s="85" t="str">
        <f aca="false">IF($B95=AE$12,$U95,"")</f>
        <v/>
      </c>
      <c r="AF95" s="85" t="str">
        <f aca="false">IF($B95=AF$12,$U95,"")</f>
        <v/>
      </c>
      <c r="AG95" s="85" t="str">
        <f aca="false">IF($B95=AG$12,$U95,"")</f>
        <v/>
      </c>
      <c r="AH95" s="85" t="str">
        <f aca="false">IF($B95=AH$12,$U95,"")</f>
        <v/>
      </c>
      <c r="AI95" s="85" t="str">
        <f aca="false">IF($B95=AI$12,$U95,"")</f>
        <v/>
      </c>
      <c r="AJ95" s="85" t="str">
        <f aca="false">IF($B95=AJ$12,$U95,"")</f>
        <v/>
      </c>
      <c r="AK95" s="85" t="str">
        <f aca="false">IF($B95=AK$12,$U95,"")</f>
        <v/>
      </c>
      <c r="AL95" s="85" t="str">
        <f aca="false">IF($B95=AL$12,$U95,"")</f>
        <v/>
      </c>
      <c r="AM95" s="85" t="str">
        <f aca="false">IF($B95=AM$12,$U95,"")</f>
        <v/>
      </c>
      <c r="AN95" s="85" t="str">
        <f aca="false">IF($B95=AN$12,$U95,"")</f>
        <v/>
      </c>
      <c r="AO95" s="85" t="str">
        <f aca="false">IF($B95=AO$12,$U95,"")</f>
        <v/>
      </c>
      <c r="AP95" s="85" t="str">
        <f aca="false">IF($B95=AP$12,$U95,"")</f>
        <v/>
      </c>
      <c r="AQ95" s="85" t="str">
        <f aca="false">IF($B95=AQ$12,$U95,"")</f>
        <v/>
      </c>
      <c r="AR95" s="85" t="str">
        <f aca="false">IF($B95=AR$12,$U95,"")</f>
        <v/>
      </c>
      <c r="AS95" s="85" t="str">
        <f aca="false">IF($B95=AS$12,$U95,"")</f>
        <v/>
      </c>
      <c r="AT95" s="85" t="str">
        <f aca="false">IF($B95=AT$12,$U95,"")</f>
        <v/>
      </c>
      <c r="AU95" s="85" t="str">
        <f aca="false">IF($B95=AU$12,$U95,"")</f>
        <v/>
      </c>
      <c r="AV95" s="85" t="str">
        <f aca="false">IF($B95=AV$12,$U95,"")</f>
        <v/>
      </c>
      <c r="AW95" s="85" t="str">
        <f aca="false">IF($B95=AW$12,$U95,"")</f>
        <v/>
      </c>
      <c r="AX95" s="85" t="str">
        <f aca="false">IF($B95=AX$12,$U95,"")</f>
        <v/>
      </c>
      <c r="AY95" s="85" t="str">
        <f aca="false">IF($B95=AY$12,$U95,"")</f>
        <v/>
      </c>
      <c r="AZ95" s="85" t="str">
        <f aca="false">IF($B95=AZ$12,$U95,"")</f>
        <v/>
      </c>
      <c r="BA95" s="85" t="str">
        <f aca="false">IF($B95=BA$12,$U95,"")</f>
        <v/>
      </c>
      <c r="BB95" s="85" t="str">
        <f aca="false">IF($B95=BB$12,$U95,"")</f>
        <v/>
      </c>
      <c r="BC95" s="85" t="str">
        <f aca="false">IF($B95=BC$12,$U95,"")</f>
        <v/>
      </c>
      <c r="BD95" s="85" t="str">
        <f aca="false">IF($B95=BD$12,$U95,"")</f>
        <v/>
      </c>
      <c r="BE95" s="85" t="str">
        <f aca="false">IF($B95=BE$12,$U95,"")</f>
        <v/>
      </c>
      <c r="BF95" s="85" t="str">
        <f aca="false">IF($B95=BF$12,$U95,"")</f>
        <v/>
      </c>
      <c r="BG95" s="85" t="str">
        <f aca="false">IF($B95=BG$12,$U95,"")</f>
        <v/>
      </c>
      <c r="BH95" s="85" t="str">
        <f aca="false">IF($B95=BH$12,$U95,"")</f>
        <v/>
      </c>
      <c r="BI95" s="85" t="str">
        <f aca="false">IF($B95=BI$12,$U95,"")</f>
        <v/>
      </c>
      <c r="BJ95" s="85" t="str">
        <f aca="false">IF($B95=BJ$12,$U95,"")</f>
        <v/>
      </c>
      <c r="BK95" s="85" t="str">
        <f aca="false">IF($B95=BK$12,$U95,"")</f>
        <v/>
      </c>
      <c r="BL95" s="85" t="str">
        <f aca="false">IF($B95=BL$12,$U95,"")</f>
        <v/>
      </c>
      <c r="BM95" s="85" t="str">
        <f aca="false">IF($B95=BM$12,$U95,"")</f>
        <v/>
      </c>
      <c r="BN95" s="85" t="str">
        <f aca="false">IF($B95=BN$12,$U95,"")</f>
        <v/>
      </c>
      <c r="BO95" s="85" t="str">
        <f aca="false">IF($B95=BO$12,$U95,"")</f>
        <v/>
      </c>
      <c r="BP95" s="85" t="str">
        <f aca="false">IF($B95=BP$12,$U95,"")</f>
        <v/>
      </c>
      <c r="BQ95" s="85" t="str">
        <f aca="false">IF($B95=BQ$12,$U95,"")</f>
        <v/>
      </c>
      <c r="BR95" s="85" t="str">
        <f aca="false">IF($B95=BR$12,$U95,"")</f>
        <v/>
      </c>
      <c r="BS95" s="85" t="str">
        <f aca="false">IF($B95=BS$12,$U95,"")</f>
        <v/>
      </c>
      <c r="BT95" s="85" t="str">
        <f aca="false">IF($B95=BT$12,$U95,"")</f>
        <v/>
      </c>
      <c r="BU95" s="85" t="str">
        <f aca="false">IF($B95=BU$12,$U95,"")</f>
        <v/>
      </c>
      <c r="BV95" s="85" t="str">
        <f aca="false">IF($B95=BV$12,$U95,"")</f>
        <v/>
      </c>
      <c r="BW95" s="85" t="str">
        <f aca="false">IF($B95=BW$12,$U95,"")</f>
        <v/>
      </c>
      <c r="BX95" s="85" t="str">
        <f aca="false">IF($B95=BX$12,$U95,"")</f>
        <v/>
      </c>
      <c r="BY95" s="85" t="str">
        <f aca="false">IF($B95=BY$12,$U95,"")</f>
        <v/>
      </c>
      <c r="BZ95" s="85" t="str">
        <f aca="false">IF($B95=BZ$12,$U95,"")</f>
        <v/>
      </c>
      <c r="CA95" s="85" t="str">
        <f aca="false">IF($B95=CA$12,$U95,"")</f>
        <v/>
      </c>
      <c r="CB95" s="85" t="str">
        <f aca="false">IF($B95=CB$12,$U95,"")</f>
        <v/>
      </c>
      <c r="CC95" s="85" t="str">
        <f aca="false">IF($B95=CC$12,$U95,"")</f>
        <v/>
      </c>
      <c r="CD95" s="85" t="str">
        <f aca="false">IF($B95=CD$12,$U95,"")</f>
        <v/>
      </c>
      <c r="CE95" s="85" t="str">
        <f aca="false">IF($B95=CE$12,$U95,"")</f>
        <v/>
      </c>
      <c r="CF95" s="85" t="str">
        <f aca="false">IF($B95=CF$12,$U95,"")</f>
        <v/>
      </c>
      <c r="CG95" s="85" t="str">
        <f aca="false">IF($B95=CG$12,$U95,"")</f>
        <v/>
      </c>
      <c r="CH95" s="85" t="str">
        <f aca="false">IF($B95=CH$12,$U95,"")</f>
        <v/>
      </c>
      <c r="CI95" s="85" t="str">
        <f aca="false">IF($B95=CI$12,$U95,"")</f>
        <v/>
      </c>
      <c r="CJ95" s="85" t="str">
        <f aca="false">IF($B95=CJ$12,$U95,"")</f>
        <v/>
      </c>
      <c r="CK95" s="85" t="str">
        <f aca="false">IF($B95=CK$12,$U95,"")</f>
        <v/>
      </c>
      <c r="CL95" s="85" t="str">
        <f aca="false">IF($B95=CL$12,$U95,"")</f>
        <v/>
      </c>
      <c r="CM95" s="85" t="str">
        <f aca="false">IF($B95=CM$12,$U95,"")</f>
        <v/>
      </c>
      <c r="CN95" s="85" t="str">
        <f aca="false">IF($B95=CN$12,$U95,"")</f>
        <v/>
      </c>
      <c r="CO95" s="85" t="str">
        <f aca="false">IF($B95=CO$12,$U95,"")</f>
        <v/>
      </c>
      <c r="CP95" s="85" t="str">
        <f aca="false">IF($B95=CP$12,$U95,"")</f>
        <v/>
      </c>
      <c r="CQ95" s="85" t="str">
        <f aca="false">IF($B95=CQ$12,$U95,"")</f>
        <v/>
      </c>
      <c r="CR95" s="85" t="str">
        <f aca="false">IF($B95=CR$12,$U95,"")</f>
        <v/>
      </c>
      <c r="CS95" s="85" t="str">
        <f aca="false">IF($B95=CS$12,$U95,"")</f>
        <v/>
      </c>
      <c r="CT95" s="85" t="str">
        <f aca="false">IF($B95=CT$12,$U95,"")</f>
        <v/>
      </c>
      <c r="CU95" s="85" t="str">
        <f aca="false">IF($B95=CU$12,$U95,"")</f>
        <v/>
      </c>
      <c r="CV95" s="85" t="str">
        <f aca="false">IF($B95=CV$12,$U95,"")</f>
        <v/>
      </c>
      <c r="CW95" s="85" t="str">
        <f aca="false">IF($B95=CW$12,$U95,"")</f>
        <v/>
      </c>
      <c r="CX95" s="85" t="str">
        <f aca="false">IF($B95=CX$12,$U95,"")</f>
        <v/>
      </c>
      <c r="CY95" s="85" t="str">
        <f aca="false">IF($B95=CY$12,$U95,"")</f>
        <v/>
      </c>
      <c r="CZ95" s="85" t="str">
        <f aca="false">IF($B95=CZ$12,$U95,"")</f>
        <v/>
      </c>
      <c r="DA95" s="85" t="str">
        <f aca="false">IF($B95=DA$12,$U95,"")</f>
        <v/>
      </c>
      <c r="DB95" s="85" t="str">
        <f aca="false">IF($B95=DB$12,$U95,"")</f>
        <v/>
      </c>
      <c r="DC95" s="85" t="str">
        <f aca="false">IF($B95=DC$12,$U95,"")</f>
        <v/>
      </c>
      <c r="DD95" s="85" t="str">
        <f aca="false">IF($B95=DD$12,$U95,"")</f>
        <v/>
      </c>
      <c r="DE95" s="85" t="str">
        <f aca="false">IF($B95=DE$12,$U95,"")</f>
        <v/>
      </c>
      <c r="DF95" s="85" t="str">
        <f aca="false">IF($B95=DF$12,$U95,"")</f>
        <v/>
      </c>
      <c r="DG95" s="85" t="str">
        <f aca="false">IF($B95=DG$12,$U95,"")</f>
        <v/>
      </c>
      <c r="DH95" s="85" t="str">
        <f aca="false">IF($B95=DH$12,$U95,"")</f>
        <v/>
      </c>
      <c r="DI95" s="85" t="str">
        <f aca="false">IF($B95=DI$12,$U95,"")</f>
        <v/>
      </c>
      <c r="DJ95" s="85" t="str">
        <f aca="false">IF($B95=DJ$12,$U95,"")</f>
        <v/>
      </c>
      <c r="DK95" s="85" t="str">
        <f aca="false">IF($B95=DK$12,$U95,"")</f>
        <v/>
      </c>
      <c r="DL95" s="85" t="str">
        <f aca="false">IF($B95=DL$12,$U95,"")</f>
        <v/>
      </c>
      <c r="DM95" s="85" t="str">
        <f aca="false">IF($B95=DM$12,$U95,"")</f>
        <v/>
      </c>
      <c r="DN95" s="85" t="str">
        <f aca="false">IF($B95=DN$12,$U95,"")</f>
        <v/>
      </c>
      <c r="DO95" s="85" t="str">
        <f aca="false">IF($B95=DO$12,$U95,"")</f>
        <v/>
      </c>
      <c r="DP95" s="85" t="str">
        <f aca="false">IF($B95=DP$12,$U95,"")</f>
        <v/>
      </c>
      <c r="DQ95" s="85" t="str">
        <f aca="false">IF($B95=DQ$12,$U95,"")</f>
        <v/>
      </c>
      <c r="DR95" s="85" t="str">
        <f aca="false">IF($B95=DR$12,$U95,"")</f>
        <v/>
      </c>
      <c r="DS95" s="85" t="str">
        <f aca="false">IF($B95=DS$12,$U95,"")</f>
        <v/>
      </c>
      <c r="DT95" s="86" t="str">
        <f aca="false">IF($B95=DT$12,$U95,"")</f>
        <v/>
      </c>
      <c r="DU95" s="55"/>
      <c r="DV95" s="83"/>
      <c r="DW95" s="87" t="str">
        <f aca="false">IF($B95=DW$12,$O95,"")</f>
        <v/>
      </c>
      <c r="DX95" s="88" t="str">
        <f aca="false">IF($B95=DX$12,$O95,"")</f>
        <v/>
      </c>
      <c r="DY95" s="88" t="str">
        <f aca="false">IF($B95=DY$12,$O95,"")</f>
        <v/>
      </c>
      <c r="DZ95" s="88" t="str">
        <f aca="false">IF($B95=DZ$12,$O95,"")</f>
        <v/>
      </c>
      <c r="EA95" s="88" t="str">
        <f aca="false">IF($B95=EA$12,$O95,"")</f>
        <v/>
      </c>
      <c r="EB95" s="88" t="str">
        <f aca="false">IF($B95=EB$12,$O95,"")</f>
        <v/>
      </c>
      <c r="EC95" s="88" t="str">
        <f aca="false">IF($B95=EC$12,$O95,"")</f>
        <v/>
      </c>
      <c r="ED95" s="88" t="str">
        <f aca="false">IF($B95=ED$12,$O95,"")</f>
        <v/>
      </c>
      <c r="EE95" s="88" t="str">
        <f aca="false">IF($B95=EE$12,$O95,"")</f>
        <v/>
      </c>
      <c r="EF95" s="88" t="str">
        <f aca="false">IF($B95=EF$12,$O95,"")</f>
        <v/>
      </c>
      <c r="EG95" s="88" t="str">
        <f aca="false">IF($B95=EG$12,$O95,"")</f>
        <v/>
      </c>
      <c r="EH95" s="88" t="str">
        <f aca="false">IF($B95=EH$12,$O95,"")</f>
        <v/>
      </c>
      <c r="EI95" s="88" t="str">
        <f aca="false">IF($B95=EI$12,$O95,"")</f>
        <v/>
      </c>
      <c r="EJ95" s="88" t="str">
        <f aca="false">IF($B95=EJ$12,$O95,"")</f>
        <v/>
      </c>
      <c r="EK95" s="88" t="str">
        <f aca="false">IF($B95=EK$12,$O95,"")</f>
        <v/>
      </c>
      <c r="EL95" s="88" t="str">
        <f aca="false">IF($B95=EL$12,$O95,"")</f>
        <v/>
      </c>
      <c r="EM95" s="88" t="str">
        <f aca="false">IF($B95=EM$12,$O95,"")</f>
        <v/>
      </c>
      <c r="EN95" s="88" t="str">
        <f aca="false">IF($B95=EN$12,$O95,"")</f>
        <v/>
      </c>
      <c r="EO95" s="88" t="str">
        <f aca="false">IF($B95=EO$12,$O95,"")</f>
        <v/>
      </c>
      <c r="EP95" s="88" t="str">
        <f aca="false">IF($B95=EP$12,$O95,"")</f>
        <v/>
      </c>
      <c r="EQ95" s="88" t="str">
        <f aca="false">IF($B95=EQ$12,$O95,"")</f>
        <v/>
      </c>
      <c r="ER95" s="88" t="str">
        <f aca="false">IF($B95=ER$12,$O95,"")</f>
        <v/>
      </c>
      <c r="ES95" s="88" t="str">
        <f aca="false">IF($B95=ES$12,$O95,"")</f>
        <v/>
      </c>
      <c r="ET95" s="88" t="str">
        <f aca="false">IF($B95=ET$12,$O95,"")</f>
        <v/>
      </c>
      <c r="EU95" s="88" t="str">
        <f aca="false">IF($B95=EU$12,$O95,"")</f>
        <v/>
      </c>
      <c r="EV95" s="88" t="str">
        <f aca="false">IF($B95=EV$12,$O95,"")</f>
        <v/>
      </c>
      <c r="EW95" s="88" t="str">
        <f aca="false">IF($B95=EW$12,$O95,"")</f>
        <v/>
      </c>
      <c r="EX95" s="88" t="str">
        <f aca="false">IF($B95=EX$12,$O95,"")</f>
        <v/>
      </c>
      <c r="EY95" s="88" t="str">
        <f aca="false">IF($B95=EY$12,$O95,"")</f>
        <v/>
      </c>
      <c r="EZ95" s="88" t="str">
        <f aca="false">IF($B95=EZ$12,$O95,"")</f>
        <v/>
      </c>
      <c r="FA95" s="88" t="str">
        <f aca="false">IF($B95=FA$12,$O95,"")</f>
        <v/>
      </c>
      <c r="FB95" s="88" t="str">
        <f aca="false">IF($B95=FB$12,$O95,"")</f>
        <v/>
      </c>
      <c r="FC95" s="88" t="str">
        <f aca="false">IF($B95=FC$12,$O95,"")</f>
        <v/>
      </c>
      <c r="FD95" s="88" t="str">
        <f aca="false">IF($B95=FD$12,$O95,"")</f>
        <v/>
      </c>
      <c r="FE95" s="88" t="str">
        <f aca="false">IF($B95=FE$12,$O95,"")</f>
        <v/>
      </c>
      <c r="FF95" s="88" t="str">
        <f aca="false">IF($B95=FF$12,$O95,"")</f>
        <v/>
      </c>
      <c r="FG95" s="88" t="str">
        <f aca="false">IF($B95=FG$12,$O95,"")</f>
        <v/>
      </c>
      <c r="FH95" s="88" t="str">
        <f aca="false">IF($B95=FH$12,$O95,"")</f>
        <v/>
      </c>
      <c r="FI95" s="88" t="str">
        <f aca="false">IF($B95=FI$12,$O95,"")</f>
        <v/>
      </c>
      <c r="FJ95" s="88" t="str">
        <f aca="false">IF($B95=FJ$12,$O95,"")</f>
        <v/>
      </c>
      <c r="FK95" s="88" t="str">
        <f aca="false">IF($B95=FK$12,$O95,"")</f>
        <v/>
      </c>
      <c r="FL95" s="88" t="str">
        <f aca="false">IF($B95=FL$12,$O95,"")</f>
        <v/>
      </c>
      <c r="FM95" s="88" t="str">
        <f aca="false">IF($B95=FM$12,$O95,"")</f>
        <v/>
      </c>
      <c r="FN95" s="88" t="str">
        <f aca="false">IF($B95=FN$12,$O95,"")</f>
        <v/>
      </c>
      <c r="FO95" s="88" t="str">
        <f aca="false">IF($B95=FO$12,$O95,"")</f>
        <v/>
      </c>
      <c r="FP95" s="88" t="str">
        <f aca="false">IF($B95=FP$12,$O95,"")</f>
        <v/>
      </c>
      <c r="FQ95" s="88" t="str">
        <f aca="false">IF($B95=FQ$12,$O95,"")</f>
        <v/>
      </c>
      <c r="FR95" s="88" t="str">
        <f aca="false">IF($B95=FR$12,$O95,"")</f>
        <v/>
      </c>
      <c r="FS95" s="88" t="str">
        <f aca="false">IF($B95=FS$12,$O95,"")</f>
        <v/>
      </c>
      <c r="FT95" s="88" t="str">
        <f aca="false">IF($B95=FT$12,$O95,"")</f>
        <v/>
      </c>
      <c r="FU95" s="88" t="str">
        <f aca="false">IF($B95=FU$12,$O95,"")</f>
        <v/>
      </c>
      <c r="FV95" s="88" t="str">
        <f aca="false">IF($B95=FV$12,$O95,"")</f>
        <v/>
      </c>
      <c r="FW95" s="88" t="str">
        <f aca="false">IF($B95=FW$12,$O95,"")</f>
        <v/>
      </c>
      <c r="FX95" s="88" t="str">
        <f aca="false">IF($B95=FX$12,$O95,"")</f>
        <v/>
      </c>
      <c r="FY95" s="88" t="str">
        <f aca="false">IF($B95=FY$12,$O95,"")</f>
        <v/>
      </c>
      <c r="FZ95" s="88" t="str">
        <f aca="false">IF($B95=FZ$12,$O95,"")</f>
        <v/>
      </c>
      <c r="GA95" s="88" t="str">
        <f aca="false">IF($B95=GA$12,$O95,"")</f>
        <v/>
      </c>
      <c r="GB95" s="88" t="str">
        <f aca="false">IF($B95=GB$12,$O95,"")</f>
        <v/>
      </c>
      <c r="GC95" s="88" t="str">
        <f aca="false">IF($B95=GC$12,$O95,"")</f>
        <v/>
      </c>
      <c r="GD95" s="88" t="str">
        <f aca="false">IF($B95=GD$12,$O95,"")</f>
        <v/>
      </c>
      <c r="GE95" s="88" t="str">
        <f aca="false">IF($B95=GE$12,$O95,"")</f>
        <v/>
      </c>
      <c r="GF95" s="88" t="str">
        <f aca="false">IF($B95=GF$12,$O95,"")</f>
        <v/>
      </c>
      <c r="GG95" s="88" t="str">
        <f aca="false">IF($B95=GG$12,$O95,"")</f>
        <v/>
      </c>
      <c r="GH95" s="88" t="str">
        <f aca="false">IF($B95=GH$12,$O95,"")</f>
        <v/>
      </c>
      <c r="GI95" s="88" t="str">
        <f aca="false">IF($B95=GI$12,$O95,"")</f>
        <v/>
      </c>
      <c r="GJ95" s="88" t="str">
        <f aca="false">IF($B95=GJ$12,$O95,"")</f>
        <v/>
      </c>
      <c r="GK95" s="88" t="str">
        <f aca="false">IF($B95=GK$12,$O95,"")</f>
        <v/>
      </c>
      <c r="GL95" s="88" t="str">
        <f aca="false">IF($B95=GL$12,$O95,"")</f>
        <v/>
      </c>
      <c r="GM95" s="88" t="str">
        <f aca="false">IF($B95=GM$12,$O95,"")</f>
        <v/>
      </c>
      <c r="GN95" s="88" t="str">
        <f aca="false">IF($B95=GN$12,$O95,"")</f>
        <v/>
      </c>
      <c r="GO95" s="88" t="str">
        <f aca="false">IF($B95=GO$12,$O95,"")</f>
        <v/>
      </c>
      <c r="GP95" s="88" t="str">
        <f aca="false">IF($B95=GP$12,$O95,"")</f>
        <v/>
      </c>
      <c r="GQ95" s="88" t="str">
        <f aca="false">IF($B95=GQ$12,$O95,"")</f>
        <v/>
      </c>
      <c r="GR95" s="88" t="str">
        <f aca="false">IF($B95=GR$12,$O95,"")</f>
        <v/>
      </c>
      <c r="GS95" s="88" t="str">
        <f aca="false">IF($B95=GS$12,$O95,"")</f>
        <v/>
      </c>
      <c r="GT95" s="88" t="str">
        <f aca="false">IF($B95=GT$12,$O95,"")</f>
        <v/>
      </c>
      <c r="GU95" s="88" t="str">
        <f aca="false">IF($B95=GU$12,$O95,"")</f>
        <v/>
      </c>
      <c r="GV95" s="88" t="str">
        <f aca="false">IF($B95=GV$12,$O95,"")</f>
        <v/>
      </c>
      <c r="GW95" s="88" t="str">
        <f aca="false">IF($B95=GW$12,$O95,"")</f>
        <v/>
      </c>
      <c r="GX95" s="88" t="str">
        <f aca="false">IF($B95=GX$12,$O95,"")</f>
        <v/>
      </c>
      <c r="GY95" s="88" t="str">
        <f aca="false">IF($B95=GY$12,$O95,"")</f>
        <v/>
      </c>
      <c r="GZ95" s="88" t="str">
        <f aca="false">IF($B95=GZ$12,$O95,"")</f>
        <v/>
      </c>
      <c r="HA95" s="88" t="str">
        <f aca="false">IF($B95=HA$12,$O95,"")</f>
        <v/>
      </c>
      <c r="HB95" s="88" t="str">
        <f aca="false">IF($B95=HB$12,$O95,"")</f>
        <v/>
      </c>
      <c r="HC95" s="88" t="str">
        <f aca="false">IF($B95=HC$12,$O95,"")</f>
        <v/>
      </c>
      <c r="HD95" s="88" t="str">
        <f aca="false">IF($B95=HD$12,$O95,"")</f>
        <v/>
      </c>
      <c r="HE95" s="88" t="str">
        <f aca="false">IF($B95=HE$12,$O95,"")</f>
        <v/>
      </c>
      <c r="HF95" s="88" t="str">
        <f aca="false">IF($B95=HF$12,$O95,"")</f>
        <v/>
      </c>
      <c r="HG95" s="88" t="str">
        <f aca="false">IF($B95=HG$12,$O95,"")</f>
        <v/>
      </c>
      <c r="HH95" s="88" t="str">
        <f aca="false">IF($B95=HH$12,$O95,"")</f>
        <v/>
      </c>
      <c r="HI95" s="88" t="str">
        <f aca="false">IF($B95=HI$12,$O95,"")</f>
        <v/>
      </c>
      <c r="HJ95" s="88" t="str">
        <f aca="false">IF($B95=HJ$12,$O95,"")</f>
        <v/>
      </c>
      <c r="HK95" s="88" t="str">
        <f aca="false">IF($B95=HK$12,$O95,"")</f>
        <v/>
      </c>
      <c r="HL95" s="88" t="str">
        <f aca="false">IF($B95=HL$12,$O95,"")</f>
        <v/>
      </c>
      <c r="HM95" s="88" t="str">
        <f aca="false">IF($B95=HM$12,$O95,"")</f>
        <v/>
      </c>
      <c r="HN95" s="88" t="str">
        <f aca="false">IF($B95=HN$12,$O95,"")</f>
        <v/>
      </c>
      <c r="HO95" s="88" t="str">
        <f aca="false">IF($B95=HO$12,$O95,"")</f>
        <v/>
      </c>
      <c r="HP95" s="88" t="str">
        <f aca="false">IF($B95=HP$12,$O95,"")</f>
        <v/>
      </c>
      <c r="HQ95" s="88" t="str">
        <f aca="false">IF($B95=HQ$12,$O95,"")</f>
        <v/>
      </c>
      <c r="HR95" s="89" t="str">
        <f aca="false">IF($B95=HR$12,$O95,"")</f>
        <v/>
      </c>
    </row>
    <row r="96" customFormat="false" ht="10.5" hidden="false" customHeight="true" outlineLevel="0" collapsed="false">
      <c r="A96" s="73"/>
      <c r="B96" s="74"/>
      <c r="C96" s="75" t="str">
        <f aca="false">IF(A96=0,"",VLOOKUP(A96,[3]CO!$A$3:$F$5311,2,0))</f>
        <v/>
      </c>
      <c r="D96" s="76"/>
      <c r="E96" s="76"/>
      <c r="F96" s="76"/>
      <c r="G96" s="77" t="str">
        <f aca="false">IF(A96=0,"",VLOOKUP(A96,[3]CO!$A$3:$F$5311,3,0))</f>
        <v/>
      </c>
      <c r="H96" s="76"/>
      <c r="I96" s="78"/>
      <c r="J96" s="78"/>
      <c r="K96" s="78"/>
      <c r="L96" s="78"/>
      <c r="M96" s="79" t="str">
        <f aca="false">IF(L96=0,"",PRODUCT(I96:L96))</f>
        <v/>
      </c>
      <c r="N96" s="79" t="str">
        <f aca="false">IF(B96=0,"",IF(H96="M",HLOOKUP(B96,$Y$12:$DT$13,2),IF(A96=0,"",VLOOKUP(A96,[3]CO!$A$3:$F$5311,4,0))))</f>
        <v/>
      </c>
      <c r="O96" s="79" t="str">
        <f aca="false">IF(L96=0,"",PRODUCT(M96:N96))</f>
        <v/>
      </c>
      <c r="P96" s="80"/>
      <c r="Q96" s="81" t="str">
        <f aca="false">IF(P96=0,"",(HLOOKUP(P96,$DW$12:$HR$13,2)))</f>
        <v/>
      </c>
      <c r="R96" s="82" t="str">
        <f aca="false">IF(S96=0,"",IF(OR(G96="PEON",G96="OF",G96="JARD",G96="CARP",G96="MAESTRO",G96="SOLD",G96="BGRO",G96="CHOFER",G96="AYTE",G96="S.INTTE.",G96="ASEO",G96="P.PISOS",G96="VELADOR",G96="RESID",G96="PINTOR",G96="ELECT",G96="AZULE",G96="AUX CONT.",G96="SECRETARIA",G96="AUXILIAR ADMTVO.",G96="ARQUITECTO",G96="DIBUJANTE",G96="AUX. DE RESIDENTE"),VLOOKUP(B96,P$14:Q$131,2),"")*S96)</f>
        <v/>
      </c>
      <c r="S96" s="5"/>
      <c r="T96" s="65" t="str">
        <f aca="false">IF(A96=0,"",VLOOKUP(A96,[3]CO!$A$3:$F$5302,5,0))</f>
        <v/>
      </c>
      <c r="U96" s="55" t="n">
        <f aca="false">IF(T96=1,O96*0.1,)</f>
        <v>0</v>
      </c>
      <c r="V96" s="66"/>
      <c r="W96" s="83"/>
      <c r="X96" s="83"/>
      <c r="Y96" s="84" t="str">
        <f aca="false">IF($B96=Y$12,$U96,"")</f>
        <v/>
      </c>
      <c r="Z96" s="85" t="str">
        <f aca="false">IF($B96=Z$12,$U96,"")</f>
        <v/>
      </c>
      <c r="AA96" s="85" t="str">
        <f aca="false">IF($B96=AA$12,$U96,"")</f>
        <v/>
      </c>
      <c r="AB96" s="85" t="str">
        <f aca="false">IF($B96=AB$12,$U96,"")</f>
        <v/>
      </c>
      <c r="AC96" s="85" t="str">
        <f aca="false">IF($B96=AC$12,$U96,"")</f>
        <v/>
      </c>
      <c r="AD96" s="85" t="str">
        <f aca="false">IF($B96=AD$12,$U96,"")</f>
        <v/>
      </c>
      <c r="AE96" s="85" t="str">
        <f aca="false">IF($B96=AE$12,$U96,"")</f>
        <v/>
      </c>
      <c r="AF96" s="85" t="str">
        <f aca="false">IF($B96=AF$12,$U96,"")</f>
        <v/>
      </c>
      <c r="AG96" s="85" t="str">
        <f aca="false">IF($B96=AG$12,$U96,"")</f>
        <v/>
      </c>
      <c r="AH96" s="85" t="str">
        <f aca="false">IF($B96=AH$12,$U96,"")</f>
        <v/>
      </c>
      <c r="AI96" s="85" t="str">
        <f aca="false">IF($B96=AI$12,$U96,"")</f>
        <v/>
      </c>
      <c r="AJ96" s="85" t="str">
        <f aca="false">IF($B96=AJ$12,$U96,"")</f>
        <v/>
      </c>
      <c r="AK96" s="85" t="str">
        <f aca="false">IF($B96=AK$12,$U96,"")</f>
        <v/>
      </c>
      <c r="AL96" s="85" t="str">
        <f aca="false">IF($B96=AL$12,$U96,"")</f>
        <v/>
      </c>
      <c r="AM96" s="85" t="str">
        <f aca="false">IF($B96=AM$12,$U96,"")</f>
        <v/>
      </c>
      <c r="AN96" s="85" t="str">
        <f aca="false">IF($B96=AN$12,$U96,"")</f>
        <v/>
      </c>
      <c r="AO96" s="85" t="str">
        <f aca="false">IF($B96=AO$12,$U96,"")</f>
        <v/>
      </c>
      <c r="AP96" s="85" t="str">
        <f aca="false">IF($B96=AP$12,$U96,"")</f>
        <v/>
      </c>
      <c r="AQ96" s="85" t="str">
        <f aca="false">IF($B96=AQ$12,$U96,"")</f>
        <v/>
      </c>
      <c r="AR96" s="85" t="str">
        <f aca="false">IF($B96=AR$12,$U96,"")</f>
        <v/>
      </c>
      <c r="AS96" s="85" t="str">
        <f aca="false">IF($B96=AS$12,$U96,"")</f>
        <v/>
      </c>
      <c r="AT96" s="85" t="str">
        <f aca="false">IF($B96=AT$12,$U96,"")</f>
        <v/>
      </c>
      <c r="AU96" s="85" t="str">
        <f aca="false">IF($B96=AU$12,$U96,"")</f>
        <v/>
      </c>
      <c r="AV96" s="85" t="str">
        <f aca="false">IF($B96=AV$12,$U96,"")</f>
        <v/>
      </c>
      <c r="AW96" s="85" t="str">
        <f aca="false">IF($B96=AW$12,$U96,"")</f>
        <v/>
      </c>
      <c r="AX96" s="85" t="str">
        <f aca="false">IF($B96=AX$12,$U96,"")</f>
        <v/>
      </c>
      <c r="AY96" s="85" t="str">
        <f aca="false">IF($B96=AY$12,$U96,"")</f>
        <v/>
      </c>
      <c r="AZ96" s="85" t="str">
        <f aca="false">IF($B96=AZ$12,$U96,"")</f>
        <v/>
      </c>
      <c r="BA96" s="85" t="str">
        <f aca="false">IF($B96=BA$12,$U96,"")</f>
        <v/>
      </c>
      <c r="BB96" s="85" t="str">
        <f aca="false">IF($B96=BB$12,$U96,"")</f>
        <v/>
      </c>
      <c r="BC96" s="85" t="str">
        <f aca="false">IF($B96=BC$12,$U96,"")</f>
        <v/>
      </c>
      <c r="BD96" s="85" t="str">
        <f aca="false">IF($B96=BD$12,$U96,"")</f>
        <v/>
      </c>
      <c r="BE96" s="85" t="str">
        <f aca="false">IF($B96=BE$12,$U96,"")</f>
        <v/>
      </c>
      <c r="BF96" s="85" t="str">
        <f aca="false">IF($B96=BF$12,$U96,"")</f>
        <v/>
      </c>
      <c r="BG96" s="85" t="str">
        <f aca="false">IF($B96=BG$12,$U96,"")</f>
        <v/>
      </c>
      <c r="BH96" s="85" t="str">
        <f aca="false">IF($B96=BH$12,$U96,"")</f>
        <v/>
      </c>
      <c r="BI96" s="85" t="str">
        <f aca="false">IF($B96=BI$12,$U96,"")</f>
        <v/>
      </c>
      <c r="BJ96" s="85" t="str">
        <f aca="false">IF($B96=BJ$12,$U96,"")</f>
        <v/>
      </c>
      <c r="BK96" s="85" t="str">
        <f aca="false">IF($B96=BK$12,$U96,"")</f>
        <v/>
      </c>
      <c r="BL96" s="85" t="str">
        <f aca="false">IF($B96=BL$12,$U96,"")</f>
        <v/>
      </c>
      <c r="BM96" s="85" t="str">
        <f aca="false">IF($B96=BM$12,$U96,"")</f>
        <v/>
      </c>
      <c r="BN96" s="85" t="str">
        <f aca="false">IF($B96=BN$12,$U96,"")</f>
        <v/>
      </c>
      <c r="BO96" s="85" t="str">
        <f aca="false">IF($B96=BO$12,$U96,"")</f>
        <v/>
      </c>
      <c r="BP96" s="85" t="str">
        <f aca="false">IF($B96=BP$12,$U96,"")</f>
        <v/>
      </c>
      <c r="BQ96" s="85" t="str">
        <f aca="false">IF($B96=BQ$12,$U96,"")</f>
        <v/>
      </c>
      <c r="BR96" s="85" t="str">
        <f aca="false">IF($B96=BR$12,$U96,"")</f>
        <v/>
      </c>
      <c r="BS96" s="85" t="str">
        <f aca="false">IF($B96=BS$12,$U96,"")</f>
        <v/>
      </c>
      <c r="BT96" s="85" t="str">
        <f aca="false">IF($B96=BT$12,$U96,"")</f>
        <v/>
      </c>
      <c r="BU96" s="85" t="str">
        <f aca="false">IF($B96=BU$12,$U96,"")</f>
        <v/>
      </c>
      <c r="BV96" s="85" t="str">
        <f aca="false">IF($B96=BV$12,$U96,"")</f>
        <v/>
      </c>
      <c r="BW96" s="85" t="str">
        <f aca="false">IF($B96=BW$12,$U96,"")</f>
        <v/>
      </c>
      <c r="BX96" s="85" t="str">
        <f aca="false">IF($B96=BX$12,$U96,"")</f>
        <v/>
      </c>
      <c r="BY96" s="85" t="str">
        <f aca="false">IF($B96=BY$12,$U96,"")</f>
        <v/>
      </c>
      <c r="BZ96" s="85" t="str">
        <f aca="false">IF($B96=BZ$12,$U96,"")</f>
        <v/>
      </c>
      <c r="CA96" s="85" t="str">
        <f aca="false">IF($B96=CA$12,$U96,"")</f>
        <v/>
      </c>
      <c r="CB96" s="85" t="str">
        <f aca="false">IF($B96=CB$12,$U96,"")</f>
        <v/>
      </c>
      <c r="CC96" s="85" t="str">
        <f aca="false">IF($B96=CC$12,$U96,"")</f>
        <v/>
      </c>
      <c r="CD96" s="85" t="str">
        <f aca="false">IF($B96=CD$12,$U96,"")</f>
        <v/>
      </c>
      <c r="CE96" s="85" t="str">
        <f aca="false">IF($B96=CE$12,$U96,"")</f>
        <v/>
      </c>
      <c r="CF96" s="85" t="str">
        <f aca="false">IF($B96=CF$12,$U96,"")</f>
        <v/>
      </c>
      <c r="CG96" s="85" t="str">
        <f aca="false">IF($B96=CG$12,$U96,"")</f>
        <v/>
      </c>
      <c r="CH96" s="85" t="str">
        <f aca="false">IF($B96=CH$12,$U96,"")</f>
        <v/>
      </c>
      <c r="CI96" s="85" t="str">
        <f aca="false">IF($B96=CI$12,$U96,"")</f>
        <v/>
      </c>
      <c r="CJ96" s="85" t="str">
        <f aca="false">IF($B96=CJ$12,$U96,"")</f>
        <v/>
      </c>
      <c r="CK96" s="85" t="str">
        <f aca="false">IF($B96=CK$12,$U96,"")</f>
        <v/>
      </c>
      <c r="CL96" s="85" t="str">
        <f aca="false">IF($B96=CL$12,$U96,"")</f>
        <v/>
      </c>
      <c r="CM96" s="85" t="str">
        <f aca="false">IF($B96=CM$12,$U96,"")</f>
        <v/>
      </c>
      <c r="CN96" s="85" t="str">
        <f aca="false">IF($B96=CN$12,$U96,"")</f>
        <v/>
      </c>
      <c r="CO96" s="85" t="str">
        <f aca="false">IF($B96=CO$12,$U96,"")</f>
        <v/>
      </c>
      <c r="CP96" s="85" t="str">
        <f aca="false">IF($B96=CP$12,$U96,"")</f>
        <v/>
      </c>
      <c r="CQ96" s="85" t="str">
        <f aca="false">IF($B96=CQ$12,$U96,"")</f>
        <v/>
      </c>
      <c r="CR96" s="85" t="str">
        <f aca="false">IF($B96=CR$12,$U96,"")</f>
        <v/>
      </c>
      <c r="CS96" s="85" t="str">
        <f aca="false">IF($B96=CS$12,$U96,"")</f>
        <v/>
      </c>
      <c r="CT96" s="85" t="str">
        <f aca="false">IF($B96=CT$12,$U96,"")</f>
        <v/>
      </c>
      <c r="CU96" s="85" t="str">
        <f aca="false">IF($B96=CU$12,$U96,"")</f>
        <v/>
      </c>
      <c r="CV96" s="85" t="str">
        <f aca="false">IF($B96=CV$12,$U96,"")</f>
        <v/>
      </c>
      <c r="CW96" s="85" t="str">
        <f aca="false">IF($B96=CW$12,$U96,"")</f>
        <v/>
      </c>
      <c r="CX96" s="85" t="str">
        <f aca="false">IF($B96=CX$12,$U96,"")</f>
        <v/>
      </c>
      <c r="CY96" s="85" t="str">
        <f aca="false">IF($B96=CY$12,$U96,"")</f>
        <v/>
      </c>
      <c r="CZ96" s="85" t="str">
        <f aca="false">IF($B96=CZ$12,$U96,"")</f>
        <v/>
      </c>
      <c r="DA96" s="85" t="str">
        <f aca="false">IF($B96=DA$12,$U96,"")</f>
        <v/>
      </c>
      <c r="DB96" s="85" t="str">
        <f aca="false">IF($B96=DB$12,$U96,"")</f>
        <v/>
      </c>
      <c r="DC96" s="85" t="str">
        <f aca="false">IF($B96=DC$12,$U96,"")</f>
        <v/>
      </c>
      <c r="DD96" s="85" t="str">
        <f aca="false">IF($B96=DD$12,$U96,"")</f>
        <v/>
      </c>
      <c r="DE96" s="85" t="str">
        <f aca="false">IF($B96=DE$12,$U96,"")</f>
        <v/>
      </c>
      <c r="DF96" s="85" t="str">
        <f aca="false">IF($B96=DF$12,$U96,"")</f>
        <v/>
      </c>
      <c r="DG96" s="85" t="str">
        <f aca="false">IF($B96=DG$12,$U96,"")</f>
        <v/>
      </c>
      <c r="DH96" s="85" t="str">
        <f aca="false">IF($B96=DH$12,$U96,"")</f>
        <v/>
      </c>
      <c r="DI96" s="85" t="str">
        <f aca="false">IF($B96=DI$12,$U96,"")</f>
        <v/>
      </c>
      <c r="DJ96" s="85" t="str">
        <f aca="false">IF($B96=DJ$12,$U96,"")</f>
        <v/>
      </c>
      <c r="DK96" s="85" t="str">
        <f aca="false">IF($B96=DK$12,$U96,"")</f>
        <v/>
      </c>
      <c r="DL96" s="85" t="str">
        <f aca="false">IF($B96=DL$12,$U96,"")</f>
        <v/>
      </c>
      <c r="DM96" s="85" t="str">
        <f aca="false">IF($B96=DM$12,$U96,"")</f>
        <v/>
      </c>
      <c r="DN96" s="85" t="str">
        <f aca="false">IF($B96=DN$12,$U96,"")</f>
        <v/>
      </c>
      <c r="DO96" s="85" t="str">
        <f aca="false">IF($B96=DO$12,$U96,"")</f>
        <v/>
      </c>
      <c r="DP96" s="85" t="str">
        <f aca="false">IF($B96=DP$12,$U96,"")</f>
        <v/>
      </c>
      <c r="DQ96" s="85" t="str">
        <f aca="false">IF($B96=DQ$12,$U96,"")</f>
        <v/>
      </c>
      <c r="DR96" s="85" t="str">
        <f aca="false">IF($B96=DR$12,$U96,"")</f>
        <v/>
      </c>
      <c r="DS96" s="85" t="str">
        <f aca="false">IF($B96=DS$12,$U96,"")</f>
        <v/>
      </c>
      <c r="DT96" s="86" t="str">
        <f aca="false">IF($B96=DT$12,$U96,"")</f>
        <v/>
      </c>
      <c r="DU96" s="55"/>
      <c r="DV96" s="83"/>
      <c r="DW96" s="87" t="str">
        <f aca="false">IF($B96=DW$12,$O96,"")</f>
        <v/>
      </c>
      <c r="DX96" s="88" t="str">
        <f aca="false">IF($B96=DX$12,$O96,"")</f>
        <v/>
      </c>
      <c r="DY96" s="88" t="str">
        <f aca="false">IF($B96=DY$12,$O96,"")</f>
        <v/>
      </c>
      <c r="DZ96" s="88" t="str">
        <f aca="false">IF($B96=DZ$12,$O96,"")</f>
        <v/>
      </c>
      <c r="EA96" s="88" t="str">
        <f aca="false">IF($B96=EA$12,$O96,"")</f>
        <v/>
      </c>
      <c r="EB96" s="88" t="str">
        <f aca="false">IF($B96=EB$12,$O96,"")</f>
        <v/>
      </c>
      <c r="EC96" s="88" t="str">
        <f aca="false">IF($B96=EC$12,$O96,"")</f>
        <v/>
      </c>
      <c r="ED96" s="88" t="str">
        <f aca="false">IF($B96=ED$12,$O96,"")</f>
        <v/>
      </c>
      <c r="EE96" s="88" t="str">
        <f aca="false">IF($B96=EE$12,$O96,"")</f>
        <v/>
      </c>
      <c r="EF96" s="88" t="str">
        <f aca="false">IF($B96=EF$12,$O96,"")</f>
        <v/>
      </c>
      <c r="EG96" s="88" t="str">
        <f aca="false">IF($B96=EG$12,$O96,"")</f>
        <v/>
      </c>
      <c r="EH96" s="88" t="str">
        <f aca="false">IF($B96=EH$12,$O96,"")</f>
        <v/>
      </c>
      <c r="EI96" s="88" t="str">
        <f aca="false">IF($B96=EI$12,$O96,"")</f>
        <v/>
      </c>
      <c r="EJ96" s="88" t="str">
        <f aca="false">IF($B96=EJ$12,$O96,"")</f>
        <v/>
      </c>
      <c r="EK96" s="88" t="str">
        <f aca="false">IF($B96=EK$12,$O96,"")</f>
        <v/>
      </c>
      <c r="EL96" s="88" t="str">
        <f aca="false">IF($B96=EL$12,$O96,"")</f>
        <v/>
      </c>
      <c r="EM96" s="88" t="str">
        <f aca="false">IF($B96=EM$12,$O96,"")</f>
        <v/>
      </c>
      <c r="EN96" s="88" t="str">
        <f aca="false">IF($B96=EN$12,$O96,"")</f>
        <v/>
      </c>
      <c r="EO96" s="88" t="str">
        <f aca="false">IF($B96=EO$12,$O96,"")</f>
        <v/>
      </c>
      <c r="EP96" s="88" t="str">
        <f aca="false">IF($B96=EP$12,$O96,"")</f>
        <v/>
      </c>
      <c r="EQ96" s="88" t="str">
        <f aca="false">IF($B96=EQ$12,$O96,"")</f>
        <v/>
      </c>
      <c r="ER96" s="88" t="str">
        <f aca="false">IF($B96=ER$12,$O96,"")</f>
        <v/>
      </c>
      <c r="ES96" s="88" t="str">
        <f aca="false">IF($B96=ES$12,$O96,"")</f>
        <v/>
      </c>
      <c r="ET96" s="88" t="str">
        <f aca="false">IF($B96=ET$12,$O96,"")</f>
        <v/>
      </c>
      <c r="EU96" s="88" t="str">
        <f aca="false">IF($B96=EU$12,$O96,"")</f>
        <v/>
      </c>
      <c r="EV96" s="88" t="str">
        <f aca="false">IF($B96=EV$12,$O96,"")</f>
        <v/>
      </c>
      <c r="EW96" s="88" t="str">
        <f aca="false">IF($B96=EW$12,$O96,"")</f>
        <v/>
      </c>
      <c r="EX96" s="88" t="str">
        <f aca="false">IF($B96=EX$12,$O96,"")</f>
        <v/>
      </c>
      <c r="EY96" s="88" t="str">
        <f aca="false">IF($B96=EY$12,$O96,"")</f>
        <v/>
      </c>
      <c r="EZ96" s="88" t="str">
        <f aca="false">IF($B96=EZ$12,$O96,"")</f>
        <v/>
      </c>
      <c r="FA96" s="88" t="str">
        <f aca="false">IF($B96=FA$12,$O96,"")</f>
        <v/>
      </c>
      <c r="FB96" s="88" t="str">
        <f aca="false">IF($B96=FB$12,$O96,"")</f>
        <v/>
      </c>
      <c r="FC96" s="88" t="str">
        <f aca="false">IF($B96=FC$12,$O96,"")</f>
        <v/>
      </c>
      <c r="FD96" s="88" t="str">
        <f aca="false">IF($B96=FD$12,$O96,"")</f>
        <v/>
      </c>
      <c r="FE96" s="88" t="str">
        <f aca="false">IF($B96=FE$12,$O96,"")</f>
        <v/>
      </c>
      <c r="FF96" s="88" t="str">
        <f aca="false">IF($B96=FF$12,$O96,"")</f>
        <v/>
      </c>
      <c r="FG96" s="88" t="str">
        <f aca="false">IF($B96=FG$12,$O96,"")</f>
        <v/>
      </c>
      <c r="FH96" s="88" t="str">
        <f aca="false">IF($B96=FH$12,$O96,"")</f>
        <v/>
      </c>
      <c r="FI96" s="88" t="str">
        <f aca="false">IF($B96=FI$12,$O96,"")</f>
        <v/>
      </c>
      <c r="FJ96" s="88" t="str">
        <f aca="false">IF($B96=FJ$12,$O96,"")</f>
        <v/>
      </c>
      <c r="FK96" s="88" t="str">
        <f aca="false">IF($B96=FK$12,$O96,"")</f>
        <v/>
      </c>
      <c r="FL96" s="88" t="str">
        <f aca="false">IF($B96=FL$12,$O96,"")</f>
        <v/>
      </c>
      <c r="FM96" s="88" t="str">
        <f aca="false">IF($B96=FM$12,$O96,"")</f>
        <v/>
      </c>
      <c r="FN96" s="88" t="str">
        <f aca="false">IF($B96=FN$12,$O96,"")</f>
        <v/>
      </c>
      <c r="FO96" s="88" t="str">
        <f aca="false">IF($B96=FO$12,$O96,"")</f>
        <v/>
      </c>
      <c r="FP96" s="88" t="str">
        <f aca="false">IF($B96=FP$12,$O96,"")</f>
        <v/>
      </c>
      <c r="FQ96" s="88" t="str">
        <f aca="false">IF($B96=FQ$12,$O96,"")</f>
        <v/>
      </c>
      <c r="FR96" s="88" t="str">
        <f aca="false">IF($B96=FR$12,$O96,"")</f>
        <v/>
      </c>
      <c r="FS96" s="88" t="str">
        <f aca="false">IF($B96=FS$12,$O96,"")</f>
        <v/>
      </c>
      <c r="FT96" s="88" t="str">
        <f aca="false">IF($B96=FT$12,$O96,"")</f>
        <v/>
      </c>
      <c r="FU96" s="88" t="str">
        <f aca="false">IF($B96=FU$12,$O96,"")</f>
        <v/>
      </c>
      <c r="FV96" s="88" t="str">
        <f aca="false">IF($B96=FV$12,$O96,"")</f>
        <v/>
      </c>
      <c r="FW96" s="88" t="str">
        <f aca="false">IF($B96=FW$12,$O96,"")</f>
        <v/>
      </c>
      <c r="FX96" s="88" t="str">
        <f aca="false">IF($B96=FX$12,$O96,"")</f>
        <v/>
      </c>
      <c r="FY96" s="88" t="str">
        <f aca="false">IF($B96=FY$12,$O96,"")</f>
        <v/>
      </c>
      <c r="FZ96" s="88" t="str">
        <f aca="false">IF($B96=FZ$12,$O96,"")</f>
        <v/>
      </c>
      <c r="GA96" s="88" t="str">
        <f aca="false">IF($B96=GA$12,$O96,"")</f>
        <v/>
      </c>
      <c r="GB96" s="88" t="str">
        <f aca="false">IF($B96=GB$12,$O96,"")</f>
        <v/>
      </c>
      <c r="GC96" s="88" t="str">
        <f aca="false">IF($B96=GC$12,$O96,"")</f>
        <v/>
      </c>
      <c r="GD96" s="88" t="str">
        <f aca="false">IF($B96=GD$12,$O96,"")</f>
        <v/>
      </c>
      <c r="GE96" s="88" t="str">
        <f aca="false">IF($B96=GE$12,$O96,"")</f>
        <v/>
      </c>
      <c r="GF96" s="88" t="str">
        <f aca="false">IF($B96=GF$12,$O96,"")</f>
        <v/>
      </c>
      <c r="GG96" s="88" t="str">
        <f aca="false">IF($B96=GG$12,$O96,"")</f>
        <v/>
      </c>
      <c r="GH96" s="88" t="str">
        <f aca="false">IF($B96=GH$12,$O96,"")</f>
        <v/>
      </c>
      <c r="GI96" s="88" t="str">
        <f aca="false">IF($B96=GI$12,$O96,"")</f>
        <v/>
      </c>
      <c r="GJ96" s="88" t="str">
        <f aca="false">IF($B96=GJ$12,$O96,"")</f>
        <v/>
      </c>
      <c r="GK96" s="88" t="str">
        <f aca="false">IF($B96=GK$12,$O96,"")</f>
        <v/>
      </c>
      <c r="GL96" s="88" t="str">
        <f aca="false">IF($B96=GL$12,$O96,"")</f>
        <v/>
      </c>
      <c r="GM96" s="88" t="str">
        <f aca="false">IF($B96=GM$12,$O96,"")</f>
        <v/>
      </c>
      <c r="GN96" s="88" t="str">
        <f aca="false">IF($B96=GN$12,$O96,"")</f>
        <v/>
      </c>
      <c r="GO96" s="88" t="str">
        <f aca="false">IF($B96=GO$12,$O96,"")</f>
        <v/>
      </c>
      <c r="GP96" s="88" t="str">
        <f aca="false">IF($B96=GP$12,$O96,"")</f>
        <v/>
      </c>
      <c r="GQ96" s="88" t="str">
        <f aca="false">IF($B96=GQ$12,$O96,"")</f>
        <v/>
      </c>
      <c r="GR96" s="88" t="str">
        <f aca="false">IF($B96=GR$12,$O96,"")</f>
        <v/>
      </c>
      <c r="GS96" s="88" t="str">
        <f aca="false">IF($B96=GS$12,$O96,"")</f>
        <v/>
      </c>
      <c r="GT96" s="88" t="str">
        <f aca="false">IF($B96=GT$12,$O96,"")</f>
        <v/>
      </c>
      <c r="GU96" s="88" t="str">
        <f aca="false">IF($B96=GU$12,$O96,"")</f>
        <v/>
      </c>
      <c r="GV96" s="88" t="str">
        <f aca="false">IF($B96=GV$12,$O96,"")</f>
        <v/>
      </c>
      <c r="GW96" s="88" t="str">
        <f aca="false">IF($B96=GW$12,$O96,"")</f>
        <v/>
      </c>
      <c r="GX96" s="88" t="str">
        <f aca="false">IF($B96=GX$12,$O96,"")</f>
        <v/>
      </c>
      <c r="GY96" s="88" t="str">
        <f aca="false">IF($B96=GY$12,$O96,"")</f>
        <v/>
      </c>
      <c r="GZ96" s="88" t="str">
        <f aca="false">IF($B96=GZ$12,$O96,"")</f>
        <v/>
      </c>
      <c r="HA96" s="88" t="str">
        <f aca="false">IF($B96=HA$12,$O96,"")</f>
        <v/>
      </c>
      <c r="HB96" s="88" t="str">
        <f aca="false">IF($B96=HB$12,$O96,"")</f>
        <v/>
      </c>
      <c r="HC96" s="88" t="str">
        <f aca="false">IF($B96=HC$12,$O96,"")</f>
        <v/>
      </c>
      <c r="HD96" s="88" t="str">
        <f aca="false">IF($B96=HD$12,$O96,"")</f>
        <v/>
      </c>
      <c r="HE96" s="88" t="str">
        <f aca="false">IF($B96=HE$12,$O96,"")</f>
        <v/>
      </c>
      <c r="HF96" s="88" t="str">
        <f aca="false">IF($B96=HF$12,$O96,"")</f>
        <v/>
      </c>
      <c r="HG96" s="88" t="str">
        <f aca="false">IF($B96=HG$12,$O96,"")</f>
        <v/>
      </c>
      <c r="HH96" s="88" t="str">
        <f aca="false">IF($B96=HH$12,$O96,"")</f>
        <v/>
      </c>
      <c r="HI96" s="88" t="str">
        <f aca="false">IF($B96=HI$12,$O96,"")</f>
        <v/>
      </c>
      <c r="HJ96" s="88" t="str">
        <f aca="false">IF($B96=HJ$12,$O96,"")</f>
        <v/>
      </c>
      <c r="HK96" s="88" t="str">
        <f aca="false">IF($B96=HK$12,$O96,"")</f>
        <v/>
      </c>
      <c r="HL96" s="88" t="str">
        <f aca="false">IF($B96=HL$12,$O96,"")</f>
        <v/>
      </c>
      <c r="HM96" s="88" t="str">
        <f aca="false">IF($B96=HM$12,$O96,"")</f>
        <v/>
      </c>
      <c r="HN96" s="88" t="str">
        <f aca="false">IF($B96=HN$12,$O96,"")</f>
        <v/>
      </c>
      <c r="HO96" s="88" t="str">
        <f aca="false">IF($B96=HO$12,$O96,"")</f>
        <v/>
      </c>
      <c r="HP96" s="88" t="str">
        <f aca="false">IF($B96=HP$12,$O96,"")</f>
        <v/>
      </c>
      <c r="HQ96" s="88" t="str">
        <f aca="false">IF($B96=HQ$12,$O96,"")</f>
        <v/>
      </c>
      <c r="HR96" s="89" t="str">
        <f aca="false">IF($B96=HR$12,$O96,"")</f>
        <v/>
      </c>
    </row>
    <row r="97" customFormat="false" ht="10.5" hidden="false" customHeight="true" outlineLevel="0" collapsed="false">
      <c r="A97" s="73"/>
      <c r="B97" s="74"/>
      <c r="C97" s="75" t="str">
        <f aca="false">IF(A97=0,"",VLOOKUP(A97,[3]CO!$A$3:$F$5311,2,0))</f>
        <v/>
      </c>
      <c r="D97" s="76"/>
      <c r="E97" s="76"/>
      <c r="F97" s="76"/>
      <c r="G97" s="77" t="str">
        <f aca="false">IF(A97=0,"",VLOOKUP(A97,[3]CO!$A$3:$F$5311,3,0))</f>
        <v/>
      </c>
      <c r="H97" s="76"/>
      <c r="I97" s="78"/>
      <c r="J97" s="78"/>
      <c r="K97" s="78"/>
      <c r="L97" s="78"/>
      <c r="M97" s="79" t="str">
        <f aca="false">IF(L97=0,"",PRODUCT(I97:L97))</f>
        <v/>
      </c>
      <c r="N97" s="79" t="str">
        <f aca="false">IF(B97=0,"",IF(H97="M",HLOOKUP(B97,$Y$12:$DT$13,2),IF(A97=0,"",VLOOKUP(A97,[3]CO!$A$3:$F$5311,4,0))))</f>
        <v/>
      </c>
      <c r="O97" s="79" t="str">
        <f aca="false">IF(L97=0,"",PRODUCT(M97:N97))</f>
        <v/>
      </c>
      <c r="P97" s="80"/>
      <c r="Q97" s="81" t="str">
        <f aca="false">IF(P97=0,"",(HLOOKUP(P97,$DW$12:$HR$13,2)))</f>
        <v/>
      </c>
      <c r="R97" s="82" t="str">
        <f aca="false">IF(S97=0,"",IF(OR(G97="PEON",G97="OF",G97="JARD",G97="CARP",G97="MAESTRO",G97="SOLD",G97="BGRO",G97="CHOFER",G97="AYTE",G97="S.INTTE.",G97="ASEO",G97="P.PISOS",G97="VELADOR",G97="RESID",G97="PINTOR",G97="ELECT",G97="AZULE",G97="AUX CONT.",G97="SECRETARIA",G97="AUXILIAR ADMTVO.",G97="ARQUITECTO",G97="DIBUJANTE",G97="AUX. DE RESIDENTE"),VLOOKUP(B97,P$14:Q$131,2),"")*S97)</f>
        <v/>
      </c>
      <c r="S97" s="5"/>
      <c r="T97" s="65" t="str">
        <f aca="false">IF(A97=0,"",VLOOKUP(A97,[3]CO!$A$3:$F$5302,5,0))</f>
        <v/>
      </c>
      <c r="U97" s="55" t="n">
        <f aca="false">IF(T97=1,O97*0.1,)</f>
        <v>0</v>
      </c>
      <c r="V97" s="66"/>
      <c r="W97" s="83"/>
      <c r="X97" s="83"/>
      <c r="Y97" s="84" t="str">
        <f aca="false">IF($B97=Y$12,$U97,"")</f>
        <v/>
      </c>
      <c r="Z97" s="85" t="str">
        <f aca="false">IF($B97=Z$12,$U97,"")</f>
        <v/>
      </c>
      <c r="AA97" s="85" t="str">
        <f aca="false">IF($B97=AA$12,$U97,"")</f>
        <v/>
      </c>
      <c r="AB97" s="85" t="str">
        <f aca="false">IF($B97=AB$12,$U97,"")</f>
        <v/>
      </c>
      <c r="AC97" s="85" t="str">
        <f aca="false">IF($B97=AC$12,$U97,"")</f>
        <v/>
      </c>
      <c r="AD97" s="85" t="str">
        <f aca="false">IF($B97=AD$12,$U97,"")</f>
        <v/>
      </c>
      <c r="AE97" s="85" t="str">
        <f aca="false">IF($B97=AE$12,$U97,"")</f>
        <v/>
      </c>
      <c r="AF97" s="85" t="str">
        <f aca="false">IF($B97=AF$12,$U97,"")</f>
        <v/>
      </c>
      <c r="AG97" s="85" t="str">
        <f aca="false">IF($B97=AG$12,$U97,"")</f>
        <v/>
      </c>
      <c r="AH97" s="85" t="str">
        <f aca="false">IF($B97=AH$12,$U97,"")</f>
        <v/>
      </c>
      <c r="AI97" s="85" t="str">
        <f aca="false">IF($B97=AI$12,$U97,"")</f>
        <v/>
      </c>
      <c r="AJ97" s="85" t="str">
        <f aca="false">IF($B97=AJ$12,$U97,"")</f>
        <v/>
      </c>
      <c r="AK97" s="85" t="str">
        <f aca="false">IF($B97=AK$12,$U97,"")</f>
        <v/>
      </c>
      <c r="AL97" s="85" t="str">
        <f aca="false">IF($B97=AL$12,$U97,"")</f>
        <v/>
      </c>
      <c r="AM97" s="85" t="str">
        <f aca="false">IF($B97=AM$12,$U97,"")</f>
        <v/>
      </c>
      <c r="AN97" s="85" t="str">
        <f aca="false">IF($B97=AN$12,$U97,"")</f>
        <v/>
      </c>
      <c r="AO97" s="85" t="str">
        <f aca="false">IF($B97=AO$12,$U97,"")</f>
        <v/>
      </c>
      <c r="AP97" s="85" t="str">
        <f aca="false">IF($B97=AP$12,$U97,"")</f>
        <v/>
      </c>
      <c r="AQ97" s="85" t="str">
        <f aca="false">IF($B97=AQ$12,$U97,"")</f>
        <v/>
      </c>
      <c r="AR97" s="85" t="str">
        <f aca="false">IF($B97=AR$12,$U97,"")</f>
        <v/>
      </c>
      <c r="AS97" s="85" t="str">
        <f aca="false">IF($B97=AS$12,$U97,"")</f>
        <v/>
      </c>
      <c r="AT97" s="85" t="str">
        <f aca="false">IF($B97=AT$12,$U97,"")</f>
        <v/>
      </c>
      <c r="AU97" s="85" t="str">
        <f aca="false">IF($B97=AU$12,$U97,"")</f>
        <v/>
      </c>
      <c r="AV97" s="85" t="str">
        <f aca="false">IF($B97=AV$12,$U97,"")</f>
        <v/>
      </c>
      <c r="AW97" s="85" t="str">
        <f aca="false">IF($B97=AW$12,$U97,"")</f>
        <v/>
      </c>
      <c r="AX97" s="85" t="str">
        <f aca="false">IF($B97=AX$12,$U97,"")</f>
        <v/>
      </c>
      <c r="AY97" s="85" t="str">
        <f aca="false">IF($B97=AY$12,$U97,"")</f>
        <v/>
      </c>
      <c r="AZ97" s="85" t="str">
        <f aca="false">IF($B97=AZ$12,$U97,"")</f>
        <v/>
      </c>
      <c r="BA97" s="85" t="str">
        <f aca="false">IF($B97=BA$12,$U97,"")</f>
        <v/>
      </c>
      <c r="BB97" s="85" t="str">
        <f aca="false">IF($B97=BB$12,$U97,"")</f>
        <v/>
      </c>
      <c r="BC97" s="85" t="str">
        <f aca="false">IF($B97=BC$12,$U97,"")</f>
        <v/>
      </c>
      <c r="BD97" s="85" t="str">
        <f aca="false">IF($B97=BD$12,$U97,"")</f>
        <v/>
      </c>
      <c r="BE97" s="85" t="str">
        <f aca="false">IF($B97=BE$12,$U97,"")</f>
        <v/>
      </c>
      <c r="BF97" s="85" t="str">
        <f aca="false">IF($B97=BF$12,$U97,"")</f>
        <v/>
      </c>
      <c r="BG97" s="85" t="str">
        <f aca="false">IF($B97=BG$12,$U97,"")</f>
        <v/>
      </c>
      <c r="BH97" s="85" t="str">
        <f aca="false">IF($B97=BH$12,$U97,"")</f>
        <v/>
      </c>
      <c r="BI97" s="85" t="str">
        <f aca="false">IF($B97=BI$12,$U97,"")</f>
        <v/>
      </c>
      <c r="BJ97" s="85" t="str">
        <f aca="false">IF($B97=BJ$12,$U97,"")</f>
        <v/>
      </c>
      <c r="BK97" s="85" t="str">
        <f aca="false">IF($B97=BK$12,$U97,"")</f>
        <v/>
      </c>
      <c r="BL97" s="85" t="str">
        <f aca="false">IF($B97=BL$12,$U97,"")</f>
        <v/>
      </c>
      <c r="BM97" s="85" t="str">
        <f aca="false">IF($B97=BM$12,$U97,"")</f>
        <v/>
      </c>
      <c r="BN97" s="85" t="str">
        <f aca="false">IF($B97=BN$12,$U97,"")</f>
        <v/>
      </c>
      <c r="BO97" s="85" t="str">
        <f aca="false">IF($B97=BO$12,$U97,"")</f>
        <v/>
      </c>
      <c r="BP97" s="85" t="str">
        <f aca="false">IF($B97=BP$12,$U97,"")</f>
        <v/>
      </c>
      <c r="BQ97" s="85" t="str">
        <f aca="false">IF($B97=BQ$12,$U97,"")</f>
        <v/>
      </c>
      <c r="BR97" s="85" t="str">
        <f aca="false">IF($B97=BR$12,$U97,"")</f>
        <v/>
      </c>
      <c r="BS97" s="85" t="str">
        <f aca="false">IF($B97=BS$12,$U97,"")</f>
        <v/>
      </c>
      <c r="BT97" s="85" t="str">
        <f aca="false">IF($B97=BT$12,$U97,"")</f>
        <v/>
      </c>
      <c r="BU97" s="85" t="str">
        <f aca="false">IF($B97=BU$12,$U97,"")</f>
        <v/>
      </c>
      <c r="BV97" s="85" t="str">
        <f aca="false">IF($B97=BV$12,$U97,"")</f>
        <v/>
      </c>
      <c r="BW97" s="85" t="str">
        <f aca="false">IF($B97=BW$12,$U97,"")</f>
        <v/>
      </c>
      <c r="BX97" s="85" t="str">
        <f aca="false">IF($B97=BX$12,$U97,"")</f>
        <v/>
      </c>
      <c r="BY97" s="85" t="str">
        <f aca="false">IF($B97=BY$12,$U97,"")</f>
        <v/>
      </c>
      <c r="BZ97" s="85" t="str">
        <f aca="false">IF($B97=BZ$12,$U97,"")</f>
        <v/>
      </c>
      <c r="CA97" s="85" t="str">
        <f aca="false">IF($B97=CA$12,$U97,"")</f>
        <v/>
      </c>
      <c r="CB97" s="85" t="str">
        <f aca="false">IF($B97=CB$12,$U97,"")</f>
        <v/>
      </c>
      <c r="CC97" s="85" t="str">
        <f aca="false">IF($B97=CC$12,$U97,"")</f>
        <v/>
      </c>
      <c r="CD97" s="85" t="str">
        <f aca="false">IF($B97=CD$12,$U97,"")</f>
        <v/>
      </c>
      <c r="CE97" s="85" t="str">
        <f aca="false">IF($B97=CE$12,$U97,"")</f>
        <v/>
      </c>
      <c r="CF97" s="85" t="str">
        <f aca="false">IF($B97=CF$12,$U97,"")</f>
        <v/>
      </c>
      <c r="CG97" s="85" t="str">
        <f aca="false">IF($B97=CG$12,$U97,"")</f>
        <v/>
      </c>
      <c r="CH97" s="85" t="str">
        <f aca="false">IF($B97=CH$12,$U97,"")</f>
        <v/>
      </c>
      <c r="CI97" s="85" t="str">
        <f aca="false">IF($B97=CI$12,$U97,"")</f>
        <v/>
      </c>
      <c r="CJ97" s="85" t="str">
        <f aca="false">IF($B97=CJ$12,$U97,"")</f>
        <v/>
      </c>
      <c r="CK97" s="85" t="str">
        <f aca="false">IF($B97=CK$12,$U97,"")</f>
        <v/>
      </c>
      <c r="CL97" s="85" t="str">
        <f aca="false">IF($B97=CL$12,$U97,"")</f>
        <v/>
      </c>
      <c r="CM97" s="85" t="str">
        <f aca="false">IF($B97=CM$12,$U97,"")</f>
        <v/>
      </c>
      <c r="CN97" s="85" t="str">
        <f aca="false">IF($B97=CN$12,$U97,"")</f>
        <v/>
      </c>
      <c r="CO97" s="85" t="str">
        <f aca="false">IF($B97=CO$12,$U97,"")</f>
        <v/>
      </c>
      <c r="CP97" s="85" t="str">
        <f aca="false">IF($B97=CP$12,$U97,"")</f>
        <v/>
      </c>
      <c r="CQ97" s="85" t="str">
        <f aca="false">IF($B97=CQ$12,$U97,"")</f>
        <v/>
      </c>
      <c r="CR97" s="85" t="str">
        <f aca="false">IF($B97=CR$12,$U97,"")</f>
        <v/>
      </c>
      <c r="CS97" s="85" t="str">
        <f aca="false">IF($B97=CS$12,$U97,"")</f>
        <v/>
      </c>
      <c r="CT97" s="85" t="str">
        <f aca="false">IF($B97=CT$12,$U97,"")</f>
        <v/>
      </c>
      <c r="CU97" s="85" t="str">
        <f aca="false">IF($B97=CU$12,$U97,"")</f>
        <v/>
      </c>
      <c r="CV97" s="85" t="str">
        <f aca="false">IF($B97=CV$12,$U97,"")</f>
        <v/>
      </c>
      <c r="CW97" s="85" t="str">
        <f aca="false">IF($B97=CW$12,$U97,"")</f>
        <v/>
      </c>
      <c r="CX97" s="85" t="str">
        <f aca="false">IF($B97=CX$12,$U97,"")</f>
        <v/>
      </c>
      <c r="CY97" s="85" t="str">
        <f aca="false">IF($B97=CY$12,$U97,"")</f>
        <v/>
      </c>
      <c r="CZ97" s="85" t="str">
        <f aca="false">IF($B97=CZ$12,$U97,"")</f>
        <v/>
      </c>
      <c r="DA97" s="85" t="str">
        <f aca="false">IF($B97=DA$12,$U97,"")</f>
        <v/>
      </c>
      <c r="DB97" s="85" t="str">
        <f aca="false">IF($B97=DB$12,$U97,"")</f>
        <v/>
      </c>
      <c r="DC97" s="85" t="str">
        <f aca="false">IF($B97=DC$12,$U97,"")</f>
        <v/>
      </c>
      <c r="DD97" s="85" t="str">
        <f aca="false">IF($B97=DD$12,$U97,"")</f>
        <v/>
      </c>
      <c r="DE97" s="85" t="str">
        <f aca="false">IF($B97=DE$12,$U97,"")</f>
        <v/>
      </c>
      <c r="DF97" s="85" t="str">
        <f aca="false">IF($B97=DF$12,$U97,"")</f>
        <v/>
      </c>
      <c r="DG97" s="85" t="str">
        <f aca="false">IF($B97=DG$12,$U97,"")</f>
        <v/>
      </c>
      <c r="DH97" s="85" t="str">
        <f aca="false">IF($B97=DH$12,$U97,"")</f>
        <v/>
      </c>
      <c r="DI97" s="85" t="str">
        <f aca="false">IF($B97=DI$12,$U97,"")</f>
        <v/>
      </c>
      <c r="DJ97" s="85" t="str">
        <f aca="false">IF($B97=DJ$12,$U97,"")</f>
        <v/>
      </c>
      <c r="DK97" s="85" t="str">
        <f aca="false">IF($B97=DK$12,$U97,"")</f>
        <v/>
      </c>
      <c r="DL97" s="85" t="str">
        <f aca="false">IF($B97=DL$12,$U97,"")</f>
        <v/>
      </c>
      <c r="DM97" s="85" t="str">
        <f aca="false">IF($B97=DM$12,$U97,"")</f>
        <v/>
      </c>
      <c r="DN97" s="85" t="str">
        <f aca="false">IF($B97=DN$12,$U97,"")</f>
        <v/>
      </c>
      <c r="DO97" s="85" t="str">
        <f aca="false">IF($B97=DO$12,$U97,"")</f>
        <v/>
      </c>
      <c r="DP97" s="85" t="str">
        <f aca="false">IF($B97=DP$12,$U97,"")</f>
        <v/>
      </c>
      <c r="DQ97" s="85" t="str">
        <f aca="false">IF($B97=DQ$12,$U97,"")</f>
        <v/>
      </c>
      <c r="DR97" s="85" t="str">
        <f aca="false">IF($B97=DR$12,$U97,"")</f>
        <v/>
      </c>
      <c r="DS97" s="85" t="str">
        <f aca="false">IF($B97=DS$12,$U97,"")</f>
        <v/>
      </c>
      <c r="DT97" s="86" t="str">
        <f aca="false">IF($B97=DT$12,$U97,"")</f>
        <v/>
      </c>
      <c r="DU97" s="55"/>
      <c r="DV97" s="83"/>
      <c r="DW97" s="87" t="str">
        <f aca="false">IF($B97=DW$12,$O97,"")</f>
        <v/>
      </c>
      <c r="DX97" s="88" t="str">
        <f aca="false">IF($B97=DX$12,$O97,"")</f>
        <v/>
      </c>
      <c r="DY97" s="88" t="str">
        <f aca="false">IF($B97=DY$12,$O97,"")</f>
        <v/>
      </c>
      <c r="DZ97" s="88" t="str">
        <f aca="false">IF($B97=DZ$12,$O97,"")</f>
        <v/>
      </c>
      <c r="EA97" s="88" t="str">
        <f aca="false">IF($B97=EA$12,$O97,"")</f>
        <v/>
      </c>
      <c r="EB97" s="88" t="str">
        <f aca="false">IF($B97=EB$12,$O97,"")</f>
        <v/>
      </c>
      <c r="EC97" s="88" t="str">
        <f aca="false">IF($B97=EC$12,$O97,"")</f>
        <v/>
      </c>
      <c r="ED97" s="88" t="str">
        <f aca="false">IF($B97=ED$12,$O97,"")</f>
        <v/>
      </c>
      <c r="EE97" s="88" t="str">
        <f aca="false">IF($B97=EE$12,$O97,"")</f>
        <v/>
      </c>
      <c r="EF97" s="88" t="str">
        <f aca="false">IF($B97=EF$12,$O97,"")</f>
        <v/>
      </c>
      <c r="EG97" s="88" t="str">
        <f aca="false">IF($B97=EG$12,$O97,"")</f>
        <v/>
      </c>
      <c r="EH97" s="88" t="str">
        <f aca="false">IF($B97=EH$12,$O97,"")</f>
        <v/>
      </c>
      <c r="EI97" s="88" t="str">
        <f aca="false">IF($B97=EI$12,$O97,"")</f>
        <v/>
      </c>
      <c r="EJ97" s="88" t="str">
        <f aca="false">IF($B97=EJ$12,$O97,"")</f>
        <v/>
      </c>
      <c r="EK97" s="88" t="str">
        <f aca="false">IF($B97=EK$12,$O97,"")</f>
        <v/>
      </c>
      <c r="EL97" s="88" t="str">
        <f aca="false">IF($B97=EL$12,$O97,"")</f>
        <v/>
      </c>
      <c r="EM97" s="88" t="str">
        <f aca="false">IF($B97=EM$12,$O97,"")</f>
        <v/>
      </c>
      <c r="EN97" s="88" t="str">
        <f aca="false">IF($B97=EN$12,$O97,"")</f>
        <v/>
      </c>
      <c r="EO97" s="88" t="str">
        <f aca="false">IF($B97=EO$12,$O97,"")</f>
        <v/>
      </c>
      <c r="EP97" s="88" t="str">
        <f aca="false">IF($B97=EP$12,$O97,"")</f>
        <v/>
      </c>
      <c r="EQ97" s="88" t="str">
        <f aca="false">IF($B97=EQ$12,$O97,"")</f>
        <v/>
      </c>
      <c r="ER97" s="88" t="str">
        <f aca="false">IF($B97=ER$12,$O97,"")</f>
        <v/>
      </c>
      <c r="ES97" s="88" t="str">
        <f aca="false">IF($B97=ES$12,$O97,"")</f>
        <v/>
      </c>
      <c r="ET97" s="88" t="str">
        <f aca="false">IF($B97=ET$12,$O97,"")</f>
        <v/>
      </c>
      <c r="EU97" s="88" t="str">
        <f aca="false">IF($B97=EU$12,$O97,"")</f>
        <v/>
      </c>
      <c r="EV97" s="88" t="str">
        <f aca="false">IF($B97=EV$12,$O97,"")</f>
        <v/>
      </c>
      <c r="EW97" s="88" t="str">
        <f aca="false">IF($B97=EW$12,$O97,"")</f>
        <v/>
      </c>
      <c r="EX97" s="88" t="str">
        <f aca="false">IF($B97=EX$12,$O97,"")</f>
        <v/>
      </c>
      <c r="EY97" s="88" t="str">
        <f aca="false">IF($B97=EY$12,$O97,"")</f>
        <v/>
      </c>
      <c r="EZ97" s="88" t="str">
        <f aca="false">IF($B97=EZ$12,$O97,"")</f>
        <v/>
      </c>
      <c r="FA97" s="88" t="str">
        <f aca="false">IF($B97=FA$12,$O97,"")</f>
        <v/>
      </c>
      <c r="FB97" s="88" t="str">
        <f aca="false">IF($B97=FB$12,$O97,"")</f>
        <v/>
      </c>
      <c r="FC97" s="88" t="str">
        <f aca="false">IF($B97=FC$12,$O97,"")</f>
        <v/>
      </c>
      <c r="FD97" s="88" t="str">
        <f aca="false">IF($B97=FD$12,$O97,"")</f>
        <v/>
      </c>
      <c r="FE97" s="88" t="str">
        <f aca="false">IF($B97=FE$12,$O97,"")</f>
        <v/>
      </c>
      <c r="FF97" s="88" t="str">
        <f aca="false">IF($B97=FF$12,$O97,"")</f>
        <v/>
      </c>
      <c r="FG97" s="88" t="str">
        <f aca="false">IF($B97=FG$12,$O97,"")</f>
        <v/>
      </c>
      <c r="FH97" s="88" t="str">
        <f aca="false">IF($B97=FH$12,$O97,"")</f>
        <v/>
      </c>
      <c r="FI97" s="88" t="str">
        <f aca="false">IF($B97=FI$12,$O97,"")</f>
        <v/>
      </c>
      <c r="FJ97" s="88" t="str">
        <f aca="false">IF($B97=FJ$12,$O97,"")</f>
        <v/>
      </c>
      <c r="FK97" s="88" t="str">
        <f aca="false">IF($B97=FK$12,$O97,"")</f>
        <v/>
      </c>
      <c r="FL97" s="88" t="str">
        <f aca="false">IF($B97=FL$12,$O97,"")</f>
        <v/>
      </c>
      <c r="FM97" s="88" t="str">
        <f aca="false">IF($B97=FM$12,$O97,"")</f>
        <v/>
      </c>
      <c r="FN97" s="88" t="str">
        <f aca="false">IF($B97=FN$12,$O97,"")</f>
        <v/>
      </c>
      <c r="FO97" s="88" t="str">
        <f aca="false">IF($B97=FO$12,$O97,"")</f>
        <v/>
      </c>
      <c r="FP97" s="88" t="str">
        <f aca="false">IF($B97=FP$12,$O97,"")</f>
        <v/>
      </c>
      <c r="FQ97" s="88" t="str">
        <f aca="false">IF($B97=FQ$12,$O97,"")</f>
        <v/>
      </c>
      <c r="FR97" s="88" t="str">
        <f aca="false">IF($B97=FR$12,$O97,"")</f>
        <v/>
      </c>
      <c r="FS97" s="88" t="str">
        <f aca="false">IF($B97=FS$12,$O97,"")</f>
        <v/>
      </c>
      <c r="FT97" s="88" t="str">
        <f aca="false">IF($B97=FT$12,$O97,"")</f>
        <v/>
      </c>
      <c r="FU97" s="88" t="str">
        <f aca="false">IF($B97=FU$12,$O97,"")</f>
        <v/>
      </c>
      <c r="FV97" s="88" t="str">
        <f aca="false">IF($B97=FV$12,$O97,"")</f>
        <v/>
      </c>
      <c r="FW97" s="88" t="str">
        <f aca="false">IF($B97=FW$12,$O97,"")</f>
        <v/>
      </c>
      <c r="FX97" s="88" t="str">
        <f aca="false">IF($B97=FX$12,$O97,"")</f>
        <v/>
      </c>
      <c r="FY97" s="88" t="str">
        <f aca="false">IF($B97=FY$12,$O97,"")</f>
        <v/>
      </c>
      <c r="FZ97" s="88" t="str">
        <f aca="false">IF($B97=FZ$12,$O97,"")</f>
        <v/>
      </c>
      <c r="GA97" s="88" t="str">
        <f aca="false">IF($B97=GA$12,$O97,"")</f>
        <v/>
      </c>
      <c r="GB97" s="88" t="str">
        <f aca="false">IF($B97=GB$12,$O97,"")</f>
        <v/>
      </c>
      <c r="GC97" s="88" t="str">
        <f aca="false">IF($B97=GC$12,$O97,"")</f>
        <v/>
      </c>
      <c r="GD97" s="88" t="str">
        <f aca="false">IF($B97=GD$12,$O97,"")</f>
        <v/>
      </c>
      <c r="GE97" s="88" t="str">
        <f aca="false">IF($B97=GE$12,$O97,"")</f>
        <v/>
      </c>
      <c r="GF97" s="88" t="str">
        <f aca="false">IF($B97=GF$12,$O97,"")</f>
        <v/>
      </c>
      <c r="GG97" s="88" t="str">
        <f aca="false">IF($B97=GG$12,$O97,"")</f>
        <v/>
      </c>
      <c r="GH97" s="88" t="str">
        <f aca="false">IF($B97=GH$12,$O97,"")</f>
        <v/>
      </c>
      <c r="GI97" s="88" t="str">
        <f aca="false">IF($B97=GI$12,$O97,"")</f>
        <v/>
      </c>
      <c r="GJ97" s="88" t="str">
        <f aca="false">IF($B97=GJ$12,$O97,"")</f>
        <v/>
      </c>
      <c r="GK97" s="88" t="str">
        <f aca="false">IF($B97=GK$12,$O97,"")</f>
        <v/>
      </c>
      <c r="GL97" s="88" t="str">
        <f aca="false">IF($B97=GL$12,$O97,"")</f>
        <v/>
      </c>
      <c r="GM97" s="88" t="str">
        <f aca="false">IF($B97=GM$12,$O97,"")</f>
        <v/>
      </c>
      <c r="GN97" s="88" t="str">
        <f aca="false">IF($B97=GN$12,$O97,"")</f>
        <v/>
      </c>
      <c r="GO97" s="88" t="str">
        <f aca="false">IF($B97=GO$12,$O97,"")</f>
        <v/>
      </c>
      <c r="GP97" s="88" t="str">
        <f aca="false">IF($B97=GP$12,$O97,"")</f>
        <v/>
      </c>
      <c r="GQ97" s="88" t="str">
        <f aca="false">IF($B97=GQ$12,$O97,"")</f>
        <v/>
      </c>
      <c r="GR97" s="88" t="str">
        <f aca="false">IF($B97=GR$12,$O97,"")</f>
        <v/>
      </c>
      <c r="GS97" s="88" t="str">
        <f aca="false">IF($B97=GS$12,$O97,"")</f>
        <v/>
      </c>
      <c r="GT97" s="88" t="str">
        <f aca="false">IF($B97=GT$12,$O97,"")</f>
        <v/>
      </c>
      <c r="GU97" s="88" t="str">
        <f aca="false">IF($B97=GU$12,$O97,"")</f>
        <v/>
      </c>
      <c r="GV97" s="88" t="str">
        <f aca="false">IF($B97=GV$12,$O97,"")</f>
        <v/>
      </c>
      <c r="GW97" s="88" t="str">
        <f aca="false">IF($B97=GW$12,$O97,"")</f>
        <v/>
      </c>
      <c r="GX97" s="88" t="str">
        <f aca="false">IF($B97=GX$12,$O97,"")</f>
        <v/>
      </c>
      <c r="GY97" s="88" t="str">
        <f aca="false">IF($B97=GY$12,$O97,"")</f>
        <v/>
      </c>
      <c r="GZ97" s="88" t="str">
        <f aca="false">IF($B97=GZ$12,$O97,"")</f>
        <v/>
      </c>
      <c r="HA97" s="88" t="str">
        <f aca="false">IF($B97=HA$12,$O97,"")</f>
        <v/>
      </c>
      <c r="HB97" s="88" t="str">
        <f aca="false">IF($B97=HB$12,$O97,"")</f>
        <v/>
      </c>
      <c r="HC97" s="88" t="str">
        <f aca="false">IF($B97=HC$12,$O97,"")</f>
        <v/>
      </c>
      <c r="HD97" s="88" t="str">
        <f aca="false">IF($B97=HD$12,$O97,"")</f>
        <v/>
      </c>
      <c r="HE97" s="88" t="str">
        <f aca="false">IF($B97=HE$12,$O97,"")</f>
        <v/>
      </c>
      <c r="HF97" s="88" t="str">
        <f aca="false">IF($B97=HF$12,$O97,"")</f>
        <v/>
      </c>
      <c r="HG97" s="88" t="str">
        <f aca="false">IF($B97=HG$12,$O97,"")</f>
        <v/>
      </c>
      <c r="HH97" s="88" t="str">
        <f aca="false">IF($B97=HH$12,$O97,"")</f>
        <v/>
      </c>
      <c r="HI97" s="88" t="str">
        <f aca="false">IF($B97=HI$12,$O97,"")</f>
        <v/>
      </c>
      <c r="HJ97" s="88" t="str">
        <f aca="false">IF($B97=HJ$12,$O97,"")</f>
        <v/>
      </c>
      <c r="HK97" s="88" t="str">
        <f aca="false">IF($B97=HK$12,$O97,"")</f>
        <v/>
      </c>
      <c r="HL97" s="88" t="str">
        <f aca="false">IF($B97=HL$12,$O97,"")</f>
        <v/>
      </c>
      <c r="HM97" s="88" t="str">
        <f aca="false">IF($B97=HM$12,$O97,"")</f>
        <v/>
      </c>
      <c r="HN97" s="88" t="str">
        <f aca="false">IF($B97=HN$12,$O97,"")</f>
        <v/>
      </c>
      <c r="HO97" s="88" t="str">
        <f aca="false">IF($B97=HO$12,$O97,"")</f>
        <v/>
      </c>
      <c r="HP97" s="88" t="str">
        <f aca="false">IF($B97=HP$12,$O97,"")</f>
        <v/>
      </c>
      <c r="HQ97" s="88" t="str">
        <f aca="false">IF($B97=HQ$12,$O97,"")</f>
        <v/>
      </c>
      <c r="HR97" s="89" t="str">
        <f aca="false">IF($B97=HR$12,$O97,"")</f>
        <v/>
      </c>
    </row>
    <row r="98" customFormat="false" ht="10.5" hidden="false" customHeight="true" outlineLevel="0" collapsed="false">
      <c r="A98" s="73"/>
      <c r="B98" s="74"/>
      <c r="C98" s="75" t="str">
        <f aca="false">IF(A98=0,"",VLOOKUP(A98,[3]CO!$A$3:$F$5311,2,0))</f>
        <v/>
      </c>
      <c r="D98" s="76"/>
      <c r="E98" s="76"/>
      <c r="F98" s="76"/>
      <c r="G98" s="77" t="str">
        <f aca="false">IF(A98=0,"",VLOOKUP(A98,[3]CO!$A$3:$F$5311,3,0))</f>
        <v/>
      </c>
      <c r="H98" s="76"/>
      <c r="I98" s="78"/>
      <c r="J98" s="78"/>
      <c r="K98" s="78"/>
      <c r="L98" s="78"/>
      <c r="M98" s="79" t="str">
        <f aca="false">IF(L98=0,"",PRODUCT(I98:L98))</f>
        <v/>
      </c>
      <c r="N98" s="79" t="str">
        <f aca="false">IF(B98=0,"",IF(H98="M",HLOOKUP(B98,$Y$12:$DT$13,2),IF(A98=0,"",VLOOKUP(A98,[3]CO!$A$3:$F$5311,4,0))))</f>
        <v/>
      </c>
      <c r="O98" s="79" t="str">
        <f aca="false">IF(L98=0,"",PRODUCT(M98:N98))</f>
        <v/>
      </c>
      <c r="P98" s="80"/>
      <c r="Q98" s="81" t="str">
        <f aca="false">IF(P98=0,"",(HLOOKUP(P98,$DW$12:$HR$13,2)))</f>
        <v/>
      </c>
      <c r="R98" s="82" t="str">
        <f aca="false">IF(S98=0,"",IF(OR(G98="PEON",G98="OF",G98="JARD",G98="CARP",G98="MAESTRO",G98="SOLD",G98="BGRO",G98="CHOFER",G98="AYTE",G98="S.INTTE.",G98="ASEO",G98="P.PISOS",G98="VELADOR",G98="RESID",G98="PINTOR",G98="ELECT",G98="AZULE",G98="AUX CONT.",G98="SECRETARIA",G98="AUXILIAR ADMTVO.",G98="ARQUITECTO",G98="DIBUJANTE",G98="AUX. DE RESIDENTE"),VLOOKUP(B98,P$14:Q$131,2),"")*S98)</f>
        <v/>
      </c>
      <c r="S98" s="5"/>
      <c r="T98" s="65" t="str">
        <f aca="false">IF(A98=0,"",VLOOKUP(A98,[3]CO!$A$3:$F$5302,5,0))</f>
        <v/>
      </c>
      <c r="U98" s="55" t="n">
        <f aca="false">IF(T98=1,O98*0.1,)</f>
        <v>0</v>
      </c>
      <c r="V98" s="66"/>
      <c r="W98" s="83"/>
      <c r="X98" s="83"/>
      <c r="Y98" s="84" t="str">
        <f aca="false">IF($B98=Y$12,$U98,"")</f>
        <v/>
      </c>
      <c r="Z98" s="85" t="str">
        <f aca="false">IF($B98=Z$12,$U98,"")</f>
        <v/>
      </c>
      <c r="AA98" s="85" t="str">
        <f aca="false">IF($B98=AA$12,$U98,"")</f>
        <v/>
      </c>
      <c r="AB98" s="85" t="str">
        <f aca="false">IF($B98=AB$12,$U98,"")</f>
        <v/>
      </c>
      <c r="AC98" s="85" t="str">
        <f aca="false">IF($B98=AC$12,$U98,"")</f>
        <v/>
      </c>
      <c r="AD98" s="85" t="str">
        <f aca="false">IF($B98=AD$12,$U98,"")</f>
        <v/>
      </c>
      <c r="AE98" s="85" t="str">
        <f aca="false">IF($B98=AE$12,$U98,"")</f>
        <v/>
      </c>
      <c r="AF98" s="85" t="str">
        <f aca="false">IF($B98=AF$12,$U98,"")</f>
        <v/>
      </c>
      <c r="AG98" s="85" t="str">
        <f aca="false">IF($B98=AG$12,$U98,"")</f>
        <v/>
      </c>
      <c r="AH98" s="85" t="str">
        <f aca="false">IF($B98=AH$12,$U98,"")</f>
        <v/>
      </c>
      <c r="AI98" s="85" t="str">
        <f aca="false">IF($B98=AI$12,$U98,"")</f>
        <v/>
      </c>
      <c r="AJ98" s="85" t="str">
        <f aca="false">IF($B98=AJ$12,$U98,"")</f>
        <v/>
      </c>
      <c r="AK98" s="85" t="str">
        <f aca="false">IF($B98=AK$12,$U98,"")</f>
        <v/>
      </c>
      <c r="AL98" s="85" t="str">
        <f aca="false">IF($B98=AL$12,$U98,"")</f>
        <v/>
      </c>
      <c r="AM98" s="85" t="str">
        <f aca="false">IF($B98=AM$12,$U98,"")</f>
        <v/>
      </c>
      <c r="AN98" s="85" t="str">
        <f aca="false">IF($B98=AN$12,$U98,"")</f>
        <v/>
      </c>
      <c r="AO98" s="85" t="str">
        <f aca="false">IF($B98=AO$12,$U98,"")</f>
        <v/>
      </c>
      <c r="AP98" s="85" t="str">
        <f aca="false">IF($B98=AP$12,$U98,"")</f>
        <v/>
      </c>
      <c r="AQ98" s="85" t="str">
        <f aca="false">IF($B98=AQ$12,$U98,"")</f>
        <v/>
      </c>
      <c r="AR98" s="85" t="str">
        <f aca="false">IF($B98=AR$12,$U98,"")</f>
        <v/>
      </c>
      <c r="AS98" s="85" t="str">
        <f aca="false">IF($B98=AS$12,$U98,"")</f>
        <v/>
      </c>
      <c r="AT98" s="85" t="str">
        <f aca="false">IF($B98=AT$12,$U98,"")</f>
        <v/>
      </c>
      <c r="AU98" s="85" t="str">
        <f aca="false">IF($B98=AU$12,$U98,"")</f>
        <v/>
      </c>
      <c r="AV98" s="85" t="str">
        <f aca="false">IF($B98=AV$12,$U98,"")</f>
        <v/>
      </c>
      <c r="AW98" s="85" t="str">
        <f aca="false">IF($B98=AW$12,$U98,"")</f>
        <v/>
      </c>
      <c r="AX98" s="85" t="str">
        <f aca="false">IF($B98=AX$12,$U98,"")</f>
        <v/>
      </c>
      <c r="AY98" s="85" t="str">
        <f aca="false">IF($B98=AY$12,$U98,"")</f>
        <v/>
      </c>
      <c r="AZ98" s="85" t="str">
        <f aca="false">IF($B98=AZ$12,$U98,"")</f>
        <v/>
      </c>
      <c r="BA98" s="85" t="str">
        <f aca="false">IF($B98=BA$12,$U98,"")</f>
        <v/>
      </c>
      <c r="BB98" s="85" t="str">
        <f aca="false">IF($B98=BB$12,$U98,"")</f>
        <v/>
      </c>
      <c r="BC98" s="85" t="str">
        <f aca="false">IF($B98=BC$12,$U98,"")</f>
        <v/>
      </c>
      <c r="BD98" s="85" t="str">
        <f aca="false">IF($B98=BD$12,$U98,"")</f>
        <v/>
      </c>
      <c r="BE98" s="85" t="str">
        <f aca="false">IF($B98=BE$12,$U98,"")</f>
        <v/>
      </c>
      <c r="BF98" s="85" t="str">
        <f aca="false">IF($B98=BF$12,$U98,"")</f>
        <v/>
      </c>
      <c r="BG98" s="85" t="str">
        <f aca="false">IF($B98=BG$12,$U98,"")</f>
        <v/>
      </c>
      <c r="BH98" s="85" t="str">
        <f aca="false">IF($B98=BH$12,$U98,"")</f>
        <v/>
      </c>
      <c r="BI98" s="85" t="str">
        <f aca="false">IF($B98=BI$12,$U98,"")</f>
        <v/>
      </c>
      <c r="BJ98" s="85" t="str">
        <f aca="false">IF($B98=BJ$12,$U98,"")</f>
        <v/>
      </c>
      <c r="BK98" s="85" t="str">
        <f aca="false">IF($B98=BK$12,$U98,"")</f>
        <v/>
      </c>
      <c r="BL98" s="85" t="str">
        <f aca="false">IF($B98=BL$12,$U98,"")</f>
        <v/>
      </c>
      <c r="BM98" s="85" t="str">
        <f aca="false">IF($B98=BM$12,$U98,"")</f>
        <v/>
      </c>
      <c r="BN98" s="85" t="str">
        <f aca="false">IF($B98=BN$12,$U98,"")</f>
        <v/>
      </c>
      <c r="BO98" s="85" t="str">
        <f aca="false">IF($B98=BO$12,$U98,"")</f>
        <v/>
      </c>
      <c r="BP98" s="85" t="str">
        <f aca="false">IF($B98=BP$12,$U98,"")</f>
        <v/>
      </c>
      <c r="BQ98" s="85" t="str">
        <f aca="false">IF($B98=BQ$12,$U98,"")</f>
        <v/>
      </c>
      <c r="BR98" s="85" t="str">
        <f aca="false">IF($B98=BR$12,$U98,"")</f>
        <v/>
      </c>
      <c r="BS98" s="85" t="str">
        <f aca="false">IF($B98=BS$12,$U98,"")</f>
        <v/>
      </c>
      <c r="BT98" s="85" t="str">
        <f aca="false">IF($B98=BT$12,$U98,"")</f>
        <v/>
      </c>
      <c r="BU98" s="85" t="str">
        <f aca="false">IF($B98=BU$12,$U98,"")</f>
        <v/>
      </c>
      <c r="BV98" s="85" t="str">
        <f aca="false">IF($B98=BV$12,$U98,"")</f>
        <v/>
      </c>
      <c r="BW98" s="85" t="str">
        <f aca="false">IF($B98=BW$12,$U98,"")</f>
        <v/>
      </c>
      <c r="BX98" s="85" t="str">
        <f aca="false">IF($B98=BX$12,$U98,"")</f>
        <v/>
      </c>
      <c r="BY98" s="85" t="str">
        <f aca="false">IF($B98=BY$12,$U98,"")</f>
        <v/>
      </c>
      <c r="BZ98" s="85" t="str">
        <f aca="false">IF($B98=BZ$12,$U98,"")</f>
        <v/>
      </c>
      <c r="CA98" s="85" t="str">
        <f aca="false">IF($B98=CA$12,$U98,"")</f>
        <v/>
      </c>
      <c r="CB98" s="85" t="str">
        <f aca="false">IF($B98=CB$12,$U98,"")</f>
        <v/>
      </c>
      <c r="CC98" s="85" t="str">
        <f aca="false">IF($B98=CC$12,$U98,"")</f>
        <v/>
      </c>
      <c r="CD98" s="85" t="str">
        <f aca="false">IF($B98=CD$12,$U98,"")</f>
        <v/>
      </c>
      <c r="CE98" s="85" t="str">
        <f aca="false">IF($B98=CE$12,$U98,"")</f>
        <v/>
      </c>
      <c r="CF98" s="85" t="str">
        <f aca="false">IF($B98=CF$12,$U98,"")</f>
        <v/>
      </c>
      <c r="CG98" s="85" t="str">
        <f aca="false">IF($B98=CG$12,$U98,"")</f>
        <v/>
      </c>
      <c r="CH98" s="85" t="str">
        <f aca="false">IF($B98=CH$12,$U98,"")</f>
        <v/>
      </c>
      <c r="CI98" s="85" t="str">
        <f aca="false">IF($B98=CI$12,$U98,"")</f>
        <v/>
      </c>
      <c r="CJ98" s="85" t="str">
        <f aca="false">IF($B98=CJ$12,$U98,"")</f>
        <v/>
      </c>
      <c r="CK98" s="85" t="str">
        <f aca="false">IF($B98=CK$12,$U98,"")</f>
        <v/>
      </c>
      <c r="CL98" s="85" t="str">
        <f aca="false">IF($B98=CL$12,$U98,"")</f>
        <v/>
      </c>
      <c r="CM98" s="85" t="str">
        <f aca="false">IF($B98=CM$12,$U98,"")</f>
        <v/>
      </c>
      <c r="CN98" s="85" t="str">
        <f aca="false">IF($B98=CN$12,$U98,"")</f>
        <v/>
      </c>
      <c r="CO98" s="85" t="str">
        <f aca="false">IF($B98=CO$12,$U98,"")</f>
        <v/>
      </c>
      <c r="CP98" s="85" t="str">
        <f aca="false">IF($B98=CP$12,$U98,"")</f>
        <v/>
      </c>
      <c r="CQ98" s="85" t="str">
        <f aca="false">IF($B98=CQ$12,$U98,"")</f>
        <v/>
      </c>
      <c r="CR98" s="85" t="str">
        <f aca="false">IF($B98=CR$12,$U98,"")</f>
        <v/>
      </c>
      <c r="CS98" s="85" t="str">
        <f aca="false">IF($B98=CS$12,$U98,"")</f>
        <v/>
      </c>
      <c r="CT98" s="85" t="str">
        <f aca="false">IF($B98=CT$12,$U98,"")</f>
        <v/>
      </c>
      <c r="CU98" s="85" t="str">
        <f aca="false">IF($B98=CU$12,$U98,"")</f>
        <v/>
      </c>
      <c r="CV98" s="85" t="str">
        <f aca="false">IF($B98=CV$12,$U98,"")</f>
        <v/>
      </c>
      <c r="CW98" s="85" t="str">
        <f aca="false">IF($B98=CW$12,$U98,"")</f>
        <v/>
      </c>
      <c r="CX98" s="85" t="str">
        <f aca="false">IF($B98=CX$12,$U98,"")</f>
        <v/>
      </c>
      <c r="CY98" s="85" t="str">
        <f aca="false">IF($B98=CY$12,$U98,"")</f>
        <v/>
      </c>
      <c r="CZ98" s="85" t="str">
        <f aca="false">IF($B98=CZ$12,$U98,"")</f>
        <v/>
      </c>
      <c r="DA98" s="85" t="str">
        <f aca="false">IF($B98=DA$12,$U98,"")</f>
        <v/>
      </c>
      <c r="DB98" s="85" t="str">
        <f aca="false">IF($B98=DB$12,$U98,"")</f>
        <v/>
      </c>
      <c r="DC98" s="85" t="str">
        <f aca="false">IF($B98=DC$12,$U98,"")</f>
        <v/>
      </c>
      <c r="DD98" s="85" t="str">
        <f aca="false">IF($B98=DD$12,$U98,"")</f>
        <v/>
      </c>
      <c r="DE98" s="85" t="str">
        <f aca="false">IF($B98=DE$12,$U98,"")</f>
        <v/>
      </c>
      <c r="DF98" s="85" t="str">
        <f aca="false">IF($B98=DF$12,$U98,"")</f>
        <v/>
      </c>
      <c r="DG98" s="85" t="str">
        <f aca="false">IF($B98=DG$12,$U98,"")</f>
        <v/>
      </c>
      <c r="DH98" s="85" t="str">
        <f aca="false">IF($B98=DH$12,$U98,"")</f>
        <v/>
      </c>
      <c r="DI98" s="85" t="str">
        <f aca="false">IF($B98=DI$12,$U98,"")</f>
        <v/>
      </c>
      <c r="DJ98" s="85" t="str">
        <f aca="false">IF($B98=DJ$12,$U98,"")</f>
        <v/>
      </c>
      <c r="DK98" s="85" t="str">
        <f aca="false">IF($B98=DK$12,$U98,"")</f>
        <v/>
      </c>
      <c r="DL98" s="85" t="str">
        <f aca="false">IF($B98=DL$12,$U98,"")</f>
        <v/>
      </c>
      <c r="DM98" s="85" t="str">
        <f aca="false">IF($B98=DM$12,$U98,"")</f>
        <v/>
      </c>
      <c r="DN98" s="85" t="str">
        <f aca="false">IF($B98=DN$12,$U98,"")</f>
        <v/>
      </c>
      <c r="DO98" s="85" t="str">
        <f aca="false">IF($B98=DO$12,$U98,"")</f>
        <v/>
      </c>
      <c r="DP98" s="85" t="str">
        <f aca="false">IF($B98=DP$12,$U98,"")</f>
        <v/>
      </c>
      <c r="DQ98" s="85" t="str">
        <f aca="false">IF($B98=DQ$12,$U98,"")</f>
        <v/>
      </c>
      <c r="DR98" s="85" t="str">
        <f aca="false">IF($B98=DR$12,$U98,"")</f>
        <v/>
      </c>
      <c r="DS98" s="85" t="str">
        <f aca="false">IF($B98=DS$12,$U98,"")</f>
        <v/>
      </c>
      <c r="DT98" s="86" t="str">
        <f aca="false">IF($B98=DT$12,$U98,"")</f>
        <v/>
      </c>
      <c r="DU98" s="55"/>
      <c r="DV98" s="83"/>
      <c r="DW98" s="87" t="str">
        <f aca="false">IF($B98=DW$12,$O98,"")</f>
        <v/>
      </c>
      <c r="DX98" s="88" t="str">
        <f aca="false">IF($B98=DX$12,$O98,"")</f>
        <v/>
      </c>
      <c r="DY98" s="88" t="str">
        <f aca="false">IF($B98=DY$12,$O98,"")</f>
        <v/>
      </c>
      <c r="DZ98" s="88" t="str">
        <f aca="false">IF($B98=DZ$12,$O98,"")</f>
        <v/>
      </c>
      <c r="EA98" s="88" t="str">
        <f aca="false">IF($B98=EA$12,$O98,"")</f>
        <v/>
      </c>
      <c r="EB98" s="88" t="str">
        <f aca="false">IF($B98=EB$12,$O98,"")</f>
        <v/>
      </c>
      <c r="EC98" s="88" t="str">
        <f aca="false">IF($B98=EC$12,$O98,"")</f>
        <v/>
      </c>
      <c r="ED98" s="88" t="str">
        <f aca="false">IF($B98=ED$12,$O98,"")</f>
        <v/>
      </c>
      <c r="EE98" s="88" t="str">
        <f aca="false">IF($B98=EE$12,$O98,"")</f>
        <v/>
      </c>
      <c r="EF98" s="88" t="str">
        <f aca="false">IF($B98=EF$12,$O98,"")</f>
        <v/>
      </c>
      <c r="EG98" s="88" t="str">
        <f aca="false">IF($B98=EG$12,$O98,"")</f>
        <v/>
      </c>
      <c r="EH98" s="88" t="str">
        <f aca="false">IF($B98=EH$12,$O98,"")</f>
        <v/>
      </c>
      <c r="EI98" s="88" t="str">
        <f aca="false">IF($B98=EI$12,$O98,"")</f>
        <v/>
      </c>
      <c r="EJ98" s="88" t="str">
        <f aca="false">IF($B98=EJ$12,$O98,"")</f>
        <v/>
      </c>
      <c r="EK98" s="88" t="str">
        <f aca="false">IF($B98=EK$12,$O98,"")</f>
        <v/>
      </c>
      <c r="EL98" s="88" t="str">
        <f aca="false">IF($B98=EL$12,$O98,"")</f>
        <v/>
      </c>
      <c r="EM98" s="88" t="str">
        <f aca="false">IF($B98=EM$12,$O98,"")</f>
        <v/>
      </c>
      <c r="EN98" s="88" t="str">
        <f aca="false">IF($B98=EN$12,$O98,"")</f>
        <v/>
      </c>
      <c r="EO98" s="88" t="str">
        <f aca="false">IF($B98=EO$12,$O98,"")</f>
        <v/>
      </c>
      <c r="EP98" s="88" t="str">
        <f aca="false">IF($B98=EP$12,$O98,"")</f>
        <v/>
      </c>
      <c r="EQ98" s="88" t="str">
        <f aca="false">IF($B98=EQ$12,$O98,"")</f>
        <v/>
      </c>
      <c r="ER98" s="88" t="str">
        <f aca="false">IF($B98=ER$12,$O98,"")</f>
        <v/>
      </c>
      <c r="ES98" s="88" t="str">
        <f aca="false">IF($B98=ES$12,$O98,"")</f>
        <v/>
      </c>
      <c r="ET98" s="88" t="str">
        <f aca="false">IF($B98=ET$12,$O98,"")</f>
        <v/>
      </c>
      <c r="EU98" s="88" t="str">
        <f aca="false">IF($B98=EU$12,$O98,"")</f>
        <v/>
      </c>
      <c r="EV98" s="88" t="str">
        <f aca="false">IF($B98=EV$12,$O98,"")</f>
        <v/>
      </c>
      <c r="EW98" s="88" t="str">
        <f aca="false">IF($B98=EW$12,$O98,"")</f>
        <v/>
      </c>
      <c r="EX98" s="88" t="str">
        <f aca="false">IF($B98=EX$12,$O98,"")</f>
        <v/>
      </c>
      <c r="EY98" s="88" t="str">
        <f aca="false">IF($B98=EY$12,$O98,"")</f>
        <v/>
      </c>
      <c r="EZ98" s="88" t="str">
        <f aca="false">IF($B98=EZ$12,$O98,"")</f>
        <v/>
      </c>
      <c r="FA98" s="88" t="str">
        <f aca="false">IF($B98=FA$12,$O98,"")</f>
        <v/>
      </c>
      <c r="FB98" s="88" t="str">
        <f aca="false">IF($B98=FB$12,$O98,"")</f>
        <v/>
      </c>
      <c r="FC98" s="88" t="str">
        <f aca="false">IF($B98=FC$12,$O98,"")</f>
        <v/>
      </c>
      <c r="FD98" s="88" t="str">
        <f aca="false">IF($B98=FD$12,$O98,"")</f>
        <v/>
      </c>
      <c r="FE98" s="88" t="str">
        <f aca="false">IF($B98=FE$12,$O98,"")</f>
        <v/>
      </c>
      <c r="FF98" s="88" t="str">
        <f aca="false">IF($B98=FF$12,$O98,"")</f>
        <v/>
      </c>
      <c r="FG98" s="88" t="str">
        <f aca="false">IF($B98=FG$12,$O98,"")</f>
        <v/>
      </c>
      <c r="FH98" s="88" t="str">
        <f aca="false">IF($B98=FH$12,$O98,"")</f>
        <v/>
      </c>
      <c r="FI98" s="88" t="str">
        <f aca="false">IF($B98=FI$12,$O98,"")</f>
        <v/>
      </c>
      <c r="FJ98" s="88" t="str">
        <f aca="false">IF($B98=FJ$12,$O98,"")</f>
        <v/>
      </c>
      <c r="FK98" s="88" t="str">
        <f aca="false">IF($B98=FK$12,$O98,"")</f>
        <v/>
      </c>
      <c r="FL98" s="88" t="str">
        <f aca="false">IF($B98=FL$12,$O98,"")</f>
        <v/>
      </c>
      <c r="FM98" s="88" t="str">
        <f aca="false">IF($B98=FM$12,$O98,"")</f>
        <v/>
      </c>
      <c r="FN98" s="88" t="str">
        <f aca="false">IF($B98=FN$12,$O98,"")</f>
        <v/>
      </c>
      <c r="FO98" s="88" t="str">
        <f aca="false">IF($B98=FO$12,$O98,"")</f>
        <v/>
      </c>
      <c r="FP98" s="88" t="str">
        <f aca="false">IF($B98=FP$12,$O98,"")</f>
        <v/>
      </c>
      <c r="FQ98" s="88" t="str">
        <f aca="false">IF($B98=FQ$12,$O98,"")</f>
        <v/>
      </c>
      <c r="FR98" s="88" t="str">
        <f aca="false">IF($B98=FR$12,$O98,"")</f>
        <v/>
      </c>
      <c r="FS98" s="88" t="str">
        <f aca="false">IF($B98=FS$12,$O98,"")</f>
        <v/>
      </c>
      <c r="FT98" s="88" t="str">
        <f aca="false">IF($B98=FT$12,$O98,"")</f>
        <v/>
      </c>
      <c r="FU98" s="88" t="str">
        <f aca="false">IF($B98=FU$12,$O98,"")</f>
        <v/>
      </c>
      <c r="FV98" s="88" t="str">
        <f aca="false">IF($B98=FV$12,$O98,"")</f>
        <v/>
      </c>
      <c r="FW98" s="88" t="str">
        <f aca="false">IF($B98=FW$12,$O98,"")</f>
        <v/>
      </c>
      <c r="FX98" s="88" t="str">
        <f aca="false">IF($B98=FX$12,$O98,"")</f>
        <v/>
      </c>
      <c r="FY98" s="88" t="str">
        <f aca="false">IF($B98=FY$12,$O98,"")</f>
        <v/>
      </c>
      <c r="FZ98" s="88" t="str">
        <f aca="false">IF($B98=FZ$12,$O98,"")</f>
        <v/>
      </c>
      <c r="GA98" s="88" t="str">
        <f aca="false">IF($B98=GA$12,$O98,"")</f>
        <v/>
      </c>
      <c r="GB98" s="88" t="str">
        <f aca="false">IF($B98=GB$12,$O98,"")</f>
        <v/>
      </c>
      <c r="GC98" s="88" t="str">
        <f aca="false">IF($B98=GC$12,$O98,"")</f>
        <v/>
      </c>
      <c r="GD98" s="88" t="str">
        <f aca="false">IF($B98=GD$12,$O98,"")</f>
        <v/>
      </c>
      <c r="GE98" s="88" t="str">
        <f aca="false">IF($B98=GE$12,$O98,"")</f>
        <v/>
      </c>
      <c r="GF98" s="88" t="str">
        <f aca="false">IF($B98=GF$12,$O98,"")</f>
        <v/>
      </c>
      <c r="GG98" s="88" t="str">
        <f aca="false">IF($B98=GG$12,$O98,"")</f>
        <v/>
      </c>
      <c r="GH98" s="88" t="str">
        <f aca="false">IF($B98=GH$12,$O98,"")</f>
        <v/>
      </c>
      <c r="GI98" s="88" t="str">
        <f aca="false">IF($B98=GI$12,$O98,"")</f>
        <v/>
      </c>
      <c r="GJ98" s="88" t="str">
        <f aca="false">IF($B98=GJ$12,$O98,"")</f>
        <v/>
      </c>
      <c r="GK98" s="88" t="str">
        <f aca="false">IF($B98=GK$12,$O98,"")</f>
        <v/>
      </c>
      <c r="GL98" s="88" t="str">
        <f aca="false">IF($B98=GL$12,$O98,"")</f>
        <v/>
      </c>
      <c r="GM98" s="88" t="str">
        <f aca="false">IF($B98=GM$12,$O98,"")</f>
        <v/>
      </c>
      <c r="GN98" s="88" t="str">
        <f aca="false">IF($B98=GN$12,$O98,"")</f>
        <v/>
      </c>
      <c r="GO98" s="88" t="str">
        <f aca="false">IF($B98=GO$12,$O98,"")</f>
        <v/>
      </c>
      <c r="GP98" s="88" t="str">
        <f aca="false">IF($B98=GP$12,$O98,"")</f>
        <v/>
      </c>
      <c r="GQ98" s="88" t="str">
        <f aca="false">IF($B98=GQ$12,$O98,"")</f>
        <v/>
      </c>
      <c r="GR98" s="88" t="str">
        <f aca="false">IF($B98=GR$12,$O98,"")</f>
        <v/>
      </c>
      <c r="GS98" s="88" t="str">
        <f aca="false">IF($B98=GS$12,$O98,"")</f>
        <v/>
      </c>
      <c r="GT98" s="88" t="str">
        <f aca="false">IF($B98=GT$12,$O98,"")</f>
        <v/>
      </c>
      <c r="GU98" s="88" t="str">
        <f aca="false">IF($B98=GU$12,$O98,"")</f>
        <v/>
      </c>
      <c r="GV98" s="88" t="str">
        <f aca="false">IF($B98=GV$12,$O98,"")</f>
        <v/>
      </c>
      <c r="GW98" s="88" t="str">
        <f aca="false">IF($B98=GW$12,$O98,"")</f>
        <v/>
      </c>
      <c r="GX98" s="88" t="str">
        <f aca="false">IF($B98=GX$12,$O98,"")</f>
        <v/>
      </c>
      <c r="GY98" s="88" t="str">
        <f aca="false">IF($B98=GY$12,$O98,"")</f>
        <v/>
      </c>
      <c r="GZ98" s="88" t="str">
        <f aca="false">IF($B98=GZ$12,$O98,"")</f>
        <v/>
      </c>
      <c r="HA98" s="88" t="str">
        <f aca="false">IF($B98=HA$12,$O98,"")</f>
        <v/>
      </c>
      <c r="HB98" s="88" t="str">
        <f aca="false">IF($B98=HB$12,$O98,"")</f>
        <v/>
      </c>
      <c r="HC98" s="88" t="str">
        <f aca="false">IF($B98=HC$12,$O98,"")</f>
        <v/>
      </c>
      <c r="HD98" s="88" t="str">
        <f aca="false">IF($B98=HD$12,$O98,"")</f>
        <v/>
      </c>
      <c r="HE98" s="88" t="str">
        <f aca="false">IF($B98=HE$12,$O98,"")</f>
        <v/>
      </c>
      <c r="HF98" s="88" t="str">
        <f aca="false">IF($B98=HF$12,$O98,"")</f>
        <v/>
      </c>
      <c r="HG98" s="88" t="str">
        <f aca="false">IF($B98=HG$12,$O98,"")</f>
        <v/>
      </c>
      <c r="HH98" s="88" t="str">
        <f aca="false">IF($B98=HH$12,$O98,"")</f>
        <v/>
      </c>
      <c r="HI98" s="88" t="str">
        <f aca="false">IF($B98=HI$12,$O98,"")</f>
        <v/>
      </c>
      <c r="HJ98" s="88" t="str">
        <f aca="false">IF($B98=HJ$12,$O98,"")</f>
        <v/>
      </c>
      <c r="HK98" s="88" t="str">
        <f aca="false">IF($B98=HK$12,$O98,"")</f>
        <v/>
      </c>
      <c r="HL98" s="88" t="str">
        <f aca="false">IF($B98=HL$12,$O98,"")</f>
        <v/>
      </c>
      <c r="HM98" s="88" t="str">
        <f aca="false">IF($B98=HM$12,$O98,"")</f>
        <v/>
      </c>
      <c r="HN98" s="88" t="str">
        <f aca="false">IF($B98=HN$12,$O98,"")</f>
        <v/>
      </c>
      <c r="HO98" s="88" t="str">
        <f aca="false">IF($B98=HO$12,$O98,"")</f>
        <v/>
      </c>
      <c r="HP98" s="88" t="str">
        <f aca="false">IF($B98=HP$12,$O98,"")</f>
        <v/>
      </c>
      <c r="HQ98" s="88" t="str">
        <f aca="false">IF($B98=HQ$12,$O98,"")</f>
        <v/>
      </c>
      <c r="HR98" s="89" t="str">
        <f aca="false">IF($B98=HR$12,$O98,"")</f>
        <v/>
      </c>
    </row>
    <row r="99" customFormat="false" ht="10.5" hidden="false" customHeight="true" outlineLevel="0" collapsed="false">
      <c r="A99" s="73"/>
      <c r="B99" s="74"/>
      <c r="C99" s="75" t="str">
        <f aca="false">IF(A99=0,"",VLOOKUP(A99,[3]CO!$A$3:$F$5311,2,0))</f>
        <v/>
      </c>
      <c r="D99" s="76"/>
      <c r="E99" s="76"/>
      <c r="F99" s="76"/>
      <c r="G99" s="77" t="str">
        <f aca="false">IF(A99=0,"",VLOOKUP(A99,[3]CO!$A$3:$F$5311,3,0))</f>
        <v/>
      </c>
      <c r="H99" s="76"/>
      <c r="I99" s="78"/>
      <c r="J99" s="78"/>
      <c r="K99" s="78"/>
      <c r="L99" s="78"/>
      <c r="M99" s="79" t="str">
        <f aca="false">IF(L99=0,"",PRODUCT(I99:L99))</f>
        <v/>
      </c>
      <c r="N99" s="79" t="str">
        <f aca="false">IF(B99=0,"",IF(H99="M",HLOOKUP(B99,$Y$12:$DT$13,2),IF(A99=0,"",VLOOKUP(A99,[3]CO!$A$3:$F$5311,4,0))))</f>
        <v/>
      </c>
      <c r="O99" s="79" t="str">
        <f aca="false">IF(L99=0,"",PRODUCT(M99:N99))</f>
        <v/>
      </c>
      <c r="P99" s="80"/>
      <c r="Q99" s="81" t="str">
        <f aca="false">IF(P99=0,"",(HLOOKUP(P99,$DW$12:$HR$13,2)))</f>
        <v/>
      </c>
      <c r="R99" s="82" t="str">
        <f aca="false">IF(S99=0,"",IF(OR(G99="PEON",G99="OF",G99="JARD",G99="CARP",G99="MAESTRO",G99="SOLD",G99="BGRO",G99="CHOFER",G99="AYTE",G99="S.INTTE.",G99="ASEO",G99="P.PISOS",G99="VELADOR",G99="RESID",G99="PINTOR",G99="ELECT",G99="AZULE",G99="AUX CONT.",G99="SECRETARIA",G99="AUXILIAR ADMTVO.",G99="ARQUITECTO",G99="DIBUJANTE",G99="AUX. DE RESIDENTE"),VLOOKUP(B99,P$14:Q$131,2),"")*S99)</f>
        <v/>
      </c>
      <c r="S99" s="5"/>
      <c r="T99" s="65" t="str">
        <f aca="false">IF(A99=0,"",VLOOKUP(A99,[3]CO!$A$3:$F$5302,5,0))</f>
        <v/>
      </c>
      <c r="U99" s="55" t="n">
        <f aca="false">IF(T99=1,O99*0.1,)</f>
        <v>0</v>
      </c>
      <c r="V99" s="66"/>
      <c r="W99" s="83"/>
      <c r="X99" s="83"/>
      <c r="Y99" s="84" t="str">
        <f aca="false">IF($B99=Y$12,$U99,"")</f>
        <v/>
      </c>
      <c r="Z99" s="85" t="str">
        <f aca="false">IF($B99=Z$12,$U99,"")</f>
        <v/>
      </c>
      <c r="AA99" s="85" t="str">
        <f aca="false">IF($B99=AA$12,$U99,"")</f>
        <v/>
      </c>
      <c r="AB99" s="85" t="str">
        <f aca="false">IF($B99=AB$12,$U99,"")</f>
        <v/>
      </c>
      <c r="AC99" s="85" t="str">
        <f aca="false">IF($B99=AC$12,$U99,"")</f>
        <v/>
      </c>
      <c r="AD99" s="85" t="str">
        <f aca="false">IF($B99=AD$12,$U99,"")</f>
        <v/>
      </c>
      <c r="AE99" s="85" t="str">
        <f aca="false">IF($B99=AE$12,$U99,"")</f>
        <v/>
      </c>
      <c r="AF99" s="85" t="str">
        <f aca="false">IF($B99=AF$12,$U99,"")</f>
        <v/>
      </c>
      <c r="AG99" s="85" t="str">
        <f aca="false">IF($B99=AG$12,$U99,"")</f>
        <v/>
      </c>
      <c r="AH99" s="85" t="str">
        <f aca="false">IF($B99=AH$12,$U99,"")</f>
        <v/>
      </c>
      <c r="AI99" s="85" t="str">
        <f aca="false">IF($B99=AI$12,$U99,"")</f>
        <v/>
      </c>
      <c r="AJ99" s="85" t="str">
        <f aca="false">IF($B99=AJ$12,$U99,"")</f>
        <v/>
      </c>
      <c r="AK99" s="85" t="str">
        <f aca="false">IF($B99=AK$12,$U99,"")</f>
        <v/>
      </c>
      <c r="AL99" s="85" t="str">
        <f aca="false">IF($B99=AL$12,$U99,"")</f>
        <v/>
      </c>
      <c r="AM99" s="85" t="str">
        <f aca="false">IF($B99=AM$12,$U99,"")</f>
        <v/>
      </c>
      <c r="AN99" s="85" t="str">
        <f aca="false">IF($B99=AN$12,$U99,"")</f>
        <v/>
      </c>
      <c r="AO99" s="85" t="str">
        <f aca="false">IF($B99=AO$12,$U99,"")</f>
        <v/>
      </c>
      <c r="AP99" s="85" t="str">
        <f aca="false">IF($B99=AP$12,$U99,"")</f>
        <v/>
      </c>
      <c r="AQ99" s="85" t="str">
        <f aca="false">IF($B99=AQ$12,$U99,"")</f>
        <v/>
      </c>
      <c r="AR99" s="85" t="str">
        <f aca="false">IF($B99=AR$12,$U99,"")</f>
        <v/>
      </c>
      <c r="AS99" s="85" t="str">
        <f aca="false">IF($B99=AS$12,$U99,"")</f>
        <v/>
      </c>
      <c r="AT99" s="85" t="str">
        <f aca="false">IF($B99=AT$12,$U99,"")</f>
        <v/>
      </c>
      <c r="AU99" s="85" t="str">
        <f aca="false">IF($B99=AU$12,$U99,"")</f>
        <v/>
      </c>
      <c r="AV99" s="85" t="str">
        <f aca="false">IF($B99=AV$12,$U99,"")</f>
        <v/>
      </c>
      <c r="AW99" s="85" t="str">
        <f aca="false">IF($B99=AW$12,$U99,"")</f>
        <v/>
      </c>
      <c r="AX99" s="85" t="str">
        <f aca="false">IF($B99=AX$12,$U99,"")</f>
        <v/>
      </c>
      <c r="AY99" s="85" t="str">
        <f aca="false">IF($B99=AY$12,$U99,"")</f>
        <v/>
      </c>
      <c r="AZ99" s="85" t="str">
        <f aca="false">IF($B99=AZ$12,$U99,"")</f>
        <v/>
      </c>
      <c r="BA99" s="85" t="str">
        <f aca="false">IF($B99=BA$12,$U99,"")</f>
        <v/>
      </c>
      <c r="BB99" s="85" t="str">
        <f aca="false">IF($B99=BB$12,$U99,"")</f>
        <v/>
      </c>
      <c r="BC99" s="85" t="str">
        <f aca="false">IF($B99=BC$12,$U99,"")</f>
        <v/>
      </c>
      <c r="BD99" s="85" t="str">
        <f aca="false">IF($B99=BD$12,$U99,"")</f>
        <v/>
      </c>
      <c r="BE99" s="85" t="str">
        <f aca="false">IF($B99=BE$12,$U99,"")</f>
        <v/>
      </c>
      <c r="BF99" s="85" t="str">
        <f aca="false">IF($B99=BF$12,$U99,"")</f>
        <v/>
      </c>
      <c r="BG99" s="85" t="str">
        <f aca="false">IF($B99=BG$12,$U99,"")</f>
        <v/>
      </c>
      <c r="BH99" s="85" t="str">
        <f aca="false">IF($B99=BH$12,$U99,"")</f>
        <v/>
      </c>
      <c r="BI99" s="85" t="str">
        <f aca="false">IF($B99=BI$12,$U99,"")</f>
        <v/>
      </c>
      <c r="BJ99" s="85" t="str">
        <f aca="false">IF($B99=BJ$12,$U99,"")</f>
        <v/>
      </c>
      <c r="BK99" s="85" t="str">
        <f aca="false">IF($B99=BK$12,$U99,"")</f>
        <v/>
      </c>
      <c r="BL99" s="85" t="str">
        <f aca="false">IF($B99=BL$12,$U99,"")</f>
        <v/>
      </c>
      <c r="BM99" s="85" t="str">
        <f aca="false">IF($B99=BM$12,$U99,"")</f>
        <v/>
      </c>
      <c r="BN99" s="85" t="str">
        <f aca="false">IF($B99=BN$12,$U99,"")</f>
        <v/>
      </c>
      <c r="BO99" s="85" t="str">
        <f aca="false">IF($B99=BO$12,$U99,"")</f>
        <v/>
      </c>
      <c r="BP99" s="85" t="str">
        <f aca="false">IF($B99=BP$12,$U99,"")</f>
        <v/>
      </c>
      <c r="BQ99" s="85" t="str">
        <f aca="false">IF($B99=BQ$12,$U99,"")</f>
        <v/>
      </c>
      <c r="BR99" s="85" t="str">
        <f aca="false">IF($B99=BR$12,$U99,"")</f>
        <v/>
      </c>
      <c r="BS99" s="85" t="str">
        <f aca="false">IF($B99=BS$12,$U99,"")</f>
        <v/>
      </c>
      <c r="BT99" s="85" t="str">
        <f aca="false">IF($B99=BT$12,$U99,"")</f>
        <v/>
      </c>
      <c r="BU99" s="85" t="str">
        <f aca="false">IF($B99=BU$12,$U99,"")</f>
        <v/>
      </c>
      <c r="BV99" s="85" t="str">
        <f aca="false">IF($B99=BV$12,$U99,"")</f>
        <v/>
      </c>
      <c r="BW99" s="85" t="str">
        <f aca="false">IF($B99=BW$12,$U99,"")</f>
        <v/>
      </c>
      <c r="BX99" s="85" t="str">
        <f aca="false">IF($B99=BX$12,$U99,"")</f>
        <v/>
      </c>
      <c r="BY99" s="85" t="str">
        <f aca="false">IF($B99=BY$12,$U99,"")</f>
        <v/>
      </c>
      <c r="BZ99" s="85" t="str">
        <f aca="false">IF($B99=BZ$12,$U99,"")</f>
        <v/>
      </c>
      <c r="CA99" s="85" t="str">
        <f aca="false">IF($B99=CA$12,$U99,"")</f>
        <v/>
      </c>
      <c r="CB99" s="85" t="str">
        <f aca="false">IF($B99=CB$12,$U99,"")</f>
        <v/>
      </c>
      <c r="CC99" s="85" t="str">
        <f aca="false">IF($B99=CC$12,$U99,"")</f>
        <v/>
      </c>
      <c r="CD99" s="85" t="str">
        <f aca="false">IF($B99=CD$12,$U99,"")</f>
        <v/>
      </c>
      <c r="CE99" s="85" t="str">
        <f aca="false">IF($B99=CE$12,$U99,"")</f>
        <v/>
      </c>
      <c r="CF99" s="85" t="str">
        <f aca="false">IF($B99=CF$12,$U99,"")</f>
        <v/>
      </c>
      <c r="CG99" s="85" t="str">
        <f aca="false">IF($B99=CG$12,$U99,"")</f>
        <v/>
      </c>
      <c r="CH99" s="85" t="str">
        <f aca="false">IF($B99=CH$12,$U99,"")</f>
        <v/>
      </c>
      <c r="CI99" s="85" t="str">
        <f aca="false">IF($B99=CI$12,$U99,"")</f>
        <v/>
      </c>
      <c r="CJ99" s="85" t="str">
        <f aca="false">IF($B99=CJ$12,$U99,"")</f>
        <v/>
      </c>
      <c r="CK99" s="85" t="str">
        <f aca="false">IF($B99=CK$12,$U99,"")</f>
        <v/>
      </c>
      <c r="CL99" s="85" t="str">
        <f aca="false">IF($B99=CL$12,$U99,"")</f>
        <v/>
      </c>
      <c r="CM99" s="85" t="str">
        <f aca="false">IF($B99=CM$12,$U99,"")</f>
        <v/>
      </c>
      <c r="CN99" s="85" t="str">
        <f aca="false">IF($B99=CN$12,$U99,"")</f>
        <v/>
      </c>
      <c r="CO99" s="85" t="str">
        <f aca="false">IF($B99=CO$12,$U99,"")</f>
        <v/>
      </c>
      <c r="CP99" s="85" t="str">
        <f aca="false">IF($B99=CP$12,$U99,"")</f>
        <v/>
      </c>
      <c r="CQ99" s="85" t="str">
        <f aca="false">IF($B99=CQ$12,$U99,"")</f>
        <v/>
      </c>
      <c r="CR99" s="85" t="str">
        <f aca="false">IF($B99=CR$12,$U99,"")</f>
        <v/>
      </c>
      <c r="CS99" s="85" t="str">
        <f aca="false">IF($B99=CS$12,$U99,"")</f>
        <v/>
      </c>
      <c r="CT99" s="85" t="str">
        <f aca="false">IF($B99=CT$12,$U99,"")</f>
        <v/>
      </c>
      <c r="CU99" s="85" t="str">
        <f aca="false">IF($B99=CU$12,$U99,"")</f>
        <v/>
      </c>
      <c r="CV99" s="85" t="str">
        <f aca="false">IF($B99=CV$12,$U99,"")</f>
        <v/>
      </c>
      <c r="CW99" s="85" t="str">
        <f aca="false">IF($B99=CW$12,$U99,"")</f>
        <v/>
      </c>
      <c r="CX99" s="85" t="str">
        <f aca="false">IF($B99=CX$12,$U99,"")</f>
        <v/>
      </c>
      <c r="CY99" s="85" t="str">
        <f aca="false">IF($B99=CY$12,$U99,"")</f>
        <v/>
      </c>
      <c r="CZ99" s="85" t="str">
        <f aca="false">IF($B99=CZ$12,$U99,"")</f>
        <v/>
      </c>
      <c r="DA99" s="85" t="str">
        <f aca="false">IF($B99=DA$12,$U99,"")</f>
        <v/>
      </c>
      <c r="DB99" s="85" t="str">
        <f aca="false">IF($B99=DB$12,$U99,"")</f>
        <v/>
      </c>
      <c r="DC99" s="85" t="str">
        <f aca="false">IF($B99=DC$12,$U99,"")</f>
        <v/>
      </c>
      <c r="DD99" s="85" t="str">
        <f aca="false">IF($B99=DD$12,$U99,"")</f>
        <v/>
      </c>
      <c r="DE99" s="85" t="str">
        <f aca="false">IF($B99=DE$12,$U99,"")</f>
        <v/>
      </c>
      <c r="DF99" s="85" t="str">
        <f aca="false">IF($B99=DF$12,$U99,"")</f>
        <v/>
      </c>
      <c r="DG99" s="85" t="str">
        <f aca="false">IF($B99=DG$12,$U99,"")</f>
        <v/>
      </c>
      <c r="DH99" s="85" t="str">
        <f aca="false">IF($B99=DH$12,$U99,"")</f>
        <v/>
      </c>
      <c r="DI99" s="85" t="str">
        <f aca="false">IF($B99=DI$12,$U99,"")</f>
        <v/>
      </c>
      <c r="DJ99" s="85" t="str">
        <f aca="false">IF($B99=DJ$12,$U99,"")</f>
        <v/>
      </c>
      <c r="DK99" s="85" t="str">
        <f aca="false">IF($B99=DK$12,$U99,"")</f>
        <v/>
      </c>
      <c r="DL99" s="85" t="str">
        <f aca="false">IF($B99=DL$12,$U99,"")</f>
        <v/>
      </c>
      <c r="DM99" s="85" t="str">
        <f aca="false">IF($B99=DM$12,$U99,"")</f>
        <v/>
      </c>
      <c r="DN99" s="85" t="str">
        <f aca="false">IF($B99=DN$12,$U99,"")</f>
        <v/>
      </c>
      <c r="DO99" s="85" t="str">
        <f aca="false">IF($B99=DO$12,$U99,"")</f>
        <v/>
      </c>
      <c r="DP99" s="85" t="str">
        <f aca="false">IF($B99=DP$12,$U99,"")</f>
        <v/>
      </c>
      <c r="DQ99" s="85" t="str">
        <f aca="false">IF($B99=DQ$12,$U99,"")</f>
        <v/>
      </c>
      <c r="DR99" s="85" t="str">
        <f aca="false">IF($B99=DR$12,$U99,"")</f>
        <v/>
      </c>
      <c r="DS99" s="85" t="str">
        <f aca="false">IF($B99=DS$12,$U99,"")</f>
        <v/>
      </c>
      <c r="DT99" s="86" t="str">
        <f aca="false">IF($B99=DT$12,$U99,"")</f>
        <v/>
      </c>
      <c r="DU99" s="55"/>
      <c r="DV99" s="83"/>
      <c r="DW99" s="87" t="str">
        <f aca="false">IF($B99=DW$12,$O99,"")</f>
        <v/>
      </c>
      <c r="DX99" s="88" t="str">
        <f aca="false">IF($B99=DX$12,$O99,"")</f>
        <v/>
      </c>
      <c r="DY99" s="88" t="str">
        <f aca="false">IF($B99=DY$12,$O99,"")</f>
        <v/>
      </c>
      <c r="DZ99" s="88" t="str">
        <f aca="false">IF($B99=DZ$12,$O99,"")</f>
        <v/>
      </c>
      <c r="EA99" s="88" t="str">
        <f aca="false">IF($B99=EA$12,$O99,"")</f>
        <v/>
      </c>
      <c r="EB99" s="88" t="str">
        <f aca="false">IF($B99=EB$12,$O99,"")</f>
        <v/>
      </c>
      <c r="EC99" s="88" t="str">
        <f aca="false">IF($B99=EC$12,$O99,"")</f>
        <v/>
      </c>
      <c r="ED99" s="88" t="str">
        <f aca="false">IF($B99=ED$12,$O99,"")</f>
        <v/>
      </c>
      <c r="EE99" s="88" t="str">
        <f aca="false">IF($B99=EE$12,$O99,"")</f>
        <v/>
      </c>
      <c r="EF99" s="88" t="str">
        <f aca="false">IF($B99=EF$12,$O99,"")</f>
        <v/>
      </c>
      <c r="EG99" s="88" t="str">
        <f aca="false">IF($B99=EG$12,$O99,"")</f>
        <v/>
      </c>
      <c r="EH99" s="88" t="str">
        <f aca="false">IF($B99=EH$12,$O99,"")</f>
        <v/>
      </c>
      <c r="EI99" s="88" t="str">
        <f aca="false">IF($B99=EI$12,$O99,"")</f>
        <v/>
      </c>
      <c r="EJ99" s="88" t="str">
        <f aca="false">IF($B99=EJ$12,$O99,"")</f>
        <v/>
      </c>
      <c r="EK99" s="88" t="str">
        <f aca="false">IF($B99=EK$12,$O99,"")</f>
        <v/>
      </c>
      <c r="EL99" s="88" t="str">
        <f aca="false">IF($B99=EL$12,$O99,"")</f>
        <v/>
      </c>
      <c r="EM99" s="88" t="str">
        <f aca="false">IF($B99=EM$12,$O99,"")</f>
        <v/>
      </c>
      <c r="EN99" s="88" t="str">
        <f aca="false">IF($B99=EN$12,$O99,"")</f>
        <v/>
      </c>
      <c r="EO99" s="88" t="str">
        <f aca="false">IF($B99=EO$12,$O99,"")</f>
        <v/>
      </c>
      <c r="EP99" s="88" t="str">
        <f aca="false">IF($B99=EP$12,$O99,"")</f>
        <v/>
      </c>
      <c r="EQ99" s="88" t="str">
        <f aca="false">IF($B99=EQ$12,$O99,"")</f>
        <v/>
      </c>
      <c r="ER99" s="88" t="str">
        <f aca="false">IF($B99=ER$12,$O99,"")</f>
        <v/>
      </c>
      <c r="ES99" s="88" t="str">
        <f aca="false">IF($B99=ES$12,$O99,"")</f>
        <v/>
      </c>
      <c r="ET99" s="88" t="str">
        <f aca="false">IF($B99=ET$12,$O99,"")</f>
        <v/>
      </c>
      <c r="EU99" s="88" t="str">
        <f aca="false">IF($B99=EU$12,$O99,"")</f>
        <v/>
      </c>
      <c r="EV99" s="88" t="str">
        <f aca="false">IF($B99=EV$12,$O99,"")</f>
        <v/>
      </c>
      <c r="EW99" s="88" t="str">
        <f aca="false">IF($B99=EW$12,$O99,"")</f>
        <v/>
      </c>
      <c r="EX99" s="88" t="str">
        <f aca="false">IF($B99=EX$12,$O99,"")</f>
        <v/>
      </c>
      <c r="EY99" s="88" t="str">
        <f aca="false">IF($B99=EY$12,$O99,"")</f>
        <v/>
      </c>
      <c r="EZ99" s="88" t="str">
        <f aca="false">IF($B99=EZ$12,$O99,"")</f>
        <v/>
      </c>
      <c r="FA99" s="88" t="str">
        <f aca="false">IF($B99=FA$12,$O99,"")</f>
        <v/>
      </c>
      <c r="FB99" s="88" t="str">
        <f aca="false">IF($B99=FB$12,$O99,"")</f>
        <v/>
      </c>
      <c r="FC99" s="88" t="str">
        <f aca="false">IF($B99=FC$12,$O99,"")</f>
        <v/>
      </c>
      <c r="FD99" s="88" t="str">
        <f aca="false">IF($B99=FD$12,$O99,"")</f>
        <v/>
      </c>
      <c r="FE99" s="88" t="str">
        <f aca="false">IF($B99=FE$12,$O99,"")</f>
        <v/>
      </c>
      <c r="FF99" s="88" t="str">
        <f aca="false">IF($B99=FF$12,$O99,"")</f>
        <v/>
      </c>
      <c r="FG99" s="88" t="str">
        <f aca="false">IF($B99=FG$12,$O99,"")</f>
        <v/>
      </c>
      <c r="FH99" s="88" t="str">
        <f aca="false">IF($B99=FH$12,$O99,"")</f>
        <v/>
      </c>
      <c r="FI99" s="88" t="str">
        <f aca="false">IF($B99=FI$12,$O99,"")</f>
        <v/>
      </c>
      <c r="FJ99" s="88" t="str">
        <f aca="false">IF($B99=FJ$12,$O99,"")</f>
        <v/>
      </c>
      <c r="FK99" s="88" t="str">
        <f aca="false">IF($B99=FK$12,$O99,"")</f>
        <v/>
      </c>
      <c r="FL99" s="88" t="str">
        <f aca="false">IF($B99=FL$12,$O99,"")</f>
        <v/>
      </c>
      <c r="FM99" s="88" t="str">
        <f aca="false">IF($B99=FM$12,$O99,"")</f>
        <v/>
      </c>
      <c r="FN99" s="88" t="str">
        <f aca="false">IF($B99=FN$12,$O99,"")</f>
        <v/>
      </c>
      <c r="FO99" s="88" t="str">
        <f aca="false">IF($B99=FO$12,$O99,"")</f>
        <v/>
      </c>
      <c r="FP99" s="88" t="str">
        <f aca="false">IF($B99=FP$12,$O99,"")</f>
        <v/>
      </c>
      <c r="FQ99" s="88" t="str">
        <f aca="false">IF($B99=FQ$12,$O99,"")</f>
        <v/>
      </c>
      <c r="FR99" s="88" t="str">
        <f aca="false">IF($B99=FR$12,$O99,"")</f>
        <v/>
      </c>
      <c r="FS99" s="88" t="str">
        <f aca="false">IF($B99=FS$12,$O99,"")</f>
        <v/>
      </c>
      <c r="FT99" s="88" t="str">
        <f aca="false">IF($B99=FT$12,$O99,"")</f>
        <v/>
      </c>
      <c r="FU99" s="88" t="str">
        <f aca="false">IF($B99=FU$12,$O99,"")</f>
        <v/>
      </c>
      <c r="FV99" s="88" t="str">
        <f aca="false">IF($B99=FV$12,$O99,"")</f>
        <v/>
      </c>
      <c r="FW99" s="88" t="str">
        <f aca="false">IF($B99=FW$12,$O99,"")</f>
        <v/>
      </c>
      <c r="FX99" s="88" t="str">
        <f aca="false">IF($B99=FX$12,$O99,"")</f>
        <v/>
      </c>
      <c r="FY99" s="88" t="str">
        <f aca="false">IF($B99=FY$12,$O99,"")</f>
        <v/>
      </c>
      <c r="FZ99" s="88" t="str">
        <f aca="false">IF($B99=FZ$12,$O99,"")</f>
        <v/>
      </c>
      <c r="GA99" s="88" t="str">
        <f aca="false">IF($B99=GA$12,$O99,"")</f>
        <v/>
      </c>
      <c r="GB99" s="88" t="str">
        <f aca="false">IF($B99=GB$12,$O99,"")</f>
        <v/>
      </c>
      <c r="GC99" s="88" t="str">
        <f aca="false">IF($B99=GC$12,$O99,"")</f>
        <v/>
      </c>
      <c r="GD99" s="88" t="str">
        <f aca="false">IF($B99=GD$12,$O99,"")</f>
        <v/>
      </c>
      <c r="GE99" s="88" t="str">
        <f aca="false">IF($B99=GE$12,$O99,"")</f>
        <v/>
      </c>
      <c r="GF99" s="88" t="str">
        <f aca="false">IF($B99=GF$12,$O99,"")</f>
        <v/>
      </c>
      <c r="GG99" s="88" t="str">
        <f aca="false">IF($B99=GG$12,$O99,"")</f>
        <v/>
      </c>
      <c r="GH99" s="88" t="str">
        <f aca="false">IF($B99=GH$12,$O99,"")</f>
        <v/>
      </c>
      <c r="GI99" s="88" t="str">
        <f aca="false">IF($B99=GI$12,$O99,"")</f>
        <v/>
      </c>
      <c r="GJ99" s="88" t="str">
        <f aca="false">IF($B99=GJ$12,$O99,"")</f>
        <v/>
      </c>
      <c r="GK99" s="88" t="str">
        <f aca="false">IF($B99=GK$12,$O99,"")</f>
        <v/>
      </c>
      <c r="GL99" s="88" t="str">
        <f aca="false">IF($B99=GL$12,$O99,"")</f>
        <v/>
      </c>
      <c r="GM99" s="88" t="str">
        <f aca="false">IF($B99=GM$12,$O99,"")</f>
        <v/>
      </c>
      <c r="GN99" s="88" t="str">
        <f aca="false">IF($B99=GN$12,$O99,"")</f>
        <v/>
      </c>
      <c r="GO99" s="88" t="str">
        <f aca="false">IF($B99=GO$12,$O99,"")</f>
        <v/>
      </c>
      <c r="GP99" s="88" t="str">
        <f aca="false">IF($B99=GP$12,$O99,"")</f>
        <v/>
      </c>
      <c r="GQ99" s="88" t="str">
        <f aca="false">IF($B99=GQ$12,$O99,"")</f>
        <v/>
      </c>
      <c r="GR99" s="88" t="str">
        <f aca="false">IF($B99=GR$12,$O99,"")</f>
        <v/>
      </c>
      <c r="GS99" s="88" t="str">
        <f aca="false">IF($B99=GS$12,$O99,"")</f>
        <v/>
      </c>
      <c r="GT99" s="88" t="str">
        <f aca="false">IF($B99=GT$12,$O99,"")</f>
        <v/>
      </c>
      <c r="GU99" s="88" t="str">
        <f aca="false">IF($B99=GU$12,$O99,"")</f>
        <v/>
      </c>
      <c r="GV99" s="88" t="str">
        <f aca="false">IF($B99=GV$12,$O99,"")</f>
        <v/>
      </c>
      <c r="GW99" s="88" t="str">
        <f aca="false">IF($B99=GW$12,$O99,"")</f>
        <v/>
      </c>
      <c r="GX99" s="88" t="str">
        <f aca="false">IF($B99=GX$12,$O99,"")</f>
        <v/>
      </c>
      <c r="GY99" s="88" t="str">
        <f aca="false">IF($B99=GY$12,$O99,"")</f>
        <v/>
      </c>
      <c r="GZ99" s="88" t="str">
        <f aca="false">IF($B99=GZ$12,$O99,"")</f>
        <v/>
      </c>
      <c r="HA99" s="88" t="str">
        <f aca="false">IF($B99=HA$12,$O99,"")</f>
        <v/>
      </c>
      <c r="HB99" s="88" t="str">
        <f aca="false">IF($B99=HB$12,$O99,"")</f>
        <v/>
      </c>
      <c r="HC99" s="88" t="str">
        <f aca="false">IF($B99=HC$12,$O99,"")</f>
        <v/>
      </c>
      <c r="HD99" s="88" t="str">
        <f aca="false">IF($B99=HD$12,$O99,"")</f>
        <v/>
      </c>
      <c r="HE99" s="88" t="str">
        <f aca="false">IF($B99=HE$12,$O99,"")</f>
        <v/>
      </c>
      <c r="HF99" s="88" t="str">
        <f aca="false">IF($B99=HF$12,$O99,"")</f>
        <v/>
      </c>
      <c r="HG99" s="88" t="str">
        <f aca="false">IF($B99=HG$12,$O99,"")</f>
        <v/>
      </c>
      <c r="HH99" s="88" t="str">
        <f aca="false">IF($B99=HH$12,$O99,"")</f>
        <v/>
      </c>
      <c r="HI99" s="88" t="str">
        <f aca="false">IF($B99=HI$12,$O99,"")</f>
        <v/>
      </c>
      <c r="HJ99" s="88" t="str">
        <f aca="false">IF($B99=HJ$12,$O99,"")</f>
        <v/>
      </c>
      <c r="HK99" s="88" t="str">
        <f aca="false">IF($B99=HK$12,$O99,"")</f>
        <v/>
      </c>
      <c r="HL99" s="88" t="str">
        <f aca="false">IF($B99=HL$12,$O99,"")</f>
        <v/>
      </c>
      <c r="HM99" s="88" t="str">
        <f aca="false">IF($B99=HM$12,$O99,"")</f>
        <v/>
      </c>
      <c r="HN99" s="88" t="str">
        <f aca="false">IF($B99=HN$12,$O99,"")</f>
        <v/>
      </c>
      <c r="HO99" s="88" t="str">
        <f aca="false">IF($B99=HO$12,$O99,"")</f>
        <v/>
      </c>
      <c r="HP99" s="88" t="str">
        <f aca="false">IF($B99=HP$12,$O99,"")</f>
        <v/>
      </c>
      <c r="HQ99" s="88" t="str">
        <f aca="false">IF($B99=HQ$12,$O99,"")</f>
        <v/>
      </c>
      <c r="HR99" s="89" t="str">
        <f aca="false">IF($B99=HR$12,$O99,"")</f>
        <v/>
      </c>
    </row>
    <row r="100" customFormat="false" ht="10.5" hidden="false" customHeight="true" outlineLevel="0" collapsed="false">
      <c r="A100" s="73"/>
      <c r="B100" s="74"/>
      <c r="C100" s="75" t="str">
        <f aca="false">IF(A100=0,"",VLOOKUP(A100,[3]CO!$A$3:$F$5311,2,0))</f>
        <v/>
      </c>
      <c r="D100" s="76"/>
      <c r="E100" s="76"/>
      <c r="F100" s="76"/>
      <c r="G100" s="77" t="str">
        <f aca="false">IF(A100=0,"",VLOOKUP(A100,[3]CO!$A$3:$F$5311,3,0))</f>
        <v/>
      </c>
      <c r="H100" s="76"/>
      <c r="I100" s="78"/>
      <c r="J100" s="78"/>
      <c r="K100" s="78"/>
      <c r="L100" s="78"/>
      <c r="M100" s="79" t="str">
        <f aca="false">IF(L100=0,"",PRODUCT(I100:L100))</f>
        <v/>
      </c>
      <c r="N100" s="79" t="str">
        <f aca="false">IF(B100=0,"",IF(H100="M",HLOOKUP(B100,$Y$12:$DT$13,2),IF(A100=0,"",VLOOKUP(A100,[3]CO!$A$3:$F$5311,4,0))))</f>
        <v/>
      </c>
      <c r="O100" s="79" t="str">
        <f aca="false">IF(L100=0,"",PRODUCT(M100:N100))</f>
        <v/>
      </c>
      <c r="P100" s="80"/>
      <c r="Q100" s="81" t="str">
        <f aca="false">IF(P100=0,"",(HLOOKUP(P100,$DW$12:$HR$13,2)))</f>
        <v/>
      </c>
      <c r="R100" s="82" t="str">
        <f aca="false">IF(S100=0,"",IF(OR(G100="PEON",G100="OF",G100="JARD",G100="CARP",G100="MAESTRO",G100="SOLD",G100="BGRO",G100="CHOFER",G100="AYTE",G100="S.INTTE.",G100="ASEO",G100="P.PISOS",G100="VELADOR",G100="RESID",G100="PINTOR",G100="ELECT",G100="AZULE",G100="AUX CONT.",G100="SECRETARIA",G100="AUXILIAR ADMTVO.",G100="ARQUITECTO",G100="DIBUJANTE",G100="AUX. DE RESIDENTE"),VLOOKUP(B100,P$14:Q$131,2),"")*S100)</f>
        <v/>
      </c>
      <c r="S100" s="5"/>
      <c r="T100" s="65" t="str">
        <f aca="false">IF(A100=0,"",VLOOKUP(A100,[3]CO!$A$3:$F$5302,5,0))</f>
        <v/>
      </c>
      <c r="U100" s="55" t="n">
        <f aca="false">IF(T100=1,O100*0.1,)</f>
        <v>0</v>
      </c>
      <c r="V100" s="66"/>
      <c r="W100" s="83"/>
      <c r="X100" s="83"/>
      <c r="Y100" s="84" t="str">
        <f aca="false">IF($B100=Y$12,$U100,"")</f>
        <v/>
      </c>
      <c r="Z100" s="85" t="str">
        <f aca="false">IF($B100=Z$12,$U100,"")</f>
        <v/>
      </c>
      <c r="AA100" s="85" t="str">
        <f aca="false">IF($B100=AA$12,$U100,"")</f>
        <v/>
      </c>
      <c r="AB100" s="85" t="str">
        <f aca="false">IF($B100=AB$12,$U100,"")</f>
        <v/>
      </c>
      <c r="AC100" s="85" t="str">
        <f aca="false">IF($B100=AC$12,$U100,"")</f>
        <v/>
      </c>
      <c r="AD100" s="85" t="str">
        <f aca="false">IF($B100=AD$12,$U100,"")</f>
        <v/>
      </c>
      <c r="AE100" s="85" t="str">
        <f aca="false">IF($B100=AE$12,$U100,"")</f>
        <v/>
      </c>
      <c r="AF100" s="85" t="str">
        <f aca="false">IF($B100=AF$12,$U100,"")</f>
        <v/>
      </c>
      <c r="AG100" s="85" t="str">
        <f aca="false">IF($B100=AG$12,$U100,"")</f>
        <v/>
      </c>
      <c r="AH100" s="85" t="str">
        <f aca="false">IF($B100=AH$12,$U100,"")</f>
        <v/>
      </c>
      <c r="AI100" s="85" t="str">
        <f aca="false">IF($B100=AI$12,$U100,"")</f>
        <v/>
      </c>
      <c r="AJ100" s="85" t="str">
        <f aca="false">IF($B100=AJ$12,$U100,"")</f>
        <v/>
      </c>
      <c r="AK100" s="85" t="str">
        <f aca="false">IF($B100=AK$12,$U100,"")</f>
        <v/>
      </c>
      <c r="AL100" s="85" t="str">
        <f aca="false">IF($B100=AL$12,$U100,"")</f>
        <v/>
      </c>
      <c r="AM100" s="85" t="str">
        <f aca="false">IF($B100=AM$12,$U100,"")</f>
        <v/>
      </c>
      <c r="AN100" s="85" t="str">
        <f aca="false">IF($B100=AN$12,$U100,"")</f>
        <v/>
      </c>
      <c r="AO100" s="85" t="str">
        <f aca="false">IF($B100=AO$12,$U100,"")</f>
        <v/>
      </c>
      <c r="AP100" s="85" t="str">
        <f aca="false">IF($B100=AP$12,$U100,"")</f>
        <v/>
      </c>
      <c r="AQ100" s="85" t="str">
        <f aca="false">IF($B100=AQ$12,$U100,"")</f>
        <v/>
      </c>
      <c r="AR100" s="85" t="str">
        <f aca="false">IF($B100=AR$12,$U100,"")</f>
        <v/>
      </c>
      <c r="AS100" s="85" t="str">
        <f aca="false">IF($B100=AS$12,$U100,"")</f>
        <v/>
      </c>
      <c r="AT100" s="85" t="str">
        <f aca="false">IF($B100=AT$12,$U100,"")</f>
        <v/>
      </c>
      <c r="AU100" s="85" t="str">
        <f aca="false">IF($B100=AU$12,$U100,"")</f>
        <v/>
      </c>
      <c r="AV100" s="85" t="str">
        <f aca="false">IF($B100=AV$12,$U100,"")</f>
        <v/>
      </c>
      <c r="AW100" s="85" t="str">
        <f aca="false">IF($B100=AW$12,$U100,"")</f>
        <v/>
      </c>
      <c r="AX100" s="85" t="str">
        <f aca="false">IF($B100=AX$12,$U100,"")</f>
        <v/>
      </c>
      <c r="AY100" s="85" t="str">
        <f aca="false">IF($B100=AY$12,$U100,"")</f>
        <v/>
      </c>
      <c r="AZ100" s="85" t="str">
        <f aca="false">IF($B100=AZ$12,$U100,"")</f>
        <v/>
      </c>
      <c r="BA100" s="85" t="str">
        <f aca="false">IF($B100=BA$12,$U100,"")</f>
        <v/>
      </c>
      <c r="BB100" s="85" t="str">
        <f aca="false">IF($B100=BB$12,$U100,"")</f>
        <v/>
      </c>
      <c r="BC100" s="85" t="str">
        <f aca="false">IF($B100=BC$12,$U100,"")</f>
        <v/>
      </c>
      <c r="BD100" s="85" t="str">
        <f aca="false">IF($B100=BD$12,$U100,"")</f>
        <v/>
      </c>
      <c r="BE100" s="85" t="str">
        <f aca="false">IF($B100=BE$12,$U100,"")</f>
        <v/>
      </c>
      <c r="BF100" s="85" t="str">
        <f aca="false">IF($B100=BF$12,$U100,"")</f>
        <v/>
      </c>
      <c r="BG100" s="85" t="str">
        <f aca="false">IF($B100=BG$12,$U100,"")</f>
        <v/>
      </c>
      <c r="BH100" s="85" t="str">
        <f aca="false">IF($B100=BH$12,$U100,"")</f>
        <v/>
      </c>
      <c r="BI100" s="85" t="str">
        <f aca="false">IF($B100=BI$12,$U100,"")</f>
        <v/>
      </c>
      <c r="BJ100" s="85" t="str">
        <f aca="false">IF($B100=BJ$12,$U100,"")</f>
        <v/>
      </c>
      <c r="BK100" s="85" t="str">
        <f aca="false">IF($B100=BK$12,$U100,"")</f>
        <v/>
      </c>
      <c r="BL100" s="85" t="str">
        <f aca="false">IF($B100=BL$12,$U100,"")</f>
        <v/>
      </c>
      <c r="BM100" s="85" t="str">
        <f aca="false">IF($B100=BM$12,$U100,"")</f>
        <v/>
      </c>
      <c r="BN100" s="85" t="str">
        <f aca="false">IF($B100=BN$12,$U100,"")</f>
        <v/>
      </c>
      <c r="BO100" s="85" t="str">
        <f aca="false">IF($B100=BO$12,$U100,"")</f>
        <v/>
      </c>
      <c r="BP100" s="85" t="str">
        <f aca="false">IF($B100=BP$12,$U100,"")</f>
        <v/>
      </c>
      <c r="BQ100" s="85" t="str">
        <f aca="false">IF($B100=BQ$12,$U100,"")</f>
        <v/>
      </c>
      <c r="BR100" s="85" t="str">
        <f aca="false">IF($B100=BR$12,$U100,"")</f>
        <v/>
      </c>
      <c r="BS100" s="85" t="str">
        <f aca="false">IF($B100=BS$12,$U100,"")</f>
        <v/>
      </c>
      <c r="BT100" s="85" t="str">
        <f aca="false">IF($B100=BT$12,$U100,"")</f>
        <v/>
      </c>
      <c r="BU100" s="85" t="str">
        <f aca="false">IF($B100=BU$12,$U100,"")</f>
        <v/>
      </c>
      <c r="BV100" s="85" t="str">
        <f aca="false">IF($B100=BV$12,$U100,"")</f>
        <v/>
      </c>
      <c r="BW100" s="85" t="str">
        <f aca="false">IF($B100=BW$12,$U100,"")</f>
        <v/>
      </c>
      <c r="BX100" s="85" t="str">
        <f aca="false">IF($B100=BX$12,$U100,"")</f>
        <v/>
      </c>
      <c r="BY100" s="85" t="str">
        <f aca="false">IF($B100=BY$12,$U100,"")</f>
        <v/>
      </c>
      <c r="BZ100" s="85" t="str">
        <f aca="false">IF($B100=BZ$12,$U100,"")</f>
        <v/>
      </c>
      <c r="CA100" s="85" t="str">
        <f aca="false">IF($B100=CA$12,$U100,"")</f>
        <v/>
      </c>
      <c r="CB100" s="85" t="str">
        <f aca="false">IF($B100=CB$12,$U100,"")</f>
        <v/>
      </c>
      <c r="CC100" s="85" t="str">
        <f aca="false">IF($B100=CC$12,$U100,"")</f>
        <v/>
      </c>
      <c r="CD100" s="85" t="str">
        <f aca="false">IF($B100=CD$12,$U100,"")</f>
        <v/>
      </c>
      <c r="CE100" s="85" t="str">
        <f aca="false">IF($B100=CE$12,$U100,"")</f>
        <v/>
      </c>
      <c r="CF100" s="85" t="str">
        <f aca="false">IF($B100=CF$12,$U100,"")</f>
        <v/>
      </c>
      <c r="CG100" s="85" t="str">
        <f aca="false">IF($B100=CG$12,$U100,"")</f>
        <v/>
      </c>
      <c r="CH100" s="85" t="str">
        <f aca="false">IF($B100=CH$12,$U100,"")</f>
        <v/>
      </c>
      <c r="CI100" s="85" t="str">
        <f aca="false">IF($B100=CI$12,$U100,"")</f>
        <v/>
      </c>
      <c r="CJ100" s="85" t="str">
        <f aca="false">IF($B100=CJ$12,$U100,"")</f>
        <v/>
      </c>
      <c r="CK100" s="85" t="str">
        <f aca="false">IF($B100=CK$12,$U100,"")</f>
        <v/>
      </c>
      <c r="CL100" s="85" t="str">
        <f aca="false">IF($B100=CL$12,$U100,"")</f>
        <v/>
      </c>
      <c r="CM100" s="85" t="str">
        <f aca="false">IF($B100=CM$12,$U100,"")</f>
        <v/>
      </c>
      <c r="CN100" s="85" t="str">
        <f aca="false">IF($B100=CN$12,$U100,"")</f>
        <v/>
      </c>
      <c r="CO100" s="85" t="str">
        <f aca="false">IF($B100=CO$12,$U100,"")</f>
        <v/>
      </c>
      <c r="CP100" s="85" t="str">
        <f aca="false">IF($B100=CP$12,$U100,"")</f>
        <v/>
      </c>
      <c r="CQ100" s="85" t="str">
        <f aca="false">IF($B100=CQ$12,$U100,"")</f>
        <v/>
      </c>
      <c r="CR100" s="85" t="str">
        <f aca="false">IF($B100=CR$12,$U100,"")</f>
        <v/>
      </c>
      <c r="CS100" s="85" t="str">
        <f aca="false">IF($B100=CS$12,$U100,"")</f>
        <v/>
      </c>
      <c r="CT100" s="85" t="str">
        <f aca="false">IF($B100=CT$12,$U100,"")</f>
        <v/>
      </c>
      <c r="CU100" s="85" t="str">
        <f aca="false">IF($B100=CU$12,$U100,"")</f>
        <v/>
      </c>
      <c r="CV100" s="85" t="str">
        <f aca="false">IF($B100=CV$12,$U100,"")</f>
        <v/>
      </c>
      <c r="CW100" s="85" t="str">
        <f aca="false">IF($B100=CW$12,$U100,"")</f>
        <v/>
      </c>
      <c r="CX100" s="85" t="str">
        <f aca="false">IF($B100=CX$12,$U100,"")</f>
        <v/>
      </c>
      <c r="CY100" s="85" t="str">
        <f aca="false">IF($B100=CY$12,$U100,"")</f>
        <v/>
      </c>
      <c r="CZ100" s="85" t="str">
        <f aca="false">IF($B100=CZ$12,$U100,"")</f>
        <v/>
      </c>
      <c r="DA100" s="85" t="str">
        <f aca="false">IF($B100=DA$12,$U100,"")</f>
        <v/>
      </c>
      <c r="DB100" s="85" t="str">
        <f aca="false">IF($B100=DB$12,$U100,"")</f>
        <v/>
      </c>
      <c r="DC100" s="85" t="str">
        <f aca="false">IF($B100=DC$12,$U100,"")</f>
        <v/>
      </c>
      <c r="DD100" s="85" t="str">
        <f aca="false">IF($B100=DD$12,$U100,"")</f>
        <v/>
      </c>
      <c r="DE100" s="85" t="str">
        <f aca="false">IF($B100=DE$12,$U100,"")</f>
        <v/>
      </c>
      <c r="DF100" s="85" t="str">
        <f aca="false">IF($B100=DF$12,$U100,"")</f>
        <v/>
      </c>
      <c r="DG100" s="85" t="str">
        <f aca="false">IF($B100=DG$12,$U100,"")</f>
        <v/>
      </c>
      <c r="DH100" s="85" t="str">
        <f aca="false">IF($B100=DH$12,$U100,"")</f>
        <v/>
      </c>
      <c r="DI100" s="85" t="str">
        <f aca="false">IF($B100=DI$12,$U100,"")</f>
        <v/>
      </c>
      <c r="DJ100" s="85" t="str">
        <f aca="false">IF($B100=DJ$12,$U100,"")</f>
        <v/>
      </c>
      <c r="DK100" s="85" t="str">
        <f aca="false">IF($B100=DK$12,$U100,"")</f>
        <v/>
      </c>
      <c r="DL100" s="85" t="str">
        <f aca="false">IF($B100=DL$12,$U100,"")</f>
        <v/>
      </c>
      <c r="DM100" s="85" t="str">
        <f aca="false">IF($B100=DM$12,$U100,"")</f>
        <v/>
      </c>
      <c r="DN100" s="85" t="str">
        <f aca="false">IF($B100=DN$12,$U100,"")</f>
        <v/>
      </c>
      <c r="DO100" s="85" t="str">
        <f aca="false">IF($B100=DO$12,$U100,"")</f>
        <v/>
      </c>
      <c r="DP100" s="85" t="str">
        <f aca="false">IF($B100=DP$12,$U100,"")</f>
        <v/>
      </c>
      <c r="DQ100" s="85" t="str">
        <f aca="false">IF($B100=DQ$12,$U100,"")</f>
        <v/>
      </c>
      <c r="DR100" s="85" t="str">
        <f aca="false">IF($B100=DR$12,$U100,"")</f>
        <v/>
      </c>
      <c r="DS100" s="85" t="str">
        <f aca="false">IF($B100=DS$12,$U100,"")</f>
        <v/>
      </c>
      <c r="DT100" s="86" t="str">
        <f aca="false">IF($B100=DT$12,$U100,"")</f>
        <v/>
      </c>
      <c r="DU100" s="55"/>
      <c r="DV100" s="83"/>
      <c r="DW100" s="87" t="str">
        <f aca="false">IF($B100=DW$12,$O100,"")</f>
        <v/>
      </c>
      <c r="DX100" s="88" t="str">
        <f aca="false">IF($B100=DX$12,$O100,"")</f>
        <v/>
      </c>
      <c r="DY100" s="88" t="str">
        <f aca="false">IF($B100=DY$12,$O100,"")</f>
        <v/>
      </c>
      <c r="DZ100" s="88" t="str">
        <f aca="false">IF($B100=DZ$12,$O100,"")</f>
        <v/>
      </c>
      <c r="EA100" s="88" t="str">
        <f aca="false">IF($B100=EA$12,$O100,"")</f>
        <v/>
      </c>
      <c r="EB100" s="88" t="str">
        <f aca="false">IF($B100=EB$12,$O100,"")</f>
        <v/>
      </c>
      <c r="EC100" s="88" t="str">
        <f aca="false">IF($B100=EC$12,$O100,"")</f>
        <v/>
      </c>
      <c r="ED100" s="88" t="str">
        <f aca="false">IF($B100=ED$12,$O100,"")</f>
        <v/>
      </c>
      <c r="EE100" s="88" t="str">
        <f aca="false">IF($B100=EE$12,$O100,"")</f>
        <v/>
      </c>
      <c r="EF100" s="88" t="str">
        <f aca="false">IF($B100=EF$12,$O100,"")</f>
        <v/>
      </c>
      <c r="EG100" s="88" t="str">
        <f aca="false">IF($B100=EG$12,$O100,"")</f>
        <v/>
      </c>
      <c r="EH100" s="88" t="str">
        <f aca="false">IF($B100=EH$12,$O100,"")</f>
        <v/>
      </c>
      <c r="EI100" s="88" t="str">
        <f aca="false">IF($B100=EI$12,$O100,"")</f>
        <v/>
      </c>
      <c r="EJ100" s="88" t="str">
        <f aca="false">IF($B100=EJ$12,$O100,"")</f>
        <v/>
      </c>
      <c r="EK100" s="88" t="str">
        <f aca="false">IF($B100=EK$12,$O100,"")</f>
        <v/>
      </c>
      <c r="EL100" s="88" t="str">
        <f aca="false">IF($B100=EL$12,$O100,"")</f>
        <v/>
      </c>
      <c r="EM100" s="88" t="str">
        <f aca="false">IF($B100=EM$12,$O100,"")</f>
        <v/>
      </c>
      <c r="EN100" s="88" t="str">
        <f aca="false">IF($B100=EN$12,$O100,"")</f>
        <v/>
      </c>
      <c r="EO100" s="88" t="str">
        <f aca="false">IF($B100=EO$12,$O100,"")</f>
        <v/>
      </c>
      <c r="EP100" s="88" t="str">
        <f aca="false">IF($B100=EP$12,$O100,"")</f>
        <v/>
      </c>
      <c r="EQ100" s="88" t="str">
        <f aca="false">IF($B100=EQ$12,$O100,"")</f>
        <v/>
      </c>
      <c r="ER100" s="88" t="str">
        <f aca="false">IF($B100=ER$12,$O100,"")</f>
        <v/>
      </c>
      <c r="ES100" s="88" t="str">
        <f aca="false">IF($B100=ES$12,$O100,"")</f>
        <v/>
      </c>
      <c r="ET100" s="88" t="str">
        <f aca="false">IF($B100=ET$12,$O100,"")</f>
        <v/>
      </c>
      <c r="EU100" s="88" t="str">
        <f aca="false">IF($B100=EU$12,$O100,"")</f>
        <v/>
      </c>
      <c r="EV100" s="88" t="str">
        <f aca="false">IF($B100=EV$12,$O100,"")</f>
        <v/>
      </c>
      <c r="EW100" s="88" t="str">
        <f aca="false">IF($B100=EW$12,$O100,"")</f>
        <v/>
      </c>
      <c r="EX100" s="88" t="str">
        <f aca="false">IF($B100=EX$12,$O100,"")</f>
        <v/>
      </c>
      <c r="EY100" s="88" t="str">
        <f aca="false">IF($B100=EY$12,$O100,"")</f>
        <v/>
      </c>
      <c r="EZ100" s="88" t="str">
        <f aca="false">IF($B100=EZ$12,$O100,"")</f>
        <v/>
      </c>
      <c r="FA100" s="88" t="str">
        <f aca="false">IF($B100=FA$12,$O100,"")</f>
        <v/>
      </c>
      <c r="FB100" s="88" t="str">
        <f aca="false">IF($B100=FB$12,$O100,"")</f>
        <v/>
      </c>
      <c r="FC100" s="88" t="str">
        <f aca="false">IF($B100=FC$12,$O100,"")</f>
        <v/>
      </c>
      <c r="FD100" s="88" t="str">
        <f aca="false">IF($B100=FD$12,$O100,"")</f>
        <v/>
      </c>
      <c r="FE100" s="88" t="str">
        <f aca="false">IF($B100=FE$12,$O100,"")</f>
        <v/>
      </c>
      <c r="FF100" s="88" t="str">
        <f aca="false">IF($B100=FF$12,$O100,"")</f>
        <v/>
      </c>
      <c r="FG100" s="88" t="str">
        <f aca="false">IF($B100=FG$12,$O100,"")</f>
        <v/>
      </c>
      <c r="FH100" s="88" t="str">
        <f aca="false">IF($B100=FH$12,$O100,"")</f>
        <v/>
      </c>
      <c r="FI100" s="88" t="str">
        <f aca="false">IF($B100=FI$12,$O100,"")</f>
        <v/>
      </c>
      <c r="FJ100" s="88" t="str">
        <f aca="false">IF($B100=FJ$12,$O100,"")</f>
        <v/>
      </c>
      <c r="FK100" s="88" t="str">
        <f aca="false">IF($B100=FK$12,$O100,"")</f>
        <v/>
      </c>
      <c r="FL100" s="88" t="str">
        <f aca="false">IF($B100=FL$12,$O100,"")</f>
        <v/>
      </c>
      <c r="FM100" s="88" t="str">
        <f aca="false">IF($B100=FM$12,$O100,"")</f>
        <v/>
      </c>
      <c r="FN100" s="88" t="str">
        <f aca="false">IF($B100=FN$12,$O100,"")</f>
        <v/>
      </c>
      <c r="FO100" s="88" t="str">
        <f aca="false">IF($B100=FO$12,$O100,"")</f>
        <v/>
      </c>
      <c r="FP100" s="88" t="str">
        <f aca="false">IF($B100=FP$12,$O100,"")</f>
        <v/>
      </c>
      <c r="FQ100" s="88" t="str">
        <f aca="false">IF($B100=FQ$12,$O100,"")</f>
        <v/>
      </c>
      <c r="FR100" s="88" t="str">
        <f aca="false">IF($B100=FR$12,$O100,"")</f>
        <v/>
      </c>
      <c r="FS100" s="88" t="str">
        <f aca="false">IF($B100=FS$12,$O100,"")</f>
        <v/>
      </c>
      <c r="FT100" s="88" t="str">
        <f aca="false">IF($B100=FT$12,$O100,"")</f>
        <v/>
      </c>
      <c r="FU100" s="88" t="str">
        <f aca="false">IF($B100=FU$12,$O100,"")</f>
        <v/>
      </c>
      <c r="FV100" s="88" t="str">
        <f aca="false">IF($B100=FV$12,$O100,"")</f>
        <v/>
      </c>
      <c r="FW100" s="88" t="str">
        <f aca="false">IF($B100=FW$12,$O100,"")</f>
        <v/>
      </c>
      <c r="FX100" s="88" t="str">
        <f aca="false">IF($B100=FX$12,$O100,"")</f>
        <v/>
      </c>
      <c r="FY100" s="88" t="str">
        <f aca="false">IF($B100=FY$12,$O100,"")</f>
        <v/>
      </c>
      <c r="FZ100" s="88" t="str">
        <f aca="false">IF($B100=FZ$12,$O100,"")</f>
        <v/>
      </c>
      <c r="GA100" s="88" t="str">
        <f aca="false">IF($B100=GA$12,$O100,"")</f>
        <v/>
      </c>
      <c r="GB100" s="88" t="str">
        <f aca="false">IF($B100=GB$12,$O100,"")</f>
        <v/>
      </c>
      <c r="GC100" s="88" t="str">
        <f aca="false">IF($B100=GC$12,$O100,"")</f>
        <v/>
      </c>
      <c r="GD100" s="88" t="str">
        <f aca="false">IF($B100=GD$12,$O100,"")</f>
        <v/>
      </c>
      <c r="GE100" s="88" t="str">
        <f aca="false">IF($B100=GE$12,$O100,"")</f>
        <v/>
      </c>
      <c r="GF100" s="88" t="str">
        <f aca="false">IF($B100=GF$12,$O100,"")</f>
        <v/>
      </c>
      <c r="GG100" s="88" t="str">
        <f aca="false">IF($B100=GG$12,$O100,"")</f>
        <v/>
      </c>
      <c r="GH100" s="88" t="str">
        <f aca="false">IF($B100=GH$12,$O100,"")</f>
        <v/>
      </c>
      <c r="GI100" s="88" t="str">
        <f aca="false">IF($B100=GI$12,$O100,"")</f>
        <v/>
      </c>
      <c r="GJ100" s="88" t="str">
        <f aca="false">IF($B100=GJ$12,$O100,"")</f>
        <v/>
      </c>
      <c r="GK100" s="88" t="str">
        <f aca="false">IF($B100=GK$12,$O100,"")</f>
        <v/>
      </c>
      <c r="GL100" s="88" t="str">
        <f aca="false">IF($B100=GL$12,$O100,"")</f>
        <v/>
      </c>
      <c r="GM100" s="88" t="str">
        <f aca="false">IF($B100=GM$12,$O100,"")</f>
        <v/>
      </c>
      <c r="GN100" s="88" t="str">
        <f aca="false">IF($B100=GN$12,$O100,"")</f>
        <v/>
      </c>
      <c r="GO100" s="88" t="str">
        <f aca="false">IF($B100=GO$12,$O100,"")</f>
        <v/>
      </c>
      <c r="GP100" s="88" t="str">
        <f aca="false">IF($B100=GP$12,$O100,"")</f>
        <v/>
      </c>
      <c r="GQ100" s="88" t="str">
        <f aca="false">IF($B100=GQ$12,$O100,"")</f>
        <v/>
      </c>
      <c r="GR100" s="88" t="str">
        <f aca="false">IF($B100=GR$12,$O100,"")</f>
        <v/>
      </c>
      <c r="GS100" s="88" t="str">
        <f aca="false">IF($B100=GS$12,$O100,"")</f>
        <v/>
      </c>
      <c r="GT100" s="88" t="str">
        <f aca="false">IF($B100=GT$12,$O100,"")</f>
        <v/>
      </c>
      <c r="GU100" s="88" t="str">
        <f aca="false">IF($B100=GU$12,$O100,"")</f>
        <v/>
      </c>
      <c r="GV100" s="88" t="str">
        <f aca="false">IF($B100=GV$12,$O100,"")</f>
        <v/>
      </c>
      <c r="GW100" s="88" t="str">
        <f aca="false">IF($B100=GW$12,$O100,"")</f>
        <v/>
      </c>
      <c r="GX100" s="88" t="str">
        <f aca="false">IF($B100=GX$12,$O100,"")</f>
        <v/>
      </c>
      <c r="GY100" s="88" t="str">
        <f aca="false">IF($B100=GY$12,$O100,"")</f>
        <v/>
      </c>
      <c r="GZ100" s="88" t="str">
        <f aca="false">IF($B100=GZ$12,$O100,"")</f>
        <v/>
      </c>
      <c r="HA100" s="88" t="str">
        <f aca="false">IF($B100=HA$12,$O100,"")</f>
        <v/>
      </c>
      <c r="HB100" s="88" t="str">
        <f aca="false">IF($B100=HB$12,$O100,"")</f>
        <v/>
      </c>
      <c r="HC100" s="88" t="str">
        <f aca="false">IF($B100=HC$12,$O100,"")</f>
        <v/>
      </c>
      <c r="HD100" s="88" t="str">
        <f aca="false">IF($B100=HD$12,$O100,"")</f>
        <v/>
      </c>
      <c r="HE100" s="88" t="str">
        <f aca="false">IF($B100=HE$12,$O100,"")</f>
        <v/>
      </c>
      <c r="HF100" s="88" t="str">
        <f aca="false">IF($B100=HF$12,$O100,"")</f>
        <v/>
      </c>
      <c r="HG100" s="88" t="str">
        <f aca="false">IF($B100=HG$12,$O100,"")</f>
        <v/>
      </c>
      <c r="HH100" s="88" t="str">
        <f aca="false">IF($B100=HH$12,$O100,"")</f>
        <v/>
      </c>
      <c r="HI100" s="88" t="str">
        <f aca="false">IF($B100=HI$12,$O100,"")</f>
        <v/>
      </c>
      <c r="HJ100" s="88" t="str">
        <f aca="false">IF($B100=HJ$12,$O100,"")</f>
        <v/>
      </c>
      <c r="HK100" s="88" t="str">
        <f aca="false">IF($B100=HK$12,$O100,"")</f>
        <v/>
      </c>
      <c r="HL100" s="88" t="str">
        <f aca="false">IF($B100=HL$12,$O100,"")</f>
        <v/>
      </c>
      <c r="HM100" s="88" t="str">
        <f aca="false">IF($B100=HM$12,$O100,"")</f>
        <v/>
      </c>
      <c r="HN100" s="88" t="str">
        <f aca="false">IF($B100=HN$12,$O100,"")</f>
        <v/>
      </c>
      <c r="HO100" s="88" t="str">
        <f aca="false">IF($B100=HO$12,$O100,"")</f>
        <v/>
      </c>
      <c r="HP100" s="88" t="str">
        <f aca="false">IF($B100=HP$12,$O100,"")</f>
        <v/>
      </c>
      <c r="HQ100" s="88" t="str">
        <f aca="false">IF($B100=HQ$12,$O100,"")</f>
        <v/>
      </c>
      <c r="HR100" s="89" t="str">
        <f aca="false">IF($B100=HR$12,$O100,"")</f>
        <v/>
      </c>
    </row>
    <row r="101" customFormat="false" ht="10.5" hidden="false" customHeight="true" outlineLevel="0" collapsed="false">
      <c r="A101" s="73"/>
      <c r="B101" s="74"/>
      <c r="C101" s="75" t="str">
        <f aca="false">IF(A101=0,"",VLOOKUP(A101,[3]CO!$A$3:$F$5311,2,0))</f>
        <v/>
      </c>
      <c r="D101" s="76"/>
      <c r="E101" s="76"/>
      <c r="F101" s="76"/>
      <c r="G101" s="77" t="str">
        <f aca="false">IF(A101=0,"",VLOOKUP(A101,[3]CO!$A$3:$F$5311,3,0))</f>
        <v/>
      </c>
      <c r="H101" s="76"/>
      <c r="I101" s="78"/>
      <c r="J101" s="78"/>
      <c r="K101" s="78"/>
      <c r="L101" s="78"/>
      <c r="M101" s="79" t="str">
        <f aca="false">IF(L101=0,"",PRODUCT(I101:L101))</f>
        <v/>
      </c>
      <c r="N101" s="79" t="str">
        <f aca="false">IF(B101=0,"",IF(H101="M",HLOOKUP(B101,$Y$12:$DT$13,2),IF(A101=0,"",VLOOKUP(A101,[3]CO!$A$3:$F$5311,4,0))))</f>
        <v/>
      </c>
      <c r="O101" s="79" t="str">
        <f aca="false">IF(L101=0,"",PRODUCT(M101:N101))</f>
        <v/>
      </c>
      <c r="P101" s="80"/>
      <c r="Q101" s="81" t="str">
        <f aca="false">IF(P101=0,"",(HLOOKUP(P101,$DW$12:$HR$13,2)))</f>
        <v/>
      </c>
      <c r="R101" s="82" t="str">
        <f aca="false">IF(S101=0,"",IF(OR(G101="PEON",G101="OF",G101="JARD",G101="CARP",G101="MAESTRO",G101="SOLD",G101="BGRO",G101="CHOFER",G101="AYTE",G101="S.INTTE.",G101="ASEO",G101="P.PISOS",G101="VELADOR",G101="RESID",G101="PINTOR",G101="ELECT",G101="AZULE",G101="AUX CONT.",G101="SECRETARIA",G101="AUXILIAR ADMTVO.",G101="ARQUITECTO",G101="DIBUJANTE",G101="AUX. DE RESIDENTE"),VLOOKUP(B101,P$14:Q$131,2),"")*S101)</f>
        <v/>
      </c>
      <c r="S101" s="5"/>
      <c r="T101" s="65" t="str">
        <f aca="false">IF(A101=0,"",VLOOKUP(A101,[3]CO!$A$3:$F$5302,5,0))</f>
        <v/>
      </c>
      <c r="U101" s="55" t="n">
        <f aca="false">IF(T101=1,O101*0.1,)</f>
        <v>0</v>
      </c>
      <c r="V101" s="66"/>
      <c r="W101" s="83"/>
      <c r="X101" s="83"/>
      <c r="Y101" s="84" t="str">
        <f aca="false">IF($B101=Y$12,$U101,"")</f>
        <v/>
      </c>
      <c r="Z101" s="85" t="str">
        <f aca="false">IF($B101=Z$12,$U101,"")</f>
        <v/>
      </c>
      <c r="AA101" s="85" t="str">
        <f aca="false">IF($B101=AA$12,$U101,"")</f>
        <v/>
      </c>
      <c r="AB101" s="85" t="str">
        <f aca="false">IF($B101=AB$12,$U101,"")</f>
        <v/>
      </c>
      <c r="AC101" s="85" t="str">
        <f aca="false">IF($B101=AC$12,$U101,"")</f>
        <v/>
      </c>
      <c r="AD101" s="85" t="str">
        <f aca="false">IF($B101=AD$12,$U101,"")</f>
        <v/>
      </c>
      <c r="AE101" s="85" t="str">
        <f aca="false">IF($B101=AE$12,$U101,"")</f>
        <v/>
      </c>
      <c r="AF101" s="85" t="str">
        <f aca="false">IF($B101=AF$12,$U101,"")</f>
        <v/>
      </c>
      <c r="AG101" s="85" t="str">
        <f aca="false">IF($B101=AG$12,$U101,"")</f>
        <v/>
      </c>
      <c r="AH101" s="85" t="str">
        <f aca="false">IF($B101=AH$12,$U101,"")</f>
        <v/>
      </c>
      <c r="AI101" s="85" t="str">
        <f aca="false">IF($B101=AI$12,$U101,"")</f>
        <v/>
      </c>
      <c r="AJ101" s="85" t="str">
        <f aca="false">IF($B101=AJ$12,$U101,"")</f>
        <v/>
      </c>
      <c r="AK101" s="85" t="str">
        <f aca="false">IF($B101=AK$12,$U101,"")</f>
        <v/>
      </c>
      <c r="AL101" s="85" t="str">
        <f aca="false">IF($B101=AL$12,$U101,"")</f>
        <v/>
      </c>
      <c r="AM101" s="85" t="str">
        <f aca="false">IF($B101=AM$12,$U101,"")</f>
        <v/>
      </c>
      <c r="AN101" s="85" t="str">
        <f aca="false">IF($B101=AN$12,$U101,"")</f>
        <v/>
      </c>
      <c r="AO101" s="85" t="str">
        <f aca="false">IF($B101=AO$12,$U101,"")</f>
        <v/>
      </c>
      <c r="AP101" s="85" t="str">
        <f aca="false">IF($B101=AP$12,$U101,"")</f>
        <v/>
      </c>
      <c r="AQ101" s="85" t="str">
        <f aca="false">IF($B101=AQ$12,$U101,"")</f>
        <v/>
      </c>
      <c r="AR101" s="85" t="str">
        <f aca="false">IF($B101=AR$12,$U101,"")</f>
        <v/>
      </c>
      <c r="AS101" s="85" t="str">
        <f aca="false">IF($B101=AS$12,$U101,"")</f>
        <v/>
      </c>
      <c r="AT101" s="85" t="str">
        <f aca="false">IF($B101=AT$12,$U101,"")</f>
        <v/>
      </c>
      <c r="AU101" s="85" t="str">
        <f aca="false">IF($B101=AU$12,$U101,"")</f>
        <v/>
      </c>
      <c r="AV101" s="85" t="str">
        <f aca="false">IF($B101=AV$12,$U101,"")</f>
        <v/>
      </c>
      <c r="AW101" s="85" t="str">
        <f aca="false">IF($B101=AW$12,$U101,"")</f>
        <v/>
      </c>
      <c r="AX101" s="85" t="str">
        <f aca="false">IF($B101=AX$12,$U101,"")</f>
        <v/>
      </c>
      <c r="AY101" s="85" t="str">
        <f aca="false">IF($B101=AY$12,$U101,"")</f>
        <v/>
      </c>
      <c r="AZ101" s="85" t="str">
        <f aca="false">IF($B101=AZ$12,$U101,"")</f>
        <v/>
      </c>
      <c r="BA101" s="85" t="str">
        <f aca="false">IF($B101=BA$12,$U101,"")</f>
        <v/>
      </c>
      <c r="BB101" s="85" t="str">
        <f aca="false">IF($B101=BB$12,$U101,"")</f>
        <v/>
      </c>
      <c r="BC101" s="85" t="str">
        <f aca="false">IF($B101=BC$12,$U101,"")</f>
        <v/>
      </c>
      <c r="BD101" s="85" t="str">
        <f aca="false">IF($B101=BD$12,$U101,"")</f>
        <v/>
      </c>
      <c r="BE101" s="85" t="str">
        <f aca="false">IF($B101=BE$12,$U101,"")</f>
        <v/>
      </c>
      <c r="BF101" s="85" t="str">
        <f aca="false">IF($B101=BF$12,$U101,"")</f>
        <v/>
      </c>
      <c r="BG101" s="85" t="str">
        <f aca="false">IF($B101=BG$12,$U101,"")</f>
        <v/>
      </c>
      <c r="BH101" s="85" t="str">
        <f aca="false">IF($B101=BH$12,$U101,"")</f>
        <v/>
      </c>
      <c r="BI101" s="85" t="str">
        <f aca="false">IF($B101=BI$12,$U101,"")</f>
        <v/>
      </c>
      <c r="BJ101" s="85" t="str">
        <f aca="false">IF($B101=BJ$12,$U101,"")</f>
        <v/>
      </c>
      <c r="BK101" s="85" t="str">
        <f aca="false">IF($B101=BK$12,$U101,"")</f>
        <v/>
      </c>
      <c r="BL101" s="85" t="str">
        <f aca="false">IF($B101=BL$12,$U101,"")</f>
        <v/>
      </c>
      <c r="BM101" s="85" t="str">
        <f aca="false">IF($B101=BM$12,$U101,"")</f>
        <v/>
      </c>
      <c r="BN101" s="85" t="str">
        <f aca="false">IF($B101=BN$12,$U101,"")</f>
        <v/>
      </c>
      <c r="BO101" s="85" t="str">
        <f aca="false">IF($B101=BO$12,$U101,"")</f>
        <v/>
      </c>
      <c r="BP101" s="85" t="str">
        <f aca="false">IF($B101=BP$12,$U101,"")</f>
        <v/>
      </c>
      <c r="BQ101" s="85" t="str">
        <f aca="false">IF($B101=BQ$12,$U101,"")</f>
        <v/>
      </c>
      <c r="BR101" s="85" t="str">
        <f aca="false">IF($B101=BR$12,$U101,"")</f>
        <v/>
      </c>
      <c r="BS101" s="85" t="str">
        <f aca="false">IF($B101=BS$12,$U101,"")</f>
        <v/>
      </c>
      <c r="BT101" s="85" t="str">
        <f aca="false">IF($B101=BT$12,$U101,"")</f>
        <v/>
      </c>
      <c r="BU101" s="85" t="str">
        <f aca="false">IF($B101=BU$12,$U101,"")</f>
        <v/>
      </c>
      <c r="BV101" s="85" t="str">
        <f aca="false">IF($B101=BV$12,$U101,"")</f>
        <v/>
      </c>
      <c r="BW101" s="85" t="str">
        <f aca="false">IF($B101=BW$12,$U101,"")</f>
        <v/>
      </c>
      <c r="BX101" s="85" t="str">
        <f aca="false">IF($B101=BX$12,$U101,"")</f>
        <v/>
      </c>
      <c r="BY101" s="85" t="str">
        <f aca="false">IF($B101=BY$12,$U101,"")</f>
        <v/>
      </c>
      <c r="BZ101" s="85" t="str">
        <f aca="false">IF($B101=BZ$12,$U101,"")</f>
        <v/>
      </c>
      <c r="CA101" s="85" t="str">
        <f aca="false">IF($B101=CA$12,$U101,"")</f>
        <v/>
      </c>
      <c r="CB101" s="85" t="str">
        <f aca="false">IF($B101=CB$12,$U101,"")</f>
        <v/>
      </c>
      <c r="CC101" s="85" t="str">
        <f aca="false">IF($B101=CC$12,$U101,"")</f>
        <v/>
      </c>
      <c r="CD101" s="85" t="str">
        <f aca="false">IF($B101=CD$12,$U101,"")</f>
        <v/>
      </c>
      <c r="CE101" s="85" t="str">
        <f aca="false">IF($B101=CE$12,$U101,"")</f>
        <v/>
      </c>
      <c r="CF101" s="85" t="str">
        <f aca="false">IF($B101=CF$12,$U101,"")</f>
        <v/>
      </c>
      <c r="CG101" s="85" t="str">
        <f aca="false">IF($B101=CG$12,$U101,"")</f>
        <v/>
      </c>
      <c r="CH101" s="85" t="str">
        <f aca="false">IF($B101=CH$12,$U101,"")</f>
        <v/>
      </c>
      <c r="CI101" s="85" t="str">
        <f aca="false">IF($B101=CI$12,$U101,"")</f>
        <v/>
      </c>
      <c r="CJ101" s="85" t="str">
        <f aca="false">IF($B101=CJ$12,$U101,"")</f>
        <v/>
      </c>
      <c r="CK101" s="85" t="str">
        <f aca="false">IF($B101=CK$12,$U101,"")</f>
        <v/>
      </c>
      <c r="CL101" s="85" t="str">
        <f aca="false">IF($B101=CL$12,$U101,"")</f>
        <v/>
      </c>
      <c r="CM101" s="85" t="str">
        <f aca="false">IF($B101=CM$12,$U101,"")</f>
        <v/>
      </c>
      <c r="CN101" s="85" t="str">
        <f aca="false">IF($B101=CN$12,$U101,"")</f>
        <v/>
      </c>
      <c r="CO101" s="85" t="str">
        <f aca="false">IF($B101=CO$12,$U101,"")</f>
        <v/>
      </c>
      <c r="CP101" s="85" t="str">
        <f aca="false">IF($B101=CP$12,$U101,"")</f>
        <v/>
      </c>
      <c r="CQ101" s="85" t="str">
        <f aca="false">IF($B101=CQ$12,$U101,"")</f>
        <v/>
      </c>
      <c r="CR101" s="85" t="str">
        <f aca="false">IF($B101=CR$12,$U101,"")</f>
        <v/>
      </c>
      <c r="CS101" s="85" t="str">
        <f aca="false">IF($B101=CS$12,$U101,"")</f>
        <v/>
      </c>
      <c r="CT101" s="85" t="str">
        <f aca="false">IF($B101=CT$12,$U101,"")</f>
        <v/>
      </c>
      <c r="CU101" s="85" t="str">
        <f aca="false">IF($B101=CU$12,$U101,"")</f>
        <v/>
      </c>
      <c r="CV101" s="85" t="str">
        <f aca="false">IF($B101=CV$12,$U101,"")</f>
        <v/>
      </c>
      <c r="CW101" s="85" t="str">
        <f aca="false">IF($B101=CW$12,$U101,"")</f>
        <v/>
      </c>
      <c r="CX101" s="85" t="str">
        <f aca="false">IF($B101=CX$12,$U101,"")</f>
        <v/>
      </c>
      <c r="CY101" s="85" t="str">
        <f aca="false">IF($B101=CY$12,$U101,"")</f>
        <v/>
      </c>
      <c r="CZ101" s="85" t="str">
        <f aca="false">IF($B101=CZ$12,$U101,"")</f>
        <v/>
      </c>
      <c r="DA101" s="85" t="str">
        <f aca="false">IF($B101=DA$12,$U101,"")</f>
        <v/>
      </c>
      <c r="DB101" s="85" t="str">
        <f aca="false">IF($B101=DB$12,$U101,"")</f>
        <v/>
      </c>
      <c r="DC101" s="85" t="str">
        <f aca="false">IF($B101=DC$12,$U101,"")</f>
        <v/>
      </c>
      <c r="DD101" s="85" t="str">
        <f aca="false">IF($B101=DD$12,$U101,"")</f>
        <v/>
      </c>
      <c r="DE101" s="85" t="str">
        <f aca="false">IF($B101=DE$12,$U101,"")</f>
        <v/>
      </c>
      <c r="DF101" s="85" t="str">
        <f aca="false">IF($B101=DF$12,$U101,"")</f>
        <v/>
      </c>
      <c r="DG101" s="85" t="str">
        <f aca="false">IF($B101=DG$12,$U101,"")</f>
        <v/>
      </c>
      <c r="DH101" s="85" t="str">
        <f aca="false">IF($B101=DH$12,$U101,"")</f>
        <v/>
      </c>
      <c r="DI101" s="85" t="str">
        <f aca="false">IF($B101=DI$12,$U101,"")</f>
        <v/>
      </c>
      <c r="DJ101" s="85" t="str">
        <f aca="false">IF($B101=DJ$12,$U101,"")</f>
        <v/>
      </c>
      <c r="DK101" s="85" t="str">
        <f aca="false">IF($B101=DK$12,$U101,"")</f>
        <v/>
      </c>
      <c r="DL101" s="85" t="str">
        <f aca="false">IF($B101=DL$12,$U101,"")</f>
        <v/>
      </c>
      <c r="DM101" s="85" t="str">
        <f aca="false">IF($B101=DM$12,$U101,"")</f>
        <v/>
      </c>
      <c r="DN101" s="85" t="str">
        <f aca="false">IF($B101=DN$12,$U101,"")</f>
        <v/>
      </c>
      <c r="DO101" s="85" t="str">
        <f aca="false">IF($B101=DO$12,$U101,"")</f>
        <v/>
      </c>
      <c r="DP101" s="85" t="str">
        <f aca="false">IF($B101=DP$12,$U101,"")</f>
        <v/>
      </c>
      <c r="DQ101" s="85" t="str">
        <f aca="false">IF($B101=DQ$12,$U101,"")</f>
        <v/>
      </c>
      <c r="DR101" s="85" t="str">
        <f aca="false">IF($B101=DR$12,$U101,"")</f>
        <v/>
      </c>
      <c r="DS101" s="85" t="str">
        <f aca="false">IF($B101=DS$12,$U101,"")</f>
        <v/>
      </c>
      <c r="DT101" s="86" t="str">
        <f aca="false">IF($B101=DT$12,$U101,"")</f>
        <v/>
      </c>
      <c r="DU101" s="55"/>
      <c r="DV101" s="83"/>
      <c r="DW101" s="87" t="str">
        <f aca="false">IF($B101=DW$12,$O101,"")</f>
        <v/>
      </c>
      <c r="DX101" s="88" t="str">
        <f aca="false">IF($B101=DX$12,$O101,"")</f>
        <v/>
      </c>
      <c r="DY101" s="88" t="str">
        <f aca="false">IF($B101=DY$12,$O101,"")</f>
        <v/>
      </c>
      <c r="DZ101" s="88" t="str">
        <f aca="false">IF($B101=DZ$12,$O101,"")</f>
        <v/>
      </c>
      <c r="EA101" s="88" t="str">
        <f aca="false">IF($B101=EA$12,$O101,"")</f>
        <v/>
      </c>
      <c r="EB101" s="88" t="str">
        <f aca="false">IF($B101=EB$12,$O101,"")</f>
        <v/>
      </c>
      <c r="EC101" s="88" t="str">
        <f aca="false">IF($B101=EC$12,$O101,"")</f>
        <v/>
      </c>
      <c r="ED101" s="88" t="str">
        <f aca="false">IF($B101=ED$12,$O101,"")</f>
        <v/>
      </c>
      <c r="EE101" s="88" t="str">
        <f aca="false">IF($B101=EE$12,$O101,"")</f>
        <v/>
      </c>
      <c r="EF101" s="88" t="str">
        <f aca="false">IF($B101=EF$12,$O101,"")</f>
        <v/>
      </c>
      <c r="EG101" s="88" t="str">
        <f aca="false">IF($B101=EG$12,$O101,"")</f>
        <v/>
      </c>
      <c r="EH101" s="88" t="str">
        <f aca="false">IF($B101=EH$12,$O101,"")</f>
        <v/>
      </c>
      <c r="EI101" s="88" t="str">
        <f aca="false">IF($B101=EI$12,$O101,"")</f>
        <v/>
      </c>
      <c r="EJ101" s="88" t="str">
        <f aca="false">IF($B101=EJ$12,$O101,"")</f>
        <v/>
      </c>
      <c r="EK101" s="88" t="str">
        <f aca="false">IF($B101=EK$12,$O101,"")</f>
        <v/>
      </c>
      <c r="EL101" s="88" t="str">
        <f aca="false">IF($B101=EL$12,$O101,"")</f>
        <v/>
      </c>
      <c r="EM101" s="88" t="str">
        <f aca="false">IF($B101=EM$12,$O101,"")</f>
        <v/>
      </c>
      <c r="EN101" s="88" t="str">
        <f aca="false">IF($B101=EN$12,$O101,"")</f>
        <v/>
      </c>
      <c r="EO101" s="88" t="str">
        <f aca="false">IF($B101=EO$12,$O101,"")</f>
        <v/>
      </c>
      <c r="EP101" s="88" t="str">
        <f aca="false">IF($B101=EP$12,$O101,"")</f>
        <v/>
      </c>
      <c r="EQ101" s="88" t="str">
        <f aca="false">IF($B101=EQ$12,$O101,"")</f>
        <v/>
      </c>
      <c r="ER101" s="88" t="str">
        <f aca="false">IF($B101=ER$12,$O101,"")</f>
        <v/>
      </c>
      <c r="ES101" s="88" t="str">
        <f aca="false">IF($B101=ES$12,$O101,"")</f>
        <v/>
      </c>
      <c r="ET101" s="88" t="str">
        <f aca="false">IF($B101=ET$12,$O101,"")</f>
        <v/>
      </c>
      <c r="EU101" s="88" t="str">
        <f aca="false">IF($B101=EU$12,$O101,"")</f>
        <v/>
      </c>
      <c r="EV101" s="88" t="str">
        <f aca="false">IF($B101=EV$12,$O101,"")</f>
        <v/>
      </c>
      <c r="EW101" s="88" t="str">
        <f aca="false">IF($B101=EW$12,$O101,"")</f>
        <v/>
      </c>
      <c r="EX101" s="88" t="str">
        <f aca="false">IF($B101=EX$12,$O101,"")</f>
        <v/>
      </c>
      <c r="EY101" s="88" t="str">
        <f aca="false">IF($B101=EY$12,$O101,"")</f>
        <v/>
      </c>
      <c r="EZ101" s="88" t="str">
        <f aca="false">IF($B101=EZ$12,$O101,"")</f>
        <v/>
      </c>
      <c r="FA101" s="88" t="str">
        <f aca="false">IF($B101=FA$12,$O101,"")</f>
        <v/>
      </c>
      <c r="FB101" s="88" t="str">
        <f aca="false">IF($B101=FB$12,$O101,"")</f>
        <v/>
      </c>
      <c r="FC101" s="88" t="str">
        <f aca="false">IF($B101=FC$12,$O101,"")</f>
        <v/>
      </c>
      <c r="FD101" s="88" t="str">
        <f aca="false">IF($B101=FD$12,$O101,"")</f>
        <v/>
      </c>
      <c r="FE101" s="88" t="str">
        <f aca="false">IF($B101=FE$12,$O101,"")</f>
        <v/>
      </c>
      <c r="FF101" s="88" t="str">
        <f aca="false">IF($B101=FF$12,$O101,"")</f>
        <v/>
      </c>
      <c r="FG101" s="88" t="str">
        <f aca="false">IF($B101=FG$12,$O101,"")</f>
        <v/>
      </c>
      <c r="FH101" s="88" t="str">
        <f aca="false">IF($B101=FH$12,$O101,"")</f>
        <v/>
      </c>
      <c r="FI101" s="88" t="str">
        <f aca="false">IF($B101=FI$12,$O101,"")</f>
        <v/>
      </c>
      <c r="FJ101" s="88" t="str">
        <f aca="false">IF($B101=FJ$12,$O101,"")</f>
        <v/>
      </c>
      <c r="FK101" s="88" t="str">
        <f aca="false">IF($B101=FK$12,$O101,"")</f>
        <v/>
      </c>
      <c r="FL101" s="88" t="str">
        <f aca="false">IF($B101=FL$12,$O101,"")</f>
        <v/>
      </c>
      <c r="FM101" s="88" t="str">
        <f aca="false">IF($B101=FM$12,$O101,"")</f>
        <v/>
      </c>
      <c r="FN101" s="88" t="str">
        <f aca="false">IF($B101=FN$12,$O101,"")</f>
        <v/>
      </c>
      <c r="FO101" s="88" t="str">
        <f aca="false">IF($B101=FO$12,$O101,"")</f>
        <v/>
      </c>
      <c r="FP101" s="88" t="str">
        <f aca="false">IF($B101=FP$12,$O101,"")</f>
        <v/>
      </c>
      <c r="FQ101" s="88" t="str">
        <f aca="false">IF($B101=FQ$12,$O101,"")</f>
        <v/>
      </c>
      <c r="FR101" s="88" t="str">
        <f aca="false">IF($B101=FR$12,$O101,"")</f>
        <v/>
      </c>
      <c r="FS101" s="88" t="str">
        <f aca="false">IF($B101=FS$12,$O101,"")</f>
        <v/>
      </c>
      <c r="FT101" s="88" t="str">
        <f aca="false">IF($B101=FT$12,$O101,"")</f>
        <v/>
      </c>
      <c r="FU101" s="88" t="str">
        <f aca="false">IF($B101=FU$12,$O101,"")</f>
        <v/>
      </c>
      <c r="FV101" s="88" t="str">
        <f aca="false">IF($B101=FV$12,$O101,"")</f>
        <v/>
      </c>
      <c r="FW101" s="88" t="str">
        <f aca="false">IF($B101=FW$12,$O101,"")</f>
        <v/>
      </c>
      <c r="FX101" s="88" t="str">
        <f aca="false">IF($B101=FX$12,$O101,"")</f>
        <v/>
      </c>
      <c r="FY101" s="88" t="str">
        <f aca="false">IF($B101=FY$12,$O101,"")</f>
        <v/>
      </c>
      <c r="FZ101" s="88" t="str">
        <f aca="false">IF($B101=FZ$12,$O101,"")</f>
        <v/>
      </c>
      <c r="GA101" s="88" t="str">
        <f aca="false">IF($B101=GA$12,$O101,"")</f>
        <v/>
      </c>
      <c r="GB101" s="88" t="str">
        <f aca="false">IF($B101=GB$12,$O101,"")</f>
        <v/>
      </c>
      <c r="GC101" s="88" t="str">
        <f aca="false">IF($B101=GC$12,$O101,"")</f>
        <v/>
      </c>
      <c r="GD101" s="88" t="str">
        <f aca="false">IF($B101=GD$12,$O101,"")</f>
        <v/>
      </c>
      <c r="GE101" s="88" t="str">
        <f aca="false">IF($B101=GE$12,$O101,"")</f>
        <v/>
      </c>
      <c r="GF101" s="88" t="str">
        <f aca="false">IF($B101=GF$12,$O101,"")</f>
        <v/>
      </c>
      <c r="GG101" s="88" t="str">
        <f aca="false">IF($B101=GG$12,$O101,"")</f>
        <v/>
      </c>
      <c r="GH101" s="88" t="str">
        <f aca="false">IF($B101=GH$12,$O101,"")</f>
        <v/>
      </c>
      <c r="GI101" s="88" t="str">
        <f aca="false">IF($B101=GI$12,$O101,"")</f>
        <v/>
      </c>
      <c r="GJ101" s="88" t="str">
        <f aca="false">IF($B101=GJ$12,$O101,"")</f>
        <v/>
      </c>
      <c r="GK101" s="88" t="str">
        <f aca="false">IF($B101=GK$12,$O101,"")</f>
        <v/>
      </c>
      <c r="GL101" s="88" t="str">
        <f aca="false">IF($B101=GL$12,$O101,"")</f>
        <v/>
      </c>
      <c r="GM101" s="88" t="str">
        <f aca="false">IF($B101=GM$12,$O101,"")</f>
        <v/>
      </c>
      <c r="GN101" s="88" t="str">
        <f aca="false">IF($B101=GN$12,$O101,"")</f>
        <v/>
      </c>
      <c r="GO101" s="88" t="str">
        <f aca="false">IF($B101=GO$12,$O101,"")</f>
        <v/>
      </c>
      <c r="GP101" s="88" t="str">
        <f aca="false">IF($B101=GP$12,$O101,"")</f>
        <v/>
      </c>
      <c r="GQ101" s="88" t="str">
        <f aca="false">IF($B101=GQ$12,$O101,"")</f>
        <v/>
      </c>
      <c r="GR101" s="88" t="str">
        <f aca="false">IF($B101=GR$12,$O101,"")</f>
        <v/>
      </c>
      <c r="GS101" s="88" t="str">
        <f aca="false">IF($B101=GS$12,$O101,"")</f>
        <v/>
      </c>
      <c r="GT101" s="88" t="str">
        <f aca="false">IF($B101=GT$12,$O101,"")</f>
        <v/>
      </c>
      <c r="GU101" s="88" t="str">
        <f aca="false">IF($B101=GU$12,$O101,"")</f>
        <v/>
      </c>
      <c r="GV101" s="88" t="str">
        <f aca="false">IF($B101=GV$12,$O101,"")</f>
        <v/>
      </c>
      <c r="GW101" s="88" t="str">
        <f aca="false">IF($B101=GW$12,$O101,"")</f>
        <v/>
      </c>
      <c r="GX101" s="88" t="str">
        <f aca="false">IF($B101=GX$12,$O101,"")</f>
        <v/>
      </c>
      <c r="GY101" s="88" t="str">
        <f aca="false">IF($B101=GY$12,$O101,"")</f>
        <v/>
      </c>
      <c r="GZ101" s="88" t="str">
        <f aca="false">IF($B101=GZ$12,$O101,"")</f>
        <v/>
      </c>
      <c r="HA101" s="88" t="str">
        <f aca="false">IF($B101=HA$12,$O101,"")</f>
        <v/>
      </c>
      <c r="HB101" s="88" t="str">
        <f aca="false">IF($B101=HB$12,$O101,"")</f>
        <v/>
      </c>
      <c r="HC101" s="88" t="str">
        <f aca="false">IF($B101=HC$12,$O101,"")</f>
        <v/>
      </c>
      <c r="HD101" s="88" t="str">
        <f aca="false">IF($B101=HD$12,$O101,"")</f>
        <v/>
      </c>
      <c r="HE101" s="88" t="str">
        <f aca="false">IF($B101=HE$12,$O101,"")</f>
        <v/>
      </c>
      <c r="HF101" s="88" t="str">
        <f aca="false">IF($B101=HF$12,$O101,"")</f>
        <v/>
      </c>
      <c r="HG101" s="88" t="str">
        <f aca="false">IF($B101=HG$12,$O101,"")</f>
        <v/>
      </c>
      <c r="HH101" s="88" t="str">
        <f aca="false">IF($B101=HH$12,$O101,"")</f>
        <v/>
      </c>
      <c r="HI101" s="88" t="str">
        <f aca="false">IF($B101=HI$12,$O101,"")</f>
        <v/>
      </c>
      <c r="HJ101" s="88" t="str">
        <f aca="false">IF($B101=HJ$12,$O101,"")</f>
        <v/>
      </c>
      <c r="HK101" s="88" t="str">
        <f aca="false">IF($B101=HK$12,$O101,"")</f>
        <v/>
      </c>
      <c r="HL101" s="88" t="str">
        <f aca="false">IF($B101=HL$12,$O101,"")</f>
        <v/>
      </c>
      <c r="HM101" s="88" t="str">
        <f aca="false">IF($B101=HM$12,$O101,"")</f>
        <v/>
      </c>
      <c r="HN101" s="88" t="str">
        <f aca="false">IF($B101=HN$12,$O101,"")</f>
        <v/>
      </c>
      <c r="HO101" s="88" t="str">
        <f aca="false">IF($B101=HO$12,$O101,"")</f>
        <v/>
      </c>
      <c r="HP101" s="88" t="str">
        <f aca="false">IF($B101=HP$12,$O101,"")</f>
        <v/>
      </c>
      <c r="HQ101" s="88" t="str">
        <f aca="false">IF($B101=HQ$12,$O101,"")</f>
        <v/>
      </c>
      <c r="HR101" s="89" t="str">
        <f aca="false">IF($B101=HR$12,$O101,"")</f>
        <v/>
      </c>
    </row>
    <row r="102" customFormat="false" ht="10.5" hidden="false" customHeight="true" outlineLevel="0" collapsed="false">
      <c r="A102" s="73"/>
      <c r="B102" s="74"/>
      <c r="C102" s="75" t="str">
        <f aca="false">IF(A102=0,"",VLOOKUP(A102,[3]CO!$A$3:$F$5311,2,0))</f>
        <v/>
      </c>
      <c r="D102" s="76"/>
      <c r="E102" s="76"/>
      <c r="F102" s="76"/>
      <c r="G102" s="77" t="str">
        <f aca="false">IF(A102=0,"",VLOOKUP(A102,[3]CO!$A$3:$F$5311,3,0))</f>
        <v/>
      </c>
      <c r="H102" s="76"/>
      <c r="I102" s="78"/>
      <c r="J102" s="78"/>
      <c r="K102" s="78"/>
      <c r="L102" s="78"/>
      <c r="M102" s="79" t="str">
        <f aca="false">IF(L102=0,"",PRODUCT(I102:L102))</f>
        <v/>
      </c>
      <c r="N102" s="79" t="str">
        <f aca="false">IF(B102=0,"",IF(H102="M",HLOOKUP(B102,$Y$12:$DT$13,2),IF(A102=0,"",VLOOKUP(A102,[3]CO!$A$3:$F$5311,4,0))))</f>
        <v/>
      </c>
      <c r="O102" s="79" t="str">
        <f aca="false">IF(L102=0,"",PRODUCT(M102:N102))</f>
        <v/>
      </c>
      <c r="P102" s="80"/>
      <c r="Q102" s="81" t="str">
        <f aca="false">IF(P102=0,"",(HLOOKUP(P102,$DW$12:$HR$13,2)))</f>
        <v/>
      </c>
      <c r="R102" s="82" t="str">
        <f aca="false">IF(S102=0,"",IF(OR(G102="PEON",G102="OF",G102="JARD",G102="CARP",G102="MAESTRO",G102="SOLD",G102="BGRO",G102="CHOFER",G102="AYTE",G102="S.INTTE.",G102="ASEO",G102="P.PISOS",G102="VELADOR",G102="RESID",G102="PINTOR",G102="ELECT",G102="AZULE",G102="AUX CONT.",G102="SECRETARIA",G102="AUXILIAR ADMTVO.",G102="ARQUITECTO",G102="DIBUJANTE",G102="AUX. DE RESIDENTE"),VLOOKUP(B102,P$14:Q$131,2),"")*S102)</f>
        <v/>
      </c>
      <c r="S102" s="5"/>
      <c r="T102" s="65" t="str">
        <f aca="false">IF(A102=0,"",VLOOKUP(A102,[3]CO!$A$3:$F$5302,5,0))</f>
        <v/>
      </c>
      <c r="U102" s="55" t="n">
        <f aca="false">IF(T102=1,O102*0.1,)</f>
        <v>0</v>
      </c>
      <c r="V102" s="66"/>
      <c r="W102" s="83"/>
      <c r="X102" s="83"/>
      <c r="Y102" s="84" t="str">
        <f aca="false">IF($B102=Y$12,$U102,"")</f>
        <v/>
      </c>
      <c r="Z102" s="85" t="str">
        <f aca="false">IF($B102=Z$12,$U102,"")</f>
        <v/>
      </c>
      <c r="AA102" s="85" t="str">
        <f aca="false">IF($B102=AA$12,$U102,"")</f>
        <v/>
      </c>
      <c r="AB102" s="85" t="str">
        <f aca="false">IF($B102=AB$12,$U102,"")</f>
        <v/>
      </c>
      <c r="AC102" s="85" t="str">
        <f aca="false">IF($B102=AC$12,$U102,"")</f>
        <v/>
      </c>
      <c r="AD102" s="85" t="str">
        <f aca="false">IF($B102=AD$12,$U102,"")</f>
        <v/>
      </c>
      <c r="AE102" s="85" t="str">
        <f aca="false">IF($B102=AE$12,$U102,"")</f>
        <v/>
      </c>
      <c r="AF102" s="85" t="str">
        <f aca="false">IF($B102=AF$12,$U102,"")</f>
        <v/>
      </c>
      <c r="AG102" s="85" t="str">
        <f aca="false">IF($B102=AG$12,$U102,"")</f>
        <v/>
      </c>
      <c r="AH102" s="85" t="str">
        <f aca="false">IF($B102=AH$12,$U102,"")</f>
        <v/>
      </c>
      <c r="AI102" s="85" t="str">
        <f aca="false">IF($B102=AI$12,$U102,"")</f>
        <v/>
      </c>
      <c r="AJ102" s="85" t="str">
        <f aca="false">IF($B102=AJ$12,$U102,"")</f>
        <v/>
      </c>
      <c r="AK102" s="85" t="str">
        <f aca="false">IF($B102=AK$12,$U102,"")</f>
        <v/>
      </c>
      <c r="AL102" s="85" t="str">
        <f aca="false">IF($B102=AL$12,$U102,"")</f>
        <v/>
      </c>
      <c r="AM102" s="85" t="str">
        <f aca="false">IF($B102=AM$12,$U102,"")</f>
        <v/>
      </c>
      <c r="AN102" s="85" t="str">
        <f aca="false">IF($B102=AN$12,$U102,"")</f>
        <v/>
      </c>
      <c r="AO102" s="85" t="str">
        <f aca="false">IF($B102=AO$12,$U102,"")</f>
        <v/>
      </c>
      <c r="AP102" s="85" t="str">
        <f aca="false">IF($B102=AP$12,$U102,"")</f>
        <v/>
      </c>
      <c r="AQ102" s="85" t="str">
        <f aca="false">IF($B102=AQ$12,$U102,"")</f>
        <v/>
      </c>
      <c r="AR102" s="85" t="str">
        <f aca="false">IF($B102=AR$12,$U102,"")</f>
        <v/>
      </c>
      <c r="AS102" s="85" t="str">
        <f aca="false">IF($B102=AS$12,$U102,"")</f>
        <v/>
      </c>
      <c r="AT102" s="85" t="str">
        <f aca="false">IF($B102=AT$12,$U102,"")</f>
        <v/>
      </c>
      <c r="AU102" s="85" t="str">
        <f aca="false">IF($B102=AU$12,$U102,"")</f>
        <v/>
      </c>
      <c r="AV102" s="85" t="str">
        <f aca="false">IF($B102=AV$12,$U102,"")</f>
        <v/>
      </c>
      <c r="AW102" s="85" t="str">
        <f aca="false">IF($B102=AW$12,$U102,"")</f>
        <v/>
      </c>
      <c r="AX102" s="85" t="str">
        <f aca="false">IF($B102=AX$12,$U102,"")</f>
        <v/>
      </c>
      <c r="AY102" s="85" t="str">
        <f aca="false">IF($B102=AY$12,$U102,"")</f>
        <v/>
      </c>
      <c r="AZ102" s="85" t="str">
        <f aca="false">IF($B102=AZ$12,$U102,"")</f>
        <v/>
      </c>
      <c r="BA102" s="85" t="str">
        <f aca="false">IF($B102=BA$12,$U102,"")</f>
        <v/>
      </c>
      <c r="BB102" s="85" t="str">
        <f aca="false">IF($B102=BB$12,$U102,"")</f>
        <v/>
      </c>
      <c r="BC102" s="85" t="str">
        <f aca="false">IF($B102=BC$12,$U102,"")</f>
        <v/>
      </c>
      <c r="BD102" s="85" t="str">
        <f aca="false">IF($B102=BD$12,$U102,"")</f>
        <v/>
      </c>
      <c r="BE102" s="85" t="str">
        <f aca="false">IF($B102=BE$12,$U102,"")</f>
        <v/>
      </c>
      <c r="BF102" s="85" t="str">
        <f aca="false">IF($B102=BF$12,$U102,"")</f>
        <v/>
      </c>
      <c r="BG102" s="85" t="str">
        <f aca="false">IF($B102=BG$12,$U102,"")</f>
        <v/>
      </c>
      <c r="BH102" s="85" t="str">
        <f aca="false">IF($B102=BH$12,$U102,"")</f>
        <v/>
      </c>
      <c r="BI102" s="85" t="str">
        <f aca="false">IF($B102=BI$12,$U102,"")</f>
        <v/>
      </c>
      <c r="BJ102" s="85" t="str">
        <f aca="false">IF($B102=BJ$12,$U102,"")</f>
        <v/>
      </c>
      <c r="BK102" s="85" t="str">
        <f aca="false">IF($B102=BK$12,$U102,"")</f>
        <v/>
      </c>
      <c r="BL102" s="85" t="str">
        <f aca="false">IF($B102=BL$12,$U102,"")</f>
        <v/>
      </c>
      <c r="BM102" s="85" t="str">
        <f aca="false">IF($B102=BM$12,$U102,"")</f>
        <v/>
      </c>
      <c r="BN102" s="85" t="str">
        <f aca="false">IF($B102=BN$12,$U102,"")</f>
        <v/>
      </c>
      <c r="BO102" s="85" t="str">
        <f aca="false">IF($B102=BO$12,$U102,"")</f>
        <v/>
      </c>
      <c r="BP102" s="85" t="str">
        <f aca="false">IF($B102=BP$12,$U102,"")</f>
        <v/>
      </c>
      <c r="BQ102" s="85" t="str">
        <f aca="false">IF($B102=BQ$12,$U102,"")</f>
        <v/>
      </c>
      <c r="BR102" s="85" t="str">
        <f aca="false">IF($B102=BR$12,$U102,"")</f>
        <v/>
      </c>
      <c r="BS102" s="85" t="str">
        <f aca="false">IF($B102=BS$12,$U102,"")</f>
        <v/>
      </c>
      <c r="BT102" s="85" t="str">
        <f aca="false">IF($B102=BT$12,$U102,"")</f>
        <v/>
      </c>
      <c r="BU102" s="85" t="str">
        <f aca="false">IF($B102=BU$12,$U102,"")</f>
        <v/>
      </c>
      <c r="BV102" s="85" t="str">
        <f aca="false">IF($B102=BV$12,$U102,"")</f>
        <v/>
      </c>
      <c r="BW102" s="85" t="str">
        <f aca="false">IF($B102=BW$12,$U102,"")</f>
        <v/>
      </c>
      <c r="BX102" s="85" t="str">
        <f aca="false">IF($B102=BX$12,$U102,"")</f>
        <v/>
      </c>
      <c r="BY102" s="85" t="str">
        <f aca="false">IF($B102=BY$12,$U102,"")</f>
        <v/>
      </c>
      <c r="BZ102" s="85" t="str">
        <f aca="false">IF($B102=BZ$12,$U102,"")</f>
        <v/>
      </c>
      <c r="CA102" s="85" t="str">
        <f aca="false">IF($B102=CA$12,$U102,"")</f>
        <v/>
      </c>
      <c r="CB102" s="85" t="str">
        <f aca="false">IF($B102=CB$12,$U102,"")</f>
        <v/>
      </c>
      <c r="CC102" s="85" t="str">
        <f aca="false">IF($B102=CC$12,$U102,"")</f>
        <v/>
      </c>
      <c r="CD102" s="85" t="str">
        <f aca="false">IF($B102=CD$12,$U102,"")</f>
        <v/>
      </c>
      <c r="CE102" s="85" t="str">
        <f aca="false">IF($B102=CE$12,$U102,"")</f>
        <v/>
      </c>
      <c r="CF102" s="85" t="str">
        <f aca="false">IF($B102=CF$12,$U102,"")</f>
        <v/>
      </c>
      <c r="CG102" s="85" t="str">
        <f aca="false">IF($B102=CG$12,$U102,"")</f>
        <v/>
      </c>
      <c r="CH102" s="85" t="str">
        <f aca="false">IF($B102=CH$12,$U102,"")</f>
        <v/>
      </c>
      <c r="CI102" s="85" t="str">
        <f aca="false">IF($B102=CI$12,$U102,"")</f>
        <v/>
      </c>
      <c r="CJ102" s="85" t="str">
        <f aca="false">IF($B102=CJ$12,$U102,"")</f>
        <v/>
      </c>
      <c r="CK102" s="85" t="str">
        <f aca="false">IF($B102=CK$12,$U102,"")</f>
        <v/>
      </c>
      <c r="CL102" s="85" t="str">
        <f aca="false">IF($B102=CL$12,$U102,"")</f>
        <v/>
      </c>
      <c r="CM102" s="85" t="str">
        <f aca="false">IF($B102=CM$12,$U102,"")</f>
        <v/>
      </c>
      <c r="CN102" s="85" t="str">
        <f aca="false">IF($B102=CN$12,$U102,"")</f>
        <v/>
      </c>
      <c r="CO102" s="85" t="str">
        <f aca="false">IF($B102=CO$12,$U102,"")</f>
        <v/>
      </c>
      <c r="CP102" s="85" t="str">
        <f aca="false">IF($B102=CP$12,$U102,"")</f>
        <v/>
      </c>
      <c r="CQ102" s="85" t="str">
        <f aca="false">IF($B102=CQ$12,$U102,"")</f>
        <v/>
      </c>
      <c r="CR102" s="85" t="str">
        <f aca="false">IF($B102=CR$12,$U102,"")</f>
        <v/>
      </c>
      <c r="CS102" s="85" t="str">
        <f aca="false">IF($B102=CS$12,$U102,"")</f>
        <v/>
      </c>
      <c r="CT102" s="85" t="str">
        <f aca="false">IF($B102=CT$12,$U102,"")</f>
        <v/>
      </c>
      <c r="CU102" s="85" t="str">
        <f aca="false">IF($B102=CU$12,$U102,"")</f>
        <v/>
      </c>
      <c r="CV102" s="85" t="str">
        <f aca="false">IF($B102=CV$12,$U102,"")</f>
        <v/>
      </c>
      <c r="CW102" s="85" t="str">
        <f aca="false">IF($B102=CW$12,$U102,"")</f>
        <v/>
      </c>
      <c r="CX102" s="85" t="str">
        <f aca="false">IF($B102=CX$12,$U102,"")</f>
        <v/>
      </c>
      <c r="CY102" s="85" t="str">
        <f aca="false">IF($B102=CY$12,$U102,"")</f>
        <v/>
      </c>
      <c r="CZ102" s="85" t="str">
        <f aca="false">IF($B102=CZ$12,$U102,"")</f>
        <v/>
      </c>
      <c r="DA102" s="85" t="str">
        <f aca="false">IF($B102=DA$12,$U102,"")</f>
        <v/>
      </c>
      <c r="DB102" s="85" t="str">
        <f aca="false">IF($B102=DB$12,$U102,"")</f>
        <v/>
      </c>
      <c r="DC102" s="85" t="str">
        <f aca="false">IF($B102=DC$12,$U102,"")</f>
        <v/>
      </c>
      <c r="DD102" s="85" t="str">
        <f aca="false">IF($B102=DD$12,$U102,"")</f>
        <v/>
      </c>
      <c r="DE102" s="85" t="str">
        <f aca="false">IF($B102=DE$12,$U102,"")</f>
        <v/>
      </c>
      <c r="DF102" s="85" t="str">
        <f aca="false">IF($B102=DF$12,$U102,"")</f>
        <v/>
      </c>
      <c r="DG102" s="85" t="str">
        <f aca="false">IF($B102=DG$12,$U102,"")</f>
        <v/>
      </c>
      <c r="DH102" s="85" t="str">
        <f aca="false">IF($B102=DH$12,$U102,"")</f>
        <v/>
      </c>
      <c r="DI102" s="85" t="str">
        <f aca="false">IF($B102=DI$12,$U102,"")</f>
        <v/>
      </c>
      <c r="DJ102" s="85" t="str">
        <f aca="false">IF($B102=DJ$12,$U102,"")</f>
        <v/>
      </c>
      <c r="DK102" s="85" t="str">
        <f aca="false">IF($B102=DK$12,$U102,"")</f>
        <v/>
      </c>
      <c r="DL102" s="85" t="str">
        <f aca="false">IF($B102=DL$12,$U102,"")</f>
        <v/>
      </c>
      <c r="DM102" s="85" t="str">
        <f aca="false">IF($B102=DM$12,$U102,"")</f>
        <v/>
      </c>
      <c r="DN102" s="85" t="str">
        <f aca="false">IF($B102=DN$12,$U102,"")</f>
        <v/>
      </c>
      <c r="DO102" s="85" t="str">
        <f aca="false">IF($B102=DO$12,$U102,"")</f>
        <v/>
      </c>
      <c r="DP102" s="85" t="str">
        <f aca="false">IF($B102=DP$12,$U102,"")</f>
        <v/>
      </c>
      <c r="DQ102" s="85" t="str">
        <f aca="false">IF($B102=DQ$12,$U102,"")</f>
        <v/>
      </c>
      <c r="DR102" s="85" t="str">
        <f aca="false">IF($B102=DR$12,$U102,"")</f>
        <v/>
      </c>
      <c r="DS102" s="85" t="str">
        <f aca="false">IF($B102=DS$12,$U102,"")</f>
        <v/>
      </c>
      <c r="DT102" s="86" t="str">
        <f aca="false">IF($B102=DT$12,$U102,"")</f>
        <v/>
      </c>
      <c r="DU102" s="55"/>
      <c r="DV102" s="83"/>
      <c r="DW102" s="87" t="str">
        <f aca="false">IF($B102=DW$12,$O102,"")</f>
        <v/>
      </c>
      <c r="DX102" s="88" t="str">
        <f aca="false">IF($B102=DX$12,$O102,"")</f>
        <v/>
      </c>
      <c r="DY102" s="88" t="str">
        <f aca="false">IF($B102=DY$12,$O102,"")</f>
        <v/>
      </c>
      <c r="DZ102" s="88" t="str">
        <f aca="false">IF($B102=DZ$12,$O102,"")</f>
        <v/>
      </c>
      <c r="EA102" s="88" t="str">
        <f aca="false">IF($B102=EA$12,$O102,"")</f>
        <v/>
      </c>
      <c r="EB102" s="88" t="str">
        <f aca="false">IF($B102=EB$12,$O102,"")</f>
        <v/>
      </c>
      <c r="EC102" s="88" t="str">
        <f aca="false">IF($B102=EC$12,$O102,"")</f>
        <v/>
      </c>
      <c r="ED102" s="88" t="str">
        <f aca="false">IF($B102=ED$12,$O102,"")</f>
        <v/>
      </c>
      <c r="EE102" s="88" t="str">
        <f aca="false">IF($B102=EE$12,$O102,"")</f>
        <v/>
      </c>
      <c r="EF102" s="88" t="str">
        <f aca="false">IF($B102=EF$12,$O102,"")</f>
        <v/>
      </c>
      <c r="EG102" s="88" t="str">
        <f aca="false">IF($B102=EG$12,$O102,"")</f>
        <v/>
      </c>
      <c r="EH102" s="88" t="str">
        <f aca="false">IF($B102=EH$12,$O102,"")</f>
        <v/>
      </c>
      <c r="EI102" s="88" t="str">
        <f aca="false">IF($B102=EI$12,$O102,"")</f>
        <v/>
      </c>
      <c r="EJ102" s="88" t="str">
        <f aca="false">IF($B102=EJ$12,$O102,"")</f>
        <v/>
      </c>
      <c r="EK102" s="88" t="str">
        <f aca="false">IF($B102=EK$12,$O102,"")</f>
        <v/>
      </c>
      <c r="EL102" s="88" t="str">
        <f aca="false">IF($B102=EL$12,$O102,"")</f>
        <v/>
      </c>
      <c r="EM102" s="88" t="str">
        <f aca="false">IF($B102=EM$12,$O102,"")</f>
        <v/>
      </c>
      <c r="EN102" s="88" t="str">
        <f aca="false">IF($B102=EN$12,$O102,"")</f>
        <v/>
      </c>
      <c r="EO102" s="88" t="str">
        <f aca="false">IF($B102=EO$12,$O102,"")</f>
        <v/>
      </c>
      <c r="EP102" s="88" t="str">
        <f aca="false">IF($B102=EP$12,$O102,"")</f>
        <v/>
      </c>
      <c r="EQ102" s="88" t="str">
        <f aca="false">IF($B102=EQ$12,$O102,"")</f>
        <v/>
      </c>
      <c r="ER102" s="88" t="str">
        <f aca="false">IF($B102=ER$12,$O102,"")</f>
        <v/>
      </c>
      <c r="ES102" s="88" t="str">
        <f aca="false">IF($B102=ES$12,$O102,"")</f>
        <v/>
      </c>
      <c r="ET102" s="88" t="str">
        <f aca="false">IF($B102=ET$12,$O102,"")</f>
        <v/>
      </c>
      <c r="EU102" s="88" t="str">
        <f aca="false">IF($B102=EU$12,$O102,"")</f>
        <v/>
      </c>
      <c r="EV102" s="88" t="str">
        <f aca="false">IF($B102=EV$12,$O102,"")</f>
        <v/>
      </c>
      <c r="EW102" s="88" t="str">
        <f aca="false">IF($B102=EW$12,$O102,"")</f>
        <v/>
      </c>
      <c r="EX102" s="88" t="str">
        <f aca="false">IF($B102=EX$12,$O102,"")</f>
        <v/>
      </c>
      <c r="EY102" s="88" t="str">
        <f aca="false">IF($B102=EY$12,$O102,"")</f>
        <v/>
      </c>
      <c r="EZ102" s="88" t="str">
        <f aca="false">IF($B102=EZ$12,$O102,"")</f>
        <v/>
      </c>
      <c r="FA102" s="88" t="str">
        <f aca="false">IF($B102=FA$12,$O102,"")</f>
        <v/>
      </c>
      <c r="FB102" s="88" t="str">
        <f aca="false">IF($B102=FB$12,$O102,"")</f>
        <v/>
      </c>
      <c r="FC102" s="88" t="str">
        <f aca="false">IF($B102=FC$12,$O102,"")</f>
        <v/>
      </c>
      <c r="FD102" s="88" t="str">
        <f aca="false">IF($B102=FD$12,$O102,"")</f>
        <v/>
      </c>
      <c r="FE102" s="88" t="str">
        <f aca="false">IF($B102=FE$12,$O102,"")</f>
        <v/>
      </c>
      <c r="FF102" s="88" t="str">
        <f aca="false">IF($B102=FF$12,$O102,"")</f>
        <v/>
      </c>
      <c r="FG102" s="88" t="str">
        <f aca="false">IF($B102=FG$12,$O102,"")</f>
        <v/>
      </c>
      <c r="FH102" s="88" t="str">
        <f aca="false">IF($B102=FH$12,$O102,"")</f>
        <v/>
      </c>
      <c r="FI102" s="88" t="str">
        <f aca="false">IF($B102=FI$12,$O102,"")</f>
        <v/>
      </c>
      <c r="FJ102" s="88" t="str">
        <f aca="false">IF($B102=FJ$12,$O102,"")</f>
        <v/>
      </c>
      <c r="FK102" s="88" t="str">
        <f aca="false">IF($B102=FK$12,$O102,"")</f>
        <v/>
      </c>
      <c r="FL102" s="88" t="str">
        <f aca="false">IF($B102=FL$12,$O102,"")</f>
        <v/>
      </c>
      <c r="FM102" s="88" t="str">
        <f aca="false">IF($B102=FM$12,$O102,"")</f>
        <v/>
      </c>
      <c r="FN102" s="88" t="str">
        <f aca="false">IF($B102=FN$12,$O102,"")</f>
        <v/>
      </c>
      <c r="FO102" s="88" t="str">
        <f aca="false">IF($B102=FO$12,$O102,"")</f>
        <v/>
      </c>
      <c r="FP102" s="88" t="str">
        <f aca="false">IF($B102=FP$12,$O102,"")</f>
        <v/>
      </c>
      <c r="FQ102" s="88" t="str">
        <f aca="false">IF($B102=FQ$12,$O102,"")</f>
        <v/>
      </c>
      <c r="FR102" s="88" t="str">
        <f aca="false">IF($B102=FR$12,$O102,"")</f>
        <v/>
      </c>
      <c r="FS102" s="88" t="str">
        <f aca="false">IF($B102=FS$12,$O102,"")</f>
        <v/>
      </c>
      <c r="FT102" s="88" t="str">
        <f aca="false">IF($B102=FT$12,$O102,"")</f>
        <v/>
      </c>
      <c r="FU102" s="88" t="str">
        <f aca="false">IF($B102=FU$12,$O102,"")</f>
        <v/>
      </c>
      <c r="FV102" s="88" t="str">
        <f aca="false">IF($B102=FV$12,$O102,"")</f>
        <v/>
      </c>
      <c r="FW102" s="88" t="str">
        <f aca="false">IF($B102=FW$12,$O102,"")</f>
        <v/>
      </c>
      <c r="FX102" s="88" t="str">
        <f aca="false">IF($B102=FX$12,$O102,"")</f>
        <v/>
      </c>
      <c r="FY102" s="88" t="str">
        <f aca="false">IF($B102=FY$12,$O102,"")</f>
        <v/>
      </c>
      <c r="FZ102" s="88" t="str">
        <f aca="false">IF($B102=FZ$12,$O102,"")</f>
        <v/>
      </c>
      <c r="GA102" s="88" t="str">
        <f aca="false">IF($B102=GA$12,$O102,"")</f>
        <v/>
      </c>
      <c r="GB102" s="88" t="str">
        <f aca="false">IF($B102=GB$12,$O102,"")</f>
        <v/>
      </c>
      <c r="GC102" s="88" t="str">
        <f aca="false">IF($B102=GC$12,$O102,"")</f>
        <v/>
      </c>
      <c r="GD102" s="88" t="str">
        <f aca="false">IF($B102=GD$12,$O102,"")</f>
        <v/>
      </c>
      <c r="GE102" s="88" t="str">
        <f aca="false">IF($B102=GE$12,$O102,"")</f>
        <v/>
      </c>
      <c r="GF102" s="88" t="str">
        <f aca="false">IF($B102=GF$12,$O102,"")</f>
        <v/>
      </c>
      <c r="GG102" s="88" t="str">
        <f aca="false">IF($B102=GG$12,$O102,"")</f>
        <v/>
      </c>
      <c r="GH102" s="88" t="str">
        <f aca="false">IF($B102=GH$12,$O102,"")</f>
        <v/>
      </c>
      <c r="GI102" s="88" t="str">
        <f aca="false">IF($B102=GI$12,$O102,"")</f>
        <v/>
      </c>
      <c r="GJ102" s="88" t="str">
        <f aca="false">IF($B102=GJ$12,$O102,"")</f>
        <v/>
      </c>
      <c r="GK102" s="88" t="str">
        <f aca="false">IF($B102=GK$12,$O102,"")</f>
        <v/>
      </c>
      <c r="GL102" s="88" t="str">
        <f aca="false">IF($B102=GL$12,$O102,"")</f>
        <v/>
      </c>
      <c r="GM102" s="88" t="str">
        <f aca="false">IF($B102=GM$12,$O102,"")</f>
        <v/>
      </c>
      <c r="GN102" s="88" t="str">
        <f aca="false">IF($B102=GN$12,$O102,"")</f>
        <v/>
      </c>
      <c r="GO102" s="88" t="str">
        <f aca="false">IF($B102=GO$12,$O102,"")</f>
        <v/>
      </c>
      <c r="GP102" s="88" t="str">
        <f aca="false">IF($B102=GP$12,$O102,"")</f>
        <v/>
      </c>
      <c r="GQ102" s="88" t="str">
        <f aca="false">IF($B102=GQ$12,$O102,"")</f>
        <v/>
      </c>
      <c r="GR102" s="88" t="str">
        <f aca="false">IF($B102=GR$12,$O102,"")</f>
        <v/>
      </c>
      <c r="GS102" s="88" t="str">
        <f aca="false">IF($B102=GS$12,$O102,"")</f>
        <v/>
      </c>
      <c r="GT102" s="88" t="str">
        <f aca="false">IF($B102=GT$12,$O102,"")</f>
        <v/>
      </c>
      <c r="GU102" s="88" t="str">
        <f aca="false">IF($B102=GU$12,$O102,"")</f>
        <v/>
      </c>
      <c r="GV102" s="88" t="str">
        <f aca="false">IF($B102=GV$12,$O102,"")</f>
        <v/>
      </c>
      <c r="GW102" s="88" t="str">
        <f aca="false">IF($B102=GW$12,$O102,"")</f>
        <v/>
      </c>
      <c r="GX102" s="88" t="str">
        <f aca="false">IF($B102=GX$12,$O102,"")</f>
        <v/>
      </c>
      <c r="GY102" s="88" t="str">
        <f aca="false">IF($B102=GY$12,$O102,"")</f>
        <v/>
      </c>
      <c r="GZ102" s="88" t="str">
        <f aca="false">IF($B102=GZ$12,$O102,"")</f>
        <v/>
      </c>
      <c r="HA102" s="88" t="str">
        <f aca="false">IF($B102=HA$12,$O102,"")</f>
        <v/>
      </c>
      <c r="HB102" s="88" t="str">
        <f aca="false">IF($B102=HB$12,$O102,"")</f>
        <v/>
      </c>
      <c r="HC102" s="88" t="str">
        <f aca="false">IF($B102=HC$12,$O102,"")</f>
        <v/>
      </c>
      <c r="HD102" s="88" t="str">
        <f aca="false">IF($B102=HD$12,$O102,"")</f>
        <v/>
      </c>
      <c r="HE102" s="88" t="str">
        <f aca="false">IF($B102=HE$12,$O102,"")</f>
        <v/>
      </c>
      <c r="HF102" s="88" t="str">
        <f aca="false">IF($B102=HF$12,$O102,"")</f>
        <v/>
      </c>
      <c r="HG102" s="88" t="str">
        <f aca="false">IF($B102=HG$12,$O102,"")</f>
        <v/>
      </c>
      <c r="HH102" s="88" t="str">
        <f aca="false">IF($B102=HH$12,$O102,"")</f>
        <v/>
      </c>
      <c r="HI102" s="88" t="str">
        <f aca="false">IF($B102=HI$12,$O102,"")</f>
        <v/>
      </c>
      <c r="HJ102" s="88" t="str">
        <f aca="false">IF($B102=HJ$12,$O102,"")</f>
        <v/>
      </c>
      <c r="HK102" s="88" t="str">
        <f aca="false">IF($B102=HK$12,$O102,"")</f>
        <v/>
      </c>
      <c r="HL102" s="88" t="str">
        <f aca="false">IF($B102=HL$12,$O102,"")</f>
        <v/>
      </c>
      <c r="HM102" s="88" t="str">
        <f aca="false">IF($B102=HM$12,$O102,"")</f>
        <v/>
      </c>
      <c r="HN102" s="88" t="str">
        <f aca="false">IF($B102=HN$12,$O102,"")</f>
        <v/>
      </c>
      <c r="HO102" s="88" t="str">
        <f aca="false">IF($B102=HO$12,$O102,"")</f>
        <v/>
      </c>
      <c r="HP102" s="88" t="str">
        <f aca="false">IF($B102=HP$12,$O102,"")</f>
        <v/>
      </c>
      <c r="HQ102" s="88" t="str">
        <f aca="false">IF($B102=HQ$12,$O102,"")</f>
        <v/>
      </c>
      <c r="HR102" s="89" t="str">
        <f aca="false">IF($B102=HR$12,$O102,"")</f>
        <v/>
      </c>
    </row>
    <row r="103" customFormat="false" ht="10.5" hidden="false" customHeight="true" outlineLevel="0" collapsed="false">
      <c r="A103" s="73"/>
      <c r="B103" s="74"/>
      <c r="C103" s="75" t="str">
        <f aca="false">IF(A103=0,"",VLOOKUP(A103,[3]CO!$A$3:$F$5311,2,0))</f>
        <v/>
      </c>
      <c r="D103" s="76"/>
      <c r="E103" s="76"/>
      <c r="F103" s="76"/>
      <c r="G103" s="77" t="str">
        <f aca="false">IF(A103=0,"",VLOOKUP(A103,[3]CO!$A$3:$F$5311,3,0))</f>
        <v/>
      </c>
      <c r="H103" s="76"/>
      <c r="I103" s="78"/>
      <c r="J103" s="78"/>
      <c r="K103" s="78"/>
      <c r="L103" s="78"/>
      <c r="M103" s="79" t="str">
        <f aca="false">IF(L103=0,"",PRODUCT(I103:L103))</f>
        <v/>
      </c>
      <c r="N103" s="79" t="str">
        <f aca="false">IF(B103=0,"",IF(H103="M",HLOOKUP(B103,$Y$12:$DT$13,2),IF(A103=0,"",VLOOKUP(A103,[3]CO!$A$3:$F$5311,4,0))))</f>
        <v/>
      </c>
      <c r="O103" s="79" t="str">
        <f aca="false">IF(L103=0,"",PRODUCT(M103:N103))</f>
        <v/>
      </c>
      <c r="P103" s="80"/>
      <c r="Q103" s="81" t="str">
        <f aca="false">IF(P103=0,"",(HLOOKUP(P103,$DW$12:$HR$13,2)))</f>
        <v/>
      </c>
      <c r="R103" s="82" t="str">
        <f aca="false">IF(S103=0,"",IF(OR(G103="PEON",G103="OF",G103="JARD",G103="CARP",G103="MAESTRO",G103="SOLD",G103="BGRO",G103="CHOFER",G103="AYTE",G103="S.INTTE.",G103="ASEO",G103="P.PISOS",G103="VELADOR",G103="RESID",G103="PINTOR",G103="ELECT",G103="AZULE",G103="AUX CONT.",G103="SECRETARIA",G103="AUXILIAR ADMTVO.",G103="ARQUITECTO",G103="DIBUJANTE",G103="AUX. DE RESIDENTE"),VLOOKUP(B103,P$14:Q$131,2),"")*S103)</f>
        <v/>
      </c>
      <c r="S103" s="5"/>
      <c r="T103" s="65" t="str">
        <f aca="false">IF(A103=0,"",VLOOKUP(A103,[3]CO!$A$3:$F$5302,5,0))</f>
        <v/>
      </c>
      <c r="U103" s="55" t="n">
        <f aca="false">IF(T103=1,O103*0.1,)</f>
        <v>0</v>
      </c>
      <c r="V103" s="66"/>
      <c r="W103" s="83"/>
      <c r="X103" s="83"/>
      <c r="Y103" s="84" t="str">
        <f aca="false">IF($B103=Y$12,$U103,"")</f>
        <v/>
      </c>
      <c r="Z103" s="85" t="str">
        <f aca="false">IF($B103=Z$12,$U103,"")</f>
        <v/>
      </c>
      <c r="AA103" s="85" t="str">
        <f aca="false">IF($B103=AA$12,$U103,"")</f>
        <v/>
      </c>
      <c r="AB103" s="85" t="str">
        <f aca="false">IF($B103=AB$12,$U103,"")</f>
        <v/>
      </c>
      <c r="AC103" s="85" t="str">
        <f aca="false">IF($B103=AC$12,$U103,"")</f>
        <v/>
      </c>
      <c r="AD103" s="85" t="str">
        <f aca="false">IF($B103=AD$12,$U103,"")</f>
        <v/>
      </c>
      <c r="AE103" s="85" t="str">
        <f aca="false">IF($B103=AE$12,$U103,"")</f>
        <v/>
      </c>
      <c r="AF103" s="85" t="str">
        <f aca="false">IF($B103=AF$12,$U103,"")</f>
        <v/>
      </c>
      <c r="AG103" s="85" t="str">
        <f aca="false">IF($B103=AG$12,$U103,"")</f>
        <v/>
      </c>
      <c r="AH103" s="85" t="str">
        <f aca="false">IF($B103=AH$12,$U103,"")</f>
        <v/>
      </c>
      <c r="AI103" s="85" t="str">
        <f aca="false">IF($B103=AI$12,$U103,"")</f>
        <v/>
      </c>
      <c r="AJ103" s="85" t="str">
        <f aca="false">IF($B103=AJ$12,$U103,"")</f>
        <v/>
      </c>
      <c r="AK103" s="85" t="str">
        <f aca="false">IF($B103=AK$12,$U103,"")</f>
        <v/>
      </c>
      <c r="AL103" s="85" t="str">
        <f aca="false">IF($B103=AL$12,$U103,"")</f>
        <v/>
      </c>
      <c r="AM103" s="85" t="str">
        <f aca="false">IF($B103=AM$12,$U103,"")</f>
        <v/>
      </c>
      <c r="AN103" s="85" t="str">
        <f aca="false">IF($B103=AN$12,$U103,"")</f>
        <v/>
      </c>
      <c r="AO103" s="85" t="str">
        <f aca="false">IF($B103=AO$12,$U103,"")</f>
        <v/>
      </c>
      <c r="AP103" s="85" t="str">
        <f aca="false">IF($B103=AP$12,$U103,"")</f>
        <v/>
      </c>
      <c r="AQ103" s="85" t="str">
        <f aca="false">IF($B103=AQ$12,$U103,"")</f>
        <v/>
      </c>
      <c r="AR103" s="85" t="str">
        <f aca="false">IF($B103=AR$12,$U103,"")</f>
        <v/>
      </c>
      <c r="AS103" s="85" t="str">
        <f aca="false">IF($B103=AS$12,$U103,"")</f>
        <v/>
      </c>
      <c r="AT103" s="85" t="str">
        <f aca="false">IF($B103=AT$12,$U103,"")</f>
        <v/>
      </c>
      <c r="AU103" s="85" t="str">
        <f aca="false">IF($B103=AU$12,$U103,"")</f>
        <v/>
      </c>
      <c r="AV103" s="85" t="str">
        <f aca="false">IF($B103=AV$12,$U103,"")</f>
        <v/>
      </c>
      <c r="AW103" s="85" t="str">
        <f aca="false">IF($B103=AW$12,$U103,"")</f>
        <v/>
      </c>
      <c r="AX103" s="85" t="str">
        <f aca="false">IF($B103=AX$12,$U103,"")</f>
        <v/>
      </c>
      <c r="AY103" s="85" t="str">
        <f aca="false">IF($B103=AY$12,$U103,"")</f>
        <v/>
      </c>
      <c r="AZ103" s="85" t="str">
        <f aca="false">IF($B103=AZ$12,$U103,"")</f>
        <v/>
      </c>
      <c r="BA103" s="85" t="str">
        <f aca="false">IF($B103=BA$12,$U103,"")</f>
        <v/>
      </c>
      <c r="BB103" s="85" t="str">
        <f aca="false">IF($B103=BB$12,$U103,"")</f>
        <v/>
      </c>
      <c r="BC103" s="85" t="str">
        <f aca="false">IF($B103=BC$12,$U103,"")</f>
        <v/>
      </c>
      <c r="BD103" s="85" t="str">
        <f aca="false">IF($B103=BD$12,$U103,"")</f>
        <v/>
      </c>
      <c r="BE103" s="85" t="str">
        <f aca="false">IF($B103=BE$12,$U103,"")</f>
        <v/>
      </c>
      <c r="BF103" s="85" t="str">
        <f aca="false">IF($B103=BF$12,$U103,"")</f>
        <v/>
      </c>
      <c r="BG103" s="85" t="str">
        <f aca="false">IF($B103=BG$12,$U103,"")</f>
        <v/>
      </c>
      <c r="BH103" s="85" t="str">
        <f aca="false">IF($B103=BH$12,$U103,"")</f>
        <v/>
      </c>
      <c r="BI103" s="85" t="str">
        <f aca="false">IF($B103=BI$12,$U103,"")</f>
        <v/>
      </c>
      <c r="BJ103" s="85" t="str">
        <f aca="false">IF($B103=BJ$12,$U103,"")</f>
        <v/>
      </c>
      <c r="BK103" s="85" t="str">
        <f aca="false">IF($B103=BK$12,$U103,"")</f>
        <v/>
      </c>
      <c r="BL103" s="85" t="str">
        <f aca="false">IF($B103=BL$12,$U103,"")</f>
        <v/>
      </c>
      <c r="BM103" s="85" t="str">
        <f aca="false">IF($B103=BM$12,$U103,"")</f>
        <v/>
      </c>
      <c r="BN103" s="85" t="str">
        <f aca="false">IF($B103=BN$12,$U103,"")</f>
        <v/>
      </c>
      <c r="BO103" s="85" t="str">
        <f aca="false">IF($B103=BO$12,$U103,"")</f>
        <v/>
      </c>
      <c r="BP103" s="85" t="str">
        <f aca="false">IF($B103=BP$12,$U103,"")</f>
        <v/>
      </c>
      <c r="BQ103" s="85" t="str">
        <f aca="false">IF($B103=BQ$12,$U103,"")</f>
        <v/>
      </c>
      <c r="BR103" s="85" t="str">
        <f aca="false">IF($B103=BR$12,$U103,"")</f>
        <v/>
      </c>
      <c r="BS103" s="85" t="str">
        <f aca="false">IF($B103=BS$12,$U103,"")</f>
        <v/>
      </c>
      <c r="BT103" s="85" t="str">
        <f aca="false">IF($B103=BT$12,$U103,"")</f>
        <v/>
      </c>
      <c r="BU103" s="85" t="str">
        <f aca="false">IF($B103=BU$12,$U103,"")</f>
        <v/>
      </c>
      <c r="BV103" s="85" t="str">
        <f aca="false">IF($B103=BV$12,$U103,"")</f>
        <v/>
      </c>
      <c r="BW103" s="85" t="str">
        <f aca="false">IF($B103=BW$12,$U103,"")</f>
        <v/>
      </c>
      <c r="BX103" s="85" t="str">
        <f aca="false">IF($B103=BX$12,$U103,"")</f>
        <v/>
      </c>
      <c r="BY103" s="85" t="str">
        <f aca="false">IF($B103=BY$12,$U103,"")</f>
        <v/>
      </c>
      <c r="BZ103" s="85" t="str">
        <f aca="false">IF($B103=BZ$12,$U103,"")</f>
        <v/>
      </c>
      <c r="CA103" s="85" t="str">
        <f aca="false">IF($B103=CA$12,$U103,"")</f>
        <v/>
      </c>
      <c r="CB103" s="85" t="str">
        <f aca="false">IF($B103=CB$12,$U103,"")</f>
        <v/>
      </c>
      <c r="CC103" s="85" t="str">
        <f aca="false">IF($B103=CC$12,$U103,"")</f>
        <v/>
      </c>
      <c r="CD103" s="85" t="str">
        <f aca="false">IF($B103=CD$12,$U103,"")</f>
        <v/>
      </c>
      <c r="CE103" s="85" t="str">
        <f aca="false">IF($B103=CE$12,$U103,"")</f>
        <v/>
      </c>
      <c r="CF103" s="85" t="str">
        <f aca="false">IF($B103=CF$12,$U103,"")</f>
        <v/>
      </c>
      <c r="CG103" s="85" t="str">
        <f aca="false">IF($B103=CG$12,$U103,"")</f>
        <v/>
      </c>
      <c r="CH103" s="85" t="str">
        <f aca="false">IF($B103=CH$12,$U103,"")</f>
        <v/>
      </c>
      <c r="CI103" s="85" t="str">
        <f aca="false">IF($B103=CI$12,$U103,"")</f>
        <v/>
      </c>
      <c r="CJ103" s="85" t="str">
        <f aca="false">IF($B103=CJ$12,$U103,"")</f>
        <v/>
      </c>
      <c r="CK103" s="85" t="str">
        <f aca="false">IF($B103=CK$12,$U103,"")</f>
        <v/>
      </c>
      <c r="CL103" s="85" t="str">
        <f aca="false">IF($B103=CL$12,$U103,"")</f>
        <v/>
      </c>
      <c r="CM103" s="85" t="str">
        <f aca="false">IF($B103=CM$12,$U103,"")</f>
        <v/>
      </c>
      <c r="CN103" s="85" t="str">
        <f aca="false">IF($B103=CN$12,$U103,"")</f>
        <v/>
      </c>
      <c r="CO103" s="85" t="str">
        <f aca="false">IF($B103=CO$12,$U103,"")</f>
        <v/>
      </c>
      <c r="CP103" s="85" t="str">
        <f aca="false">IF($B103=CP$12,$U103,"")</f>
        <v/>
      </c>
      <c r="CQ103" s="85" t="str">
        <f aca="false">IF($B103=CQ$12,$U103,"")</f>
        <v/>
      </c>
      <c r="CR103" s="85" t="str">
        <f aca="false">IF($B103=CR$12,$U103,"")</f>
        <v/>
      </c>
      <c r="CS103" s="85" t="str">
        <f aca="false">IF($B103=CS$12,$U103,"")</f>
        <v/>
      </c>
      <c r="CT103" s="85" t="str">
        <f aca="false">IF($B103=CT$12,$U103,"")</f>
        <v/>
      </c>
      <c r="CU103" s="85" t="str">
        <f aca="false">IF($B103=CU$12,$U103,"")</f>
        <v/>
      </c>
      <c r="CV103" s="85" t="str">
        <f aca="false">IF($B103=CV$12,$U103,"")</f>
        <v/>
      </c>
      <c r="CW103" s="85" t="str">
        <f aca="false">IF($B103=CW$12,$U103,"")</f>
        <v/>
      </c>
      <c r="CX103" s="85" t="str">
        <f aca="false">IF($B103=CX$12,$U103,"")</f>
        <v/>
      </c>
      <c r="CY103" s="85" t="str">
        <f aca="false">IF($B103=CY$12,$U103,"")</f>
        <v/>
      </c>
      <c r="CZ103" s="85" t="str">
        <f aca="false">IF($B103=CZ$12,$U103,"")</f>
        <v/>
      </c>
      <c r="DA103" s="85" t="str">
        <f aca="false">IF($B103=DA$12,$U103,"")</f>
        <v/>
      </c>
      <c r="DB103" s="85" t="str">
        <f aca="false">IF($B103=DB$12,$U103,"")</f>
        <v/>
      </c>
      <c r="DC103" s="85" t="str">
        <f aca="false">IF($B103=DC$12,$U103,"")</f>
        <v/>
      </c>
      <c r="DD103" s="85" t="str">
        <f aca="false">IF($B103=DD$12,$U103,"")</f>
        <v/>
      </c>
      <c r="DE103" s="85" t="str">
        <f aca="false">IF($B103=DE$12,$U103,"")</f>
        <v/>
      </c>
      <c r="DF103" s="85" t="str">
        <f aca="false">IF($B103=DF$12,$U103,"")</f>
        <v/>
      </c>
      <c r="DG103" s="85" t="str">
        <f aca="false">IF($B103=DG$12,$U103,"")</f>
        <v/>
      </c>
      <c r="DH103" s="85" t="str">
        <f aca="false">IF($B103=DH$12,$U103,"")</f>
        <v/>
      </c>
      <c r="DI103" s="85" t="str">
        <f aca="false">IF($B103=DI$12,$U103,"")</f>
        <v/>
      </c>
      <c r="DJ103" s="85" t="str">
        <f aca="false">IF($B103=DJ$12,$U103,"")</f>
        <v/>
      </c>
      <c r="DK103" s="85" t="str">
        <f aca="false">IF($B103=DK$12,$U103,"")</f>
        <v/>
      </c>
      <c r="DL103" s="85" t="str">
        <f aca="false">IF($B103=DL$12,$U103,"")</f>
        <v/>
      </c>
      <c r="DM103" s="85" t="str">
        <f aca="false">IF($B103=DM$12,$U103,"")</f>
        <v/>
      </c>
      <c r="DN103" s="85" t="str">
        <f aca="false">IF($B103=DN$12,$U103,"")</f>
        <v/>
      </c>
      <c r="DO103" s="85" t="str">
        <f aca="false">IF($B103=DO$12,$U103,"")</f>
        <v/>
      </c>
      <c r="DP103" s="85" t="str">
        <f aca="false">IF($B103=DP$12,$U103,"")</f>
        <v/>
      </c>
      <c r="DQ103" s="85" t="str">
        <f aca="false">IF($B103=DQ$12,$U103,"")</f>
        <v/>
      </c>
      <c r="DR103" s="85" t="str">
        <f aca="false">IF($B103=DR$12,$U103,"")</f>
        <v/>
      </c>
      <c r="DS103" s="85" t="str">
        <f aca="false">IF($B103=DS$12,$U103,"")</f>
        <v/>
      </c>
      <c r="DT103" s="86" t="str">
        <f aca="false">IF($B103=DT$12,$U103,"")</f>
        <v/>
      </c>
      <c r="DU103" s="55"/>
      <c r="DV103" s="83"/>
      <c r="DW103" s="87" t="str">
        <f aca="false">IF($B103=DW$12,$O103,"")</f>
        <v/>
      </c>
      <c r="DX103" s="88" t="str">
        <f aca="false">IF($B103=DX$12,$O103,"")</f>
        <v/>
      </c>
      <c r="DY103" s="88" t="str">
        <f aca="false">IF($B103=DY$12,$O103,"")</f>
        <v/>
      </c>
      <c r="DZ103" s="88" t="str">
        <f aca="false">IF($B103=DZ$12,$O103,"")</f>
        <v/>
      </c>
      <c r="EA103" s="88" t="str">
        <f aca="false">IF($B103=EA$12,$O103,"")</f>
        <v/>
      </c>
      <c r="EB103" s="88" t="str">
        <f aca="false">IF($B103=EB$12,$O103,"")</f>
        <v/>
      </c>
      <c r="EC103" s="88" t="str">
        <f aca="false">IF($B103=EC$12,$O103,"")</f>
        <v/>
      </c>
      <c r="ED103" s="88" t="str">
        <f aca="false">IF($B103=ED$12,$O103,"")</f>
        <v/>
      </c>
      <c r="EE103" s="88" t="str">
        <f aca="false">IF($B103=EE$12,$O103,"")</f>
        <v/>
      </c>
      <c r="EF103" s="88" t="str">
        <f aca="false">IF($B103=EF$12,$O103,"")</f>
        <v/>
      </c>
      <c r="EG103" s="88" t="str">
        <f aca="false">IF($B103=EG$12,$O103,"")</f>
        <v/>
      </c>
      <c r="EH103" s="88" t="str">
        <f aca="false">IF($B103=EH$12,$O103,"")</f>
        <v/>
      </c>
      <c r="EI103" s="88" t="str">
        <f aca="false">IF($B103=EI$12,$O103,"")</f>
        <v/>
      </c>
      <c r="EJ103" s="88" t="str">
        <f aca="false">IF($B103=EJ$12,$O103,"")</f>
        <v/>
      </c>
      <c r="EK103" s="88" t="str">
        <f aca="false">IF($B103=EK$12,$O103,"")</f>
        <v/>
      </c>
      <c r="EL103" s="88" t="str">
        <f aca="false">IF($B103=EL$12,$O103,"")</f>
        <v/>
      </c>
      <c r="EM103" s="88" t="str">
        <f aca="false">IF($B103=EM$12,$O103,"")</f>
        <v/>
      </c>
      <c r="EN103" s="88" t="str">
        <f aca="false">IF($B103=EN$12,$O103,"")</f>
        <v/>
      </c>
      <c r="EO103" s="88" t="str">
        <f aca="false">IF($B103=EO$12,$O103,"")</f>
        <v/>
      </c>
      <c r="EP103" s="88" t="str">
        <f aca="false">IF($B103=EP$12,$O103,"")</f>
        <v/>
      </c>
      <c r="EQ103" s="88" t="str">
        <f aca="false">IF($B103=EQ$12,$O103,"")</f>
        <v/>
      </c>
      <c r="ER103" s="88" t="str">
        <f aca="false">IF($B103=ER$12,$O103,"")</f>
        <v/>
      </c>
      <c r="ES103" s="88" t="str">
        <f aca="false">IF($B103=ES$12,$O103,"")</f>
        <v/>
      </c>
      <c r="ET103" s="88" t="str">
        <f aca="false">IF($B103=ET$12,$O103,"")</f>
        <v/>
      </c>
      <c r="EU103" s="88" t="str">
        <f aca="false">IF($B103=EU$12,$O103,"")</f>
        <v/>
      </c>
      <c r="EV103" s="88" t="str">
        <f aca="false">IF($B103=EV$12,$O103,"")</f>
        <v/>
      </c>
      <c r="EW103" s="88" t="str">
        <f aca="false">IF($B103=EW$12,$O103,"")</f>
        <v/>
      </c>
      <c r="EX103" s="88" t="str">
        <f aca="false">IF($B103=EX$12,$O103,"")</f>
        <v/>
      </c>
      <c r="EY103" s="88" t="str">
        <f aca="false">IF($B103=EY$12,$O103,"")</f>
        <v/>
      </c>
      <c r="EZ103" s="88" t="str">
        <f aca="false">IF($B103=EZ$12,$O103,"")</f>
        <v/>
      </c>
      <c r="FA103" s="88" t="str">
        <f aca="false">IF($B103=FA$12,$O103,"")</f>
        <v/>
      </c>
      <c r="FB103" s="88" t="str">
        <f aca="false">IF($B103=FB$12,$O103,"")</f>
        <v/>
      </c>
      <c r="FC103" s="88" t="str">
        <f aca="false">IF($B103=FC$12,$O103,"")</f>
        <v/>
      </c>
      <c r="FD103" s="88" t="str">
        <f aca="false">IF($B103=FD$12,$O103,"")</f>
        <v/>
      </c>
      <c r="FE103" s="88" t="str">
        <f aca="false">IF($B103=FE$12,$O103,"")</f>
        <v/>
      </c>
      <c r="FF103" s="88" t="str">
        <f aca="false">IF($B103=FF$12,$O103,"")</f>
        <v/>
      </c>
      <c r="FG103" s="88" t="str">
        <f aca="false">IF($B103=FG$12,$O103,"")</f>
        <v/>
      </c>
      <c r="FH103" s="88" t="str">
        <f aca="false">IF($B103=FH$12,$O103,"")</f>
        <v/>
      </c>
      <c r="FI103" s="88" t="str">
        <f aca="false">IF($B103=FI$12,$O103,"")</f>
        <v/>
      </c>
      <c r="FJ103" s="88" t="str">
        <f aca="false">IF($B103=FJ$12,$O103,"")</f>
        <v/>
      </c>
      <c r="FK103" s="88" t="str">
        <f aca="false">IF($B103=FK$12,$O103,"")</f>
        <v/>
      </c>
      <c r="FL103" s="88" t="str">
        <f aca="false">IF($B103=FL$12,$O103,"")</f>
        <v/>
      </c>
      <c r="FM103" s="88" t="str">
        <f aca="false">IF($B103=FM$12,$O103,"")</f>
        <v/>
      </c>
      <c r="FN103" s="88" t="str">
        <f aca="false">IF($B103=FN$12,$O103,"")</f>
        <v/>
      </c>
      <c r="FO103" s="88" t="str">
        <f aca="false">IF($B103=FO$12,$O103,"")</f>
        <v/>
      </c>
      <c r="FP103" s="88" t="str">
        <f aca="false">IF($B103=FP$12,$O103,"")</f>
        <v/>
      </c>
      <c r="FQ103" s="88" t="str">
        <f aca="false">IF($B103=FQ$12,$O103,"")</f>
        <v/>
      </c>
      <c r="FR103" s="88" t="str">
        <f aca="false">IF($B103=FR$12,$O103,"")</f>
        <v/>
      </c>
      <c r="FS103" s="88" t="str">
        <f aca="false">IF($B103=FS$12,$O103,"")</f>
        <v/>
      </c>
      <c r="FT103" s="88" t="str">
        <f aca="false">IF($B103=FT$12,$O103,"")</f>
        <v/>
      </c>
      <c r="FU103" s="88" t="str">
        <f aca="false">IF($B103=FU$12,$O103,"")</f>
        <v/>
      </c>
      <c r="FV103" s="88" t="str">
        <f aca="false">IF($B103=FV$12,$O103,"")</f>
        <v/>
      </c>
      <c r="FW103" s="88" t="str">
        <f aca="false">IF($B103=FW$12,$O103,"")</f>
        <v/>
      </c>
      <c r="FX103" s="88" t="str">
        <f aca="false">IF($B103=FX$12,$O103,"")</f>
        <v/>
      </c>
      <c r="FY103" s="88" t="str">
        <f aca="false">IF($B103=FY$12,$O103,"")</f>
        <v/>
      </c>
      <c r="FZ103" s="88" t="str">
        <f aca="false">IF($B103=FZ$12,$O103,"")</f>
        <v/>
      </c>
      <c r="GA103" s="88" t="str">
        <f aca="false">IF($B103=GA$12,$O103,"")</f>
        <v/>
      </c>
      <c r="GB103" s="88" t="str">
        <f aca="false">IF($B103=GB$12,$O103,"")</f>
        <v/>
      </c>
      <c r="GC103" s="88" t="str">
        <f aca="false">IF($B103=GC$12,$O103,"")</f>
        <v/>
      </c>
      <c r="GD103" s="88" t="str">
        <f aca="false">IF($B103=GD$12,$O103,"")</f>
        <v/>
      </c>
      <c r="GE103" s="88" t="str">
        <f aca="false">IF($B103=GE$12,$O103,"")</f>
        <v/>
      </c>
      <c r="GF103" s="88" t="str">
        <f aca="false">IF($B103=GF$12,$O103,"")</f>
        <v/>
      </c>
      <c r="GG103" s="88" t="str">
        <f aca="false">IF($B103=GG$12,$O103,"")</f>
        <v/>
      </c>
      <c r="GH103" s="88" t="str">
        <f aca="false">IF($B103=GH$12,$O103,"")</f>
        <v/>
      </c>
      <c r="GI103" s="88" t="str">
        <f aca="false">IF($B103=GI$12,$O103,"")</f>
        <v/>
      </c>
      <c r="GJ103" s="88" t="str">
        <f aca="false">IF($B103=GJ$12,$O103,"")</f>
        <v/>
      </c>
      <c r="GK103" s="88" t="str">
        <f aca="false">IF($B103=GK$12,$O103,"")</f>
        <v/>
      </c>
      <c r="GL103" s="88" t="str">
        <f aca="false">IF($B103=GL$12,$O103,"")</f>
        <v/>
      </c>
      <c r="GM103" s="88" t="str">
        <f aca="false">IF($B103=GM$12,$O103,"")</f>
        <v/>
      </c>
      <c r="GN103" s="88" t="str">
        <f aca="false">IF($B103=GN$12,$O103,"")</f>
        <v/>
      </c>
      <c r="GO103" s="88" t="str">
        <f aca="false">IF($B103=GO$12,$O103,"")</f>
        <v/>
      </c>
      <c r="GP103" s="88" t="str">
        <f aca="false">IF($B103=GP$12,$O103,"")</f>
        <v/>
      </c>
      <c r="GQ103" s="88" t="str">
        <f aca="false">IF($B103=GQ$12,$O103,"")</f>
        <v/>
      </c>
      <c r="GR103" s="88" t="str">
        <f aca="false">IF($B103=GR$12,$O103,"")</f>
        <v/>
      </c>
      <c r="GS103" s="88" t="str">
        <f aca="false">IF($B103=GS$12,$O103,"")</f>
        <v/>
      </c>
      <c r="GT103" s="88" t="str">
        <f aca="false">IF($B103=GT$12,$O103,"")</f>
        <v/>
      </c>
      <c r="GU103" s="88" t="str">
        <f aca="false">IF($B103=GU$12,$O103,"")</f>
        <v/>
      </c>
      <c r="GV103" s="88" t="str">
        <f aca="false">IF($B103=GV$12,$O103,"")</f>
        <v/>
      </c>
      <c r="GW103" s="88" t="str">
        <f aca="false">IF($B103=GW$12,$O103,"")</f>
        <v/>
      </c>
      <c r="GX103" s="88" t="str">
        <f aca="false">IF($B103=GX$12,$O103,"")</f>
        <v/>
      </c>
      <c r="GY103" s="88" t="str">
        <f aca="false">IF($B103=GY$12,$O103,"")</f>
        <v/>
      </c>
      <c r="GZ103" s="88" t="str">
        <f aca="false">IF($B103=GZ$12,$O103,"")</f>
        <v/>
      </c>
      <c r="HA103" s="88" t="str">
        <f aca="false">IF($B103=HA$12,$O103,"")</f>
        <v/>
      </c>
      <c r="HB103" s="88" t="str">
        <f aca="false">IF($B103=HB$12,$O103,"")</f>
        <v/>
      </c>
      <c r="HC103" s="88" t="str">
        <f aca="false">IF($B103=HC$12,$O103,"")</f>
        <v/>
      </c>
      <c r="HD103" s="88" t="str">
        <f aca="false">IF($B103=HD$12,$O103,"")</f>
        <v/>
      </c>
      <c r="HE103" s="88" t="str">
        <f aca="false">IF($B103=HE$12,$O103,"")</f>
        <v/>
      </c>
      <c r="HF103" s="88" t="str">
        <f aca="false">IF($B103=HF$12,$O103,"")</f>
        <v/>
      </c>
      <c r="HG103" s="88" t="str">
        <f aca="false">IF($B103=HG$12,$O103,"")</f>
        <v/>
      </c>
      <c r="HH103" s="88" t="str">
        <f aca="false">IF($B103=HH$12,$O103,"")</f>
        <v/>
      </c>
      <c r="HI103" s="88" t="str">
        <f aca="false">IF($B103=HI$12,$O103,"")</f>
        <v/>
      </c>
      <c r="HJ103" s="88" t="str">
        <f aca="false">IF($B103=HJ$12,$O103,"")</f>
        <v/>
      </c>
      <c r="HK103" s="88" t="str">
        <f aca="false">IF($B103=HK$12,$O103,"")</f>
        <v/>
      </c>
      <c r="HL103" s="88" t="str">
        <f aca="false">IF($B103=HL$12,$O103,"")</f>
        <v/>
      </c>
      <c r="HM103" s="88" t="str">
        <f aca="false">IF($B103=HM$12,$O103,"")</f>
        <v/>
      </c>
      <c r="HN103" s="88" t="str">
        <f aca="false">IF($B103=HN$12,$O103,"")</f>
        <v/>
      </c>
      <c r="HO103" s="88" t="str">
        <f aca="false">IF($B103=HO$12,$O103,"")</f>
        <v/>
      </c>
      <c r="HP103" s="88" t="str">
        <f aca="false">IF($B103=HP$12,$O103,"")</f>
        <v/>
      </c>
      <c r="HQ103" s="88" t="str">
        <f aca="false">IF($B103=HQ$12,$O103,"")</f>
        <v/>
      </c>
      <c r="HR103" s="89" t="str">
        <f aca="false">IF($B103=HR$12,$O103,"")</f>
        <v/>
      </c>
    </row>
    <row r="104" customFormat="false" ht="10.5" hidden="false" customHeight="true" outlineLevel="0" collapsed="false">
      <c r="A104" s="73"/>
      <c r="B104" s="74"/>
      <c r="C104" s="75" t="str">
        <f aca="false">IF(A104=0,"",VLOOKUP(A104,[3]CO!$A$3:$F$5311,2,0))</f>
        <v/>
      </c>
      <c r="D104" s="76"/>
      <c r="E104" s="76"/>
      <c r="F104" s="76"/>
      <c r="G104" s="77" t="str">
        <f aca="false">IF(A104=0,"",VLOOKUP(A104,[3]CO!$A$3:$F$5311,3,0))</f>
        <v/>
      </c>
      <c r="H104" s="76"/>
      <c r="I104" s="78"/>
      <c r="J104" s="78"/>
      <c r="K104" s="78"/>
      <c r="L104" s="78"/>
      <c r="M104" s="79" t="str">
        <f aca="false">IF(L104=0,"",PRODUCT(I104:L104))</f>
        <v/>
      </c>
      <c r="N104" s="79" t="str">
        <f aca="false">IF(B104=0,"",IF(H104="M",HLOOKUP(B104,$Y$12:$DT$13,2),IF(A104=0,"",VLOOKUP(A104,[3]CO!$A$3:$F$5311,4,0))))</f>
        <v/>
      </c>
      <c r="O104" s="79" t="str">
        <f aca="false">IF(L104=0,"",PRODUCT(M104:N104))</f>
        <v/>
      </c>
      <c r="P104" s="80"/>
      <c r="Q104" s="81" t="str">
        <f aca="false">IF(P104=0,"",(HLOOKUP(P104,$DW$12:$HR$13,2)))</f>
        <v/>
      </c>
      <c r="R104" s="82" t="str">
        <f aca="false">IF(S104=0,"",IF(OR(G104="PEON",G104="OF",G104="JARD",G104="CARP",G104="MAESTRO",G104="SOLD",G104="BGRO",G104="CHOFER",G104="AYTE",G104="S.INTTE.",G104="ASEO",G104="P.PISOS",G104="VELADOR",G104="RESID",G104="PINTOR",G104="ELECT",G104="AZULE",G104="AUX CONT.",G104="SECRETARIA",G104="AUXILIAR ADMTVO.",G104="ARQUITECTO",G104="DIBUJANTE",G104="AUX. DE RESIDENTE"),VLOOKUP(B104,P$14:Q$131,2),"")*S104)</f>
        <v/>
      </c>
      <c r="S104" s="5"/>
      <c r="T104" s="65" t="str">
        <f aca="false">IF(A104=0,"",VLOOKUP(A104,[3]CO!$A$3:$F$5302,5,0))</f>
        <v/>
      </c>
      <c r="U104" s="55" t="n">
        <f aca="false">IF(T104=1,O104*0.1,)</f>
        <v>0</v>
      </c>
      <c r="V104" s="66"/>
      <c r="W104" s="83"/>
      <c r="X104" s="83"/>
      <c r="Y104" s="84" t="str">
        <f aca="false">IF($B104=Y$12,$U104,"")</f>
        <v/>
      </c>
      <c r="Z104" s="85" t="str">
        <f aca="false">IF($B104=Z$12,$U104,"")</f>
        <v/>
      </c>
      <c r="AA104" s="85" t="str">
        <f aca="false">IF($B104=AA$12,$U104,"")</f>
        <v/>
      </c>
      <c r="AB104" s="85" t="str">
        <f aca="false">IF($B104=AB$12,$U104,"")</f>
        <v/>
      </c>
      <c r="AC104" s="85" t="str">
        <f aca="false">IF($B104=AC$12,$U104,"")</f>
        <v/>
      </c>
      <c r="AD104" s="85" t="str">
        <f aca="false">IF($B104=AD$12,$U104,"")</f>
        <v/>
      </c>
      <c r="AE104" s="85" t="str">
        <f aca="false">IF($B104=AE$12,$U104,"")</f>
        <v/>
      </c>
      <c r="AF104" s="85" t="str">
        <f aca="false">IF($B104=AF$12,$U104,"")</f>
        <v/>
      </c>
      <c r="AG104" s="85" t="str">
        <f aca="false">IF($B104=AG$12,$U104,"")</f>
        <v/>
      </c>
      <c r="AH104" s="85" t="str">
        <f aca="false">IF($B104=AH$12,$U104,"")</f>
        <v/>
      </c>
      <c r="AI104" s="85" t="str">
        <f aca="false">IF($B104=AI$12,$U104,"")</f>
        <v/>
      </c>
      <c r="AJ104" s="85" t="str">
        <f aca="false">IF($B104=AJ$12,$U104,"")</f>
        <v/>
      </c>
      <c r="AK104" s="85" t="str">
        <f aca="false">IF($B104=AK$12,$U104,"")</f>
        <v/>
      </c>
      <c r="AL104" s="85" t="str">
        <f aca="false">IF($B104=AL$12,$U104,"")</f>
        <v/>
      </c>
      <c r="AM104" s="85" t="str">
        <f aca="false">IF($B104=AM$12,$U104,"")</f>
        <v/>
      </c>
      <c r="AN104" s="85" t="str">
        <f aca="false">IF($B104=AN$12,$U104,"")</f>
        <v/>
      </c>
      <c r="AO104" s="85" t="str">
        <f aca="false">IF($B104=AO$12,$U104,"")</f>
        <v/>
      </c>
      <c r="AP104" s="85" t="str">
        <f aca="false">IF($B104=AP$12,$U104,"")</f>
        <v/>
      </c>
      <c r="AQ104" s="85" t="str">
        <f aca="false">IF($B104=AQ$12,$U104,"")</f>
        <v/>
      </c>
      <c r="AR104" s="85" t="str">
        <f aca="false">IF($B104=AR$12,$U104,"")</f>
        <v/>
      </c>
      <c r="AS104" s="85" t="str">
        <f aca="false">IF($B104=AS$12,$U104,"")</f>
        <v/>
      </c>
      <c r="AT104" s="85" t="str">
        <f aca="false">IF($B104=AT$12,$U104,"")</f>
        <v/>
      </c>
      <c r="AU104" s="85" t="str">
        <f aca="false">IF($B104=AU$12,$U104,"")</f>
        <v/>
      </c>
      <c r="AV104" s="85" t="str">
        <f aca="false">IF($B104=AV$12,$U104,"")</f>
        <v/>
      </c>
      <c r="AW104" s="85" t="str">
        <f aca="false">IF($B104=AW$12,$U104,"")</f>
        <v/>
      </c>
      <c r="AX104" s="85" t="str">
        <f aca="false">IF($B104=AX$12,$U104,"")</f>
        <v/>
      </c>
      <c r="AY104" s="85" t="str">
        <f aca="false">IF($B104=AY$12,$U104,"")</f>
        <v/>
      </c>
      <c r="AZ104" s="85" t="str">
        <f aca="false">IF($B104=AZ$12,$U104,"")</f>
        <v/>
      </c>
      <c r="BA104" s="85" t="str">
        <f aca="false">IF($B104=BA$12,$U104,"")</f>
        <v/>
      </c>
      <c r="BB104" s="85" t="str">
        <f aca="false">IF($B104=BB$12,$U104,"")</f>
        <v/>
      </c>
      <c r="BC104" s="85" t="str">
        <f aca="false">IF($B104=BC$12,$U104,"")</f>
        <v/>
      </c>
      <c r="BD104" s="85" t="str">
        <f aca="false">IF($B104=BD$12,$U104,"")</f>
        <v/>
      </c>
      <c r="BE104" s="85" t="str">
        <f aca="false">IF($B104=BE$12,$U104,"")</f>
        <v/>
      </c>
      <c r="BF104" s="85" t="str">
        <f aca="false">IF($B104=BF$12,$U104,"")</f>
        <v/>
      </c>
      <c r="BG104" s="85" t="str">
        <f aca="false">IF($B104=BG$12,$U104,"")</f>
        <v/>
      </c>
      <c r="BH104" s="85" t="str">
        <f aca="false">IF($B104=BH$12,$U104,"")</f>
        <v/>
      </c>
      <c r="BI104" s="85" t="str">
        <f aca="false">IF($B104=BI$12,$U104,"")</f>
        <v/>
      </c>
      <c r="BJ104" s="85" t="str">
        <f aca="false">IF($B104=BJ$12,$U104,"")</f>
        <v/>
      </c>
      <c r="BK104" s="85" t="str">
        <f aca="false">IF($B104=BK$12,$U104,"")</f>
        <v/>
      </c>
      <c r="BL104" s="85" t="str">
        <f aca="false">IF($B104=BL$12,$U104,"")</f>
        <v/>
      </c>
      <c r="BM104" s="85" t="str">
        <f aca="false">IF($B104=BM$12,$U104,"")</f>
        <v/>
      </c>
      <c r="BN104" s="85" t="str">
        <f aca="false">IF($B104=BN$12,$U104,"")</f>
        <v/>
      </c>
      <c r="BO104" s="85" t="str">
        <f aca="false">IF($B104=BO$12,$U104,"")</f>
        <v/>
      </c>
      <c r="BP104" s="85" t="str">
        <f aca="false">IF($B104=BP$12,$U104,"")</f>
        <v/>
      </c>
      <c r="BQ104" s="85" t="str">
        <f aca="false">IF($B104=BQ$12,$U104,"")</f>
        <v/>
      </c>
      <c r="BR104" s="85" t="str">
        <f aca="false">IF($B104=BR$12,$U104,"")</f>
        <v/>
      </c>
      <c r="BS104" s="85" t="str">
        <f aca="false">IF($B104=BS$12,$U104,"")</f>
        <v/>
      </c>
      <c r="BT104" s="85" t="str">
        <f aca="false">IF($B104=BT$12,$U104,"")</f>
        <v/>
      </c>
      <c r="BU104" s="85" t="str">
        <f aca="false">IF($B104=BU$12,$U104,"")</f>
        <v/>
      </c>
      <c r="BV104" s="85" t="str">
        <f aca="false">IF($B104=BV$12,$U104,"")</f>
        <v/>
      </c>
      <c r="BW104" s="85" t="str">
        <f aca="false">IF($B104=BW$12,$U104,"")</f>
        <v/>
      </c>
      <c r="BX104" s="85" t="str">
        <f aca="false">IF($B104=BX$12,$U104,"")</f>
        <v/>
      </c>
      <c r="BY104" s="85" t="str">
        <f aca="false">IF($B104=BY$12,$U104,"")</f>
        <v/>
      </c>
      <c r="BZ104" s="85" t="str">
        <f aca="false">IF($B104=BZ$12,$U104,"")</f>
        <v/>
      </c>
      <c r="CA104" s="85" t="str">
        <f aca="false">IF($B104=CA$12,$U104,"")</f>
        <v/>
      </c>
      <c r="CB104" s="85" t="str">
        <f aca="false">IF($B104=CB$12,$U104,"")</f>
        <v/>
      </c>
      <c r="CC104" s="85" t="str">
        <f aca="false">IF($B104=CC$12,$U104,"")</f>
        <v/>
      </c>
      <c r="CD104" s="85" t="str">
        <f aca="false">IF($B104=CD$12,$U104,"")</f>
        <v/>
      </c>
      <c r="CE104" s="85" t="str">
        <f aca="false">IF($B104=CE$12,$U104,"")</f>
        <v/>
      </c>
      <c r="CF104" s="85" t="str">
        <f aca="false">IF($B104=CF$12,$U104,"")</f>
        <v/>
      </c>
      <c r="CG104" s="85" t="str">
        <f aca="false">IF($B104=CG$12,$U104,"")</f>
        <v/>
      </c>
      <c r="CH104" s="85" t="str">
        <f aca="false">IF($B104=CH$12,$U104,"")</f>
        <v/>
      </c>
      <c r="CI104" s="85" t="str">
        <f aca="false">IF($B104=CI$12,$U104,"")</f>
        <v/>
      </c>
      <c r="CJ104" s="85" t="str">
        <f aca="false">IF($B104=CJ$12,$U104,"")</f>
        <v/>
      </c>
      <c r="CK104" s="85" t="str">
        <f aca="false">IF($B104=CK$12,$U104,"")</f>
        <v/>
      </c>
      <c r="CL104" s="85" t="str">
        <f aca="false">IF($B104=CL$12,$U104,"")</f>
        <v/>
      </c>
      <c r="CM104" s="85" t="str">
        <f aca="false">IF($B104=CM$12,$U104,"")</f>
        <v/>
      </c>
      <c r="CN104" s="85" t="str">
        <f aca="false">IF($B104=CN$12,$U104,"")</f>
        <v/>
      </c>
      <c r="CO104" s="85" t="str">
        <f aca="false">IF($B104=CO$12,$U104,"")</f>
        <v/>
      </c>
      <c r="CP104" s="85" t="str">
        <f aca="false">IF($B104=CP$12,$U104,"")</f>
        <v/>
      </c>
      <c r="CQ104" s="85" t="str">
        <f aca="false">IF($B104=CQ$12,$U104,"")</f>
        <v/>
      </c>
      <c r="CR104" s="85" t="str">
        <f aca="false">IF($B104=CR$12,$U104,"")</f>
        <v/>
      </c>
      <c r="CS104" s="85" t="str">
        <f aca="false">IF($B104=CS$12,$U104,"")</f>
        <v/>
      </c>
      <c r="CT104" s="85" t="str">
        <f aca="false">IF($B104=CT$12,$U104,"")</f>
        <v/>
      </c>
      <c r="CU104" s="85" t="str">
        <f aca="false">IF($B104=CU$12,$U104,"")</f>
        <v/>
      </c>
      <c r="CV104" s="85" t="str">
        <f aca="false">IF($B104=CV$12,$U104,"")</f>
        <v/>
      </c>
      <c r="CW104" s="85" t="str">
        <f aca="false">IF($B104=CW$12,$U104,"")</f>
        <v/>
      </c>
      <c r="CX104" s="85" t="str">
        <f aca="false">IF($B104=CX$12,$U104,"")</f>
        <v/>
      </c>
      <c r="CY104" s="85" t="str">
        <f aca="false">IF($B104=CY$12,$U104,"")</f>
        <v/>
      </c>
      <c r="CZ104" s="85" t="str">
        <f aca="false">IF($B104=CZ$12,$U104,"")</f>
        <v/>
      </c>
      <c r="DA104" s="85" t="str">
        <f aca="false">IF($B104=DA$12,$U104,"")</f>
        <v/>
      </c>
      <c r="DB104" s="85" t="str">
        <f aca="false">IF($B104=DB$12,$U104,"")</f>
        <v/>
      </c>
      <c r="DC104" s="85" t="str">
        <f aca="false">IF($B104=DC$12,$U104,"")</f>
        <v/>
      </c>
      <c r="DD104" s="85" t="str">
        <f aca="false">IF($B104=DD$12,$U104,"")</f>
        <v/>
      </c>
      <c r="DE104" s="85" t="str">
        <f aca="false">IF($B104=DE$12,$U104,"")</f>
        <v/>
      </c>
      <c r="DF104" s="85" t="str">
        <f aca="false">IF($B104=DF$12,$U104,"")</f>
        <v/>
      </c>
      <c r="DG104" s="85" t="str">
        <f aca="false">IF($B104=DG$12,$U104,"")</f>
        <v/>
      </c>
      <c r="DH104" s="85" t="str">
        <f aca="false">IF($B104=DH$12,$U104,"")</f>
        <v/>
      </c>
      <c r="DI104" s="85" t="str">
        <f aca="false">IF($B104=DI$12,$U104,"")</f>
        <v/>
      </c>
      <c r="DJ104" s="85" t="str">
        <f aca="false">IF($B104=DJ$12,$U104,"")</f>
        <v/>
      </c>
      <c r="DK104" s="85" t="str">
        <f aca="false">IF($B104=DK$12,$U104,"")</f>
        <v/>
      </c>
      <c r="DL104" s="85" t="str">
        <f aca="false">IF($B104=DL$12,$U104,"")</f>
        <v/>
      </c>
      <c r="DM104" s="85" t="str">
        <f aca="false">IF($B104=DM$12,$U104,"")</f>
        <v/>
      </c>
      <c r="DN104" s="85" t="str">
        <f aca="false">IF($B104=DN$12,$U104,"")</f>
        <v/>
      </c>
      <c r="DO104" s="85" t="str">
        <f aca="false">IF($B104=DO$12,$U104,"")</f>
        <v/>
      </c>
      <c r="DP104" s="85" t="str">
        <f aca="false">IF($B104=DP$12,$U104,"")</f>
        <v/>
      </c>
      <c r="DQ104" s="85" t="str">
        <f aca="false">IF($B104=DQ$12,$U104,"")</f>
        <v/>
      </c>
      <c r="DR104" s="85" t="str">
        <f aca="false">IF($B104=DR$12,$U104,"")</f>
        <v/>
      </c>
      <c r="DS104" s="85" t="str">
        <f aca="false">IF($B104=DS$12,$U104,"")</f>
        <v/>
      </c>
      <c r="DT104" s="86" t="str">
        <f aca="false">IF($B104=DT$12,$U104,"")</f>
        <v/>
      </c>
      <c r="DU104" s="55"/>
      <c r="DV104" s="83"/>
      <c r="DW104" s="87" t="str">
        <f aca="false">IF($B104=DW$12,$O104,"")</f>
        <v/>
      </c>
      <c r="DX104" s="88" t="str">
        <f aca="false">IF($B104=DX$12,$O104,"")</f>
        <v/>
      </c>
      <c r="DY104" s="88" t="str">
        <f aca="false">IF($B104=DY$12,$O104,"")</f>
        <v/>
      </c>
      <c r="DZ104" s="88" t="str">
        <f aca="false">IF($B104=DZ$12,$O104,"")</f>
        <v/>
      </c>
      <c r="EA104" s="88" t="str">
        <f aca="false">IF($B104=EA$12,$O104,"")</f>
        <v/>
      </c>
      <c r="EB104" s="88" t="str">
        <f aca="false">IF($B104=EB$12,$O104,"")</f>
        <v/>
      </c>
      <c r="EC104" s="88" t="str">
        <f aca="false">IF($B104=EC$12,$O104,"")</f>
        <v/>
      </c>
      <c r="ED104" s="88" t="str">
        <f aca="false">IF($B104=ED$12,$O104,"")</f>
        <v/>
      </c>
      <c r="EE104" s="88" t="str">
        <f aca="false">IF($B104=EE$12,$O104,"")</f>
        <v/>
      </c>
      <c r="EF104" s="88" t="str">
        <f aca="false">IF($B104=EF$12,$O104,"")</f>
        <v/>
      </c>
      <c r="EG104" s="88" t="str">
        <f aca="false">IF($B104=EG$12,$O104,"")</f>
        <v/>
      </c>
      <c r="EH104" s="88" t="str">
        <f aca="false">IF($B104=EH$12,$O104,"")</f>
        <v/>
      </c>
      <c r="EI104" s="88" t="str">
        <f aca="false">IF($B104=EI$12,$O104,"")</f>
        <v/>
      </c>
      <c r="EJ104" s="88" t="str">
        <f aca="false">IF($B104=EJ$12,$O104,"")</f>
        <v/>
      </c>
      <c r="EK104" s="88" t="str">
        <f aca="false">IF($B104=EK$12,$O104,"")</f>
        <v/>
      </c>
      <c r="EL104" s="88" t="str">
        <f aca="false">IF($B104=EL$12,$O104,"")</f>
        <v/>
      </c>
      <c r="EM104" s="88" t="str">
        <f aca="false">IF($B104=EM$12,$O104,"")</f>
        <v/>
      </c>
      <c r="EN104" s="88" t="str">
        <f aca="false">IF($B104=EN$12,$O104,"")</f>
        <v/>
      </c>
      <c r="EO104" s="88" t="str">
        <f aca="false">IF($B104=EO$12,$O104,"")</f>
        <v/>
      </c>
      <c r="EP104" s="88" t="str">
        <f aca="false">IF($B104=EP$12,$O104,"")</f>
        <v/>
      </c>
      <c r="EQ104" s="88" t="str">
        <f aca="false">IF($B104=EQ$12,$O104,"")</f>
        <v/>
      </c>
      <c r="ER104" s="88" t="str">
        <f aca="false">IF($B104=ER$12,$O104,"")</f>
        <v/>
      </c>
      <c r="ES104" s="88" t="str">
        <f aca="false">IF($B104=ES$12,$O104,"")</f>
        <v/>
      </c>
      <c r="ET104" s="88" t="str">
        <f aca="false">IF($B104=ET$12,$O104,"")</f>
        <v/>
      </c>
      <c r="EU104" s="88" t="str">
        <f aca="false">IF($B104=EU$12,$O104,"")</f>
        <v/>
      </c>
      <c r="EV104" s="88" t="str">
        <f aca="false">IF($B104=EV$12,$O104,"")</f>
        <v/>
      </c>
      <c r="EW104" s="88" t="str">
        <f aca="false">IF($B104=EW$12,$O104,"")</f>
        <v/>
      </c>
      <c r="EX104" s="88" t="str">
        <f aca="false">IF($B104=EX$12,$O104,"")</f>
        <v/>
      </c>
      <c r="EY104" s="88" t="str">
        <f aca="false">IF($B104=EY$12,$O104,"")</f>
        <v/>
      </c>
      <c r="EZ104" s="88" t="str">
        <f aca="false">IF($B104=EZ$12,$O104,"")</f>
        <v/>
      </c>
      <c r="FA104" s="88" t="str">
        <f aca="false">IF($B104=FA$12,$O104,"")</f>
        <v/>
      </c>
      <c r="FB104" s="88" t="str">
        <f aca="false">IF($B104=FB$12,$O104,"")</f>
        <v/>
      </c>
      <c r="FC104" s="88" t="str">
        <f aca="false">IF($B104=FC$12,$O104,"")</f>
        <v/>
      </c>
      <c r="FD104" s="88" t="str">
        <f aca="false">IF($B104=FD$12,$O104,"")</f>
        <v/>
      </c>
      <c r="FE104" s="88" t="str">
        <f aca="false">IF($B104=FE$12,$O104,"")</f>
        <v/>
      </c>
      <c r="FF104" s="88" t="str">
        <f aca="false">IF($B104=FF$12,$O104,"")</f>
        <v/>
      </c>
      <c r="FG104" s="88" t="str">
        <f aca="false">IF($B104=FG$12,$O104,"")</f>
        <v/>
      </c>
      <c r="FH104" s="88" t="str">
        <f aca="false">IF($B104=FH$12,$O104,"")</f>
        <v/>
      </c>
      <c r="FI104" s="88" t="str">
        <f aca="false">IF($B104=FI$12,$O104,"")</f>
        <v/>
      </c>
      <c r="FJ104" s="88" t="str">
        <f aca="false">IF($B104=FJ$12,$O104,"")</f>
        <v/>
      </c>
      <c r="FK104" s="88" t="str">
        <f aca="false">IF($B104=FK$12,$O104,"")</f>
        <v/>
      </c>
      <c r="FL104" s="88" t="str">
        <f aca="false">IF($B104=FL$12,$O104,"")</f>
        <v/>
      </c>
      <c r="FM104" s="88" t="str">
        <f aca="false">IF($B104=FM$12,$O104,"")</f>
        <v/>
      </c>
      <c r="FN104" s="88" t="str">
        <f aca="false">IF($B104=FN$12,$O104,"")</f>
        <v/>
      </c>
      <c r="FO104" s="88" t="str">
        <f aca="false">IF($B104=FO$12,$O104,"")</f>
        <v/>
      </c>
      <c r="FP104" s="88" t="str">
        <f aca="false">IF($B104=FP$12,$O104,"")</f>
        <v/>
      </c>
      <c r="FQ104" s="88" t="str">
        <f aca="false">IF($B104=FQ$12,$O104,"")</f>
        <v/>
      </c>
      <c r="FR104" s="88" t="str">
        <f aca="false">IF($B104=FR$12,$O104,"")</f>
        <v/>
      </c>
      <c r="FS104" s="88" t="str">
        <f aca="false">IF($B104=FS$12,$O104,"")</f>
        <v/>
      </c>
      <c r="FT104" s="88" t="str">
        <f aca="false">IF($B104=FT$12,$O104,"")</f>
        <v/>
      </c>
      <c r="FU104" s="88" t="str">
        <f aca="false">IF($B104=FU$12,$O104,"")</f>
        <v/>
      </c>
      <c r="FV104" s="88" t="str">
        <f aca="false">IF($B104=FV$12,$O104,"")</f>
        <v/>
      </c>
      <c r="FW104" s="88" t="str">
        <f aca="false">IF($B104=FW$12,$O104,"")</f>
        <v/>
      </c>
      <c r="FX104" s="88" t="str">
        <f aca="false">IF($B104=FX$12,$O104,"")</f>
        <v/>
      </c>
      <c r="FY104" s="88" t="str">
        <f aca="false">IF($B104=FY$12,$O104,"")</f>
        <v/>
      </c>
      <c r="FZ104" s="88" t="str">
        <f aca="false">IF($B104=FZ$12,$O104,"")</f>
        <v/>
      </c>
      <c r="GA104" s="88" t="str">
        <f aca="false">IF($B104=GA$12,$O104,"")</f>
        <v/>
      </c>
      <c r="GB104" s="88" t="str">
        <f aca="false">IF($B104=GB$12,$O104,"")</f>
        <v/>
      </c>
      <c r="GC104" s="88" t="str">
        <f aca="false">IF($B104=GC$12,$O104,"")</f>
        <v/>
      </c>
      <c r="GD104" s="88" t="str">
        <f aca="false">IF($B104=GD$12,$O104,"")</f>
        <v/>
      </c>
      <c r="GE104" s="88" t="str">
        <f aca="false">IF($B104=GE$12,$O104,"")</f>
        <v/>
      </c>
      <c r="GF104" s="88" t="str">
        <f aca="false">IF($B104=GF$12,$O104,"")</f>
        <v/>
      </c>
      <c r="GG104" s="88" t="str">
        <f aca="false">IF($B104=GG$12,$O104,"")</f>
        <v/>
      </c>
      <c r="GH104" s="88" t="str">
        <f aca="false">IF($B104=GH$12,$O104,"")</f>
        <v/>
      </c>
      <c r="GI104" s="88" t="str">
        <f aca="false">IF($B104=GI$12,$O104,"")</f>
        <v/>
      </c>
      <c r="GJ104" s="88" t="str">
        <f aca="false">IF($B104=GJ$12,$O104,"")</f>
        <v/>
      </c>
      <c r="GK104" s="88" t="str">
        <f aca="false">IF($B104=GK$12,$O104,"")</f>
        <v/>
      </c>
      <c r="GL104" s="88" t="str">
        <f aca="false">IF($B104=GL$12,$O104,"")</f>
        <v/>
      </c>
      <c r="GM104" s="88" t="str">
        <f aca="false">IF($B104=GM$12,$O104,"")</f>
        <v/>
      </c>
      <c r="GN104" s="88" t="str">
        <f aca="false">IF($B104=GN$12,$O104,"")</f>
        <v/>
      </c>
      <c r="GO104" s="88" t="str">
        <f aca="false">IF($B104=GO$12,$O104,"")</f>
        <v/>
      </c>
      <c r="GP104" s="88" t="str">
        <f aca="false">IF($B104=GP$12,$O104,"")</f>
        <v/>
      </c>
      <c r="GQ104" s="88" t="str">
        <f aca="false">IF($B104=GQ$12,$O104,"")</f>
        <v/>
      </c>
      <c r="GR104" s="88" t="str">
        <f aca="false">IF($B104=GR$12,$O104,"")</f>
        <v/>
      </c>
      <c r="GS104" s="88" t="str">
        <f aca="false">IF($B104=GS$12,$O104,"")</f>
        <v/>
      </c>
      <c r="GT104" s="88" t="str">
        <f aca="false">IF($B104=GT$12,$O104,"")</f>
        <v/>
      </c>
      <c r="GU104" s="88" t="str">
        <f aca="false">IF($B104=GU$12,$O104,"")</f>
        <v/>
      </c>
      <c r="GV104" s="88" t="str">
        <f aca="false">IF($B104=GV$12,$O104,"")</f>
        <v/>
      </c>
      <c r="GW104" s="88" t="str">
        <f aca="false">IF($B104=GW$12,$O104,"")</f>
        <v/>
      </c>
      <c r="GX104" s="88" t="str">
        <f aca="false">IF($B104=GX$12,$O104,"")</f>
        <v/>
      </c>
      <c r="GY104" s="88" t="str">
        <f aca="false">IF($B104=GY$12,$O104,"")</f>
        <v/>
      </c>
      <c r="GZ104" s="88" t="str">
        <f aca="false">IF($B104=GZ$12,$O104,"")</f>
        <v/>
      </c>
      <c r="HA104" s="88" t="str">
        <f aca="false">IF($B104=HA$12,$O104,"")</f>
        <v/>
      </c>
      <c r="HB104" s="88" t="str">
        <f aca="false">IF($B104=HB$12,$O104,"")</f>
        <v/>
      </c>
      <c r="HC104" s="88" t="str">
        <f aca="false">IF($B104=HC$12,$O104,"")</f>
        <v/>
      </c>
      <c r="HD104" s="88" t="str">
        <f aca="false">IF($B104=HD$12,$O104,"")</f>
        <v/>
      </c>
      <c r="HE104" s="88" t="str">
        <f aca="false">IF($B104=HE$12,$O104,"")</f>
        <v/>
      </c>
      <c r="HF104" s="88" t="str">
        <f aca="false">IF($B104=HF$12,$O104,"")</f>
        <v/>
      </c>
      <c r="HG104" s="88" t="str">
        <f aca="false">IF($B104=HG$12,$O104,"")</f>
        <v/>
      </c>
      <c r="HH104" s="88" t="str">
        <f aca="false">IF($B104=HH$12,$O104,"")</f>
        <v/>
      </c>
      <c r="HI104" s="88" t="str">
        <f aca="false">IF($B104=HI$12,$O104,"")</f>
        <v/>
      </c>
      <c r="HJ104" s="88" t="str">
        <f aca="false">IF($B104=HJ$12,$O104,"")</f>
        <v/>
      </c>
      <c r="HK104" s="88" t="str">
        <f aca="false">IF($B104=HK$12,$O104,"")</f>
        <v/>
      </c>
      <c r="HL104" s="88" t="str">
        <f aca="false">IF($B104=HL$12,$O104,"")</f>
        <v/>
      </c>
      <c r="HM104" s="88" t="str">
        <f aca="false">IF($B104=HM$12,$O104,"")</f>
        <v/>
      </c>
      <c r="HN104" s="88" t="str">
        <f aca="false">IF($B104=HN$12,$O104,"")</f>
        <v/>
      </c>
      <c r="HO104" s="88" t="str">
        <f aca="false">IF($B104=HO$12,$O104,"")</f>
        <v/>
      </c>
      <c r="HP104" s="88" t="str">
        <f aca="false">IF($B104=HP$12,$O104,"")</f>
        <v/>
      </c>
      <c r="HQ104" s="88" t="str">
        <f aca="false">IF($B104=HQ$12,$O104,"")</f>
        <v/>
      </c>
      <c r="HR104" s="89" t="str">
        <f aca="false">IF($B104=HR$12,$O104,"")</f>
        <v/>
      </c>
    </row>
    <row r="105" customFormat="false" ht="10.5" hidden="false" customHeight="true" outlineLevel="0" collapsed="false">
      <c r="A105" s="90"/>
      <c r="B105" s="91"/>
      <c r="C105" s="92" t="str">
        <f aca="false">IF(A105=0,"",VLOOKUP(A105,[3]CO!$A$3:$F$5311,2,0))</f>
        <v/>
      </c>
      <c r="D105" s="93"/>
      <c r="E105" s="93"/>
      <c r="F105" s="93"/>
      <c r="G105" s="94" t="str">
        <f aca="false">IF(A105=0,"",VLOOKUP(A105,[3]CO!$A$3:$F$5311,3,0))</f>
        <v/>
      </c>
      <c r="H105" s="93"/>
      <c r="I105" s="95"/>
      <c r="J105" s="95"/>
      <c r="K105" s="95"/>
      <c r="L105" s="95"/>
      <c r="M105" s="96" t="str">
        <f aca="false">IF(L105=0,"",PRODUCT(I105:L105))</f>
        <v/>
      </c>
      <c r="N105" s="96" t="str">
        <f aca="false">IF(B105=0,"",IF(H105="M",HLOOKUP(B105,$Y$12:$DT$13,2),IF(A105=0,"",VLOOKUP(A105,[3]CO!$A$3:$F$5311,4,0))))</f>
        <v/>
      </c>
      <c r="O105" s="96" t="str">
        <f aca="false">IF(L105=0,"",PRODUCT(M105:N105))</f>
        <v/>
      </c>
      <c r="P105" s="97"/>
      <c r="Q105" s="98" t="str">
        <f aca="false">IF(P105=0,"",(HLOOKUP(P105,$DW$12:$HR$13,2)))</f>
        <v/>
      </c>
      <c r="R105" s="99" t="str">
        <f aca="false">IF(S105=0,"",IF(OR(G105="PEON",G105="OF",G105="JARD",G105="CARP",G105="MAESTRO",G105="SOLD",G105="BGRO",G105="CHOFER",G105="AYTE",G105="S.INTTE.",G105="ASEO",G105="P.PISOS",G105="VELADOR",G105="RESID",G105="PINTOR",G105="ELECT",G105="AZULE",G105="AUX CONT.",G105="SECRETARIA",G105="AUXILIAR ADMTVO.",G105="ARQUITECTO",G105="DIBUJANTE",G105="AUX. DE RESIDENTE"),VLOOKUP(B105,P$14:Q$131,2),"")*S105)</f>
        <v/>
      </c>
      <c r="S105" s="5"/>
      <c r="T105" s="65" t="str">
        <f aca="false">IF(A105=0,"",VLOOKUP(A105,[3]CO!$A$3:$F$5302,5,0))</f>
        <v/>
      </c>
      <c r="U105" s="55" t="n">
        <f aca="false">IF(T105=1,O105*0.1,)</f>
        <v>0</v>
      </c>
      <c r="V105" s="66"/>
      <c r="W105" s="83"/>
      <c r="X105" s="83"/>
      <c r="Y105" s="100" t="str">
        <f aca="false">IF($B105=Y$12,$U105,"")</f>
        <v/>
      </c>
      <c r="Z105" s="101" t="str">
        <f aca="false">IF($B105=Z$12,$U105,"")</f>
        <v/>
      </c>
      <c r="AA105" s="101" t="str">
        <f aca="false">IF($B105=AA$12,$U105,"")</f>
        <v/>
      </c>
      <c r="AB105" s="101" t="str">
        <f aca="false">IF($B105=AB$12,$U105,"")</f>
        <v/>
      </c>
      <c r="AC105" s="101" t="str">
        <f aca="false">IF($B105=AC$12,$U105,"")</f>
        <v/>
      </c>
      <c r="AD105" s="101" t="str">
        <f aca="false">IF($B105=AD$12,$U105,"")</f>
        <v/>
      </c>
      <c r="AE105" s="101" t="str">
        <f aca="false">IF($B105=AE$12,$U105,"")</f>
        <v/>
      </c>
      <c r="AF105" s="101" t="str">
        <f aca="false">IF($B105=AF$12,$U105,"")</f>
        <v/>
      </c>
      <c r="AG105" s="101" t="str">
        <f aca="false">IF($B105=AG$12,$U105,"")</f>
        <v/>
      </c>
      <c r="AH105" s="101" t="str">
        <f aca="false">IF($B105=AH$12,$U105,"")</f>
        <v/>
      </c>
      <c r="AI105" s="101" t="str">
        <f aca="false">IF($B105=AI$12,$U105,"")</f>
        <v/>
      </c>
      <c r="AJ105" s="101" t="str">
        <f aca="false">IF($B105=AJ$12,$U105,"")</f>
        <v/>
      </c>
      <c r="AK105" s="101" t="str">
        <f aca="false">IF($B105=AK$12,$U105,"")</f>
        <v/>
      </c>
      <c r="AL105" s="101" t="str">
        <f aca="false">IF($B105=AL$12,$U105,"")</f>
        <v/>
      </c>
      <c r="AM105" s="101" t="str">
        <f aca="false">IF($B105=AM$12,$U105,"")</f>
        <v/>
      </c>
      <c r="AN105" s="101" t="str">
        <f aca="false">IF($B105=AN$12,$U105,"")</f>
        <v/>
      </c>
      <c r="AO105" s="101" t="str">
        <f aca="false">IF($B105=AO$12,$U105,"")</f>
        <v/>
      </c>
      <c r="AP105" s="101" t="str">
        <f aca="false">IF($B105=AP$12,$U105,"")</f>
        <v/>
      </c>
      <c r="AQ105" s="101" t="str">
        <f aca="false">IF($B105=AQ$12,$U105,"")</f>
        <v/>
      </c>
      <c r="AR105" s="101" t="str">
        <f aca="false">IF($B105=AR$12,$U105,"")</f>
        <v/>
      </c>
      <c r="AS105" s="101" t="str">
        <f aca="false">IF($B105=AS$12,$U105,"")</f>
        <v/>
      </c>
      <c r="AT105" s="101" t="str">
        <f aca="false">IF($B105=AT$12,$U105,"")</f>
        <v/>
      </c>
      <c r="AU105" s="101" t="str">
        <f aca="false">IF($B105=AU$12,$U105,"")</f>
        <v/>
      </c>
      <c r="AV105" s="101" t="str">
        <f aca="false">IF($B105=AV$12,$U105,"")</f>
        <v/>
      </c>
      <c r="AW105" s="101" t="str">
        <f aca="false">IF($B105=AW$12,$U105,"")</f>
        <v/>
      </c>
      <c r="AX105" s="101" t="str">
        <f aca="false">IF($B105=AX$12,$U105,"")</f>
        <v/>
      </c>
      <c r="AY105" s="101" t="str">
        <f aca="false">IF($B105=AY$12,$U105,"")</f>
        <v/>
      </c>
      <c r="AZ105" s="101" t="str">
        <f aca="false">IF($B105=AZ$12,$U105,"")</f>
        <v/>
      </c>
      <c r="BA105" s="101" t="str">
        <f aca="false">IF($B105=BA$12,$U105,"")</f>
        <v/>
      </c>
      <c r="BB105" s="101" t="str">
        <f aca="false">IF($B105=BB$12,$U105,"")</f>
        <v/>
      </c>
      <c r="BC105" s="101" t="str">
        <f aca="false">IF($B105=BC$12,$U105,"")</f>
        <v/>
      </c>
      <c r="BD105" s="101" t="str">
        <f aca="false">IF($B105=BD$12,$U105,"")</f>
        <v/>
      </c>
      <c r="BE105" s="101" t="str">
        <f aca="false">IF($B105=BE$12,$U105,"")</f>
        <v/>
      </c>
      <c r="BF105" s="101" t="str">
        <f aca="false">IF($B105=BF$12,$U105,"")</f>
        <v/>
      </c>
      <c r="BG105" s="101" t="str">
        <f aca="false">IF($B105=BG$12,$U105,"")</f>
        <v/>
      </c>
      <c r="BH105" s="101" t="str">
        <f aca="false">IF($B105=BH$12,$U105,"")</f>
        <v/>
      </c>
      <c r="BI105" s="101" t="str">
        <f aca="false">IF($B105=BI$12,$U105,"")</f>
        <v/>
      </c>
      <c r="BJ105" s="101" t="str">
        <f aca="false">IF($B105=BJ$12,$U105,"")</f>
        <v/>
      </c>
      <c r="BK105" s="101" t="str">
        <f aca="false">IF($B105=BK$12,$U105,"")</f>
        <v/>
      </c>
      <c r="BL105" s="101" t="str">
        <f aca="false">IF($B105=BL$12,$U105,"")</f>
        <v/>
      </c>
      <c r="BM105" s="101" t="str">
        <f aca="false">IF($B105=BM$12,$U105,"")</f>
        <v/>
      </c>
      <c r="BN105" s="101" t="str">
        <f aca="false">IF($B105=BN$12,$U105,"")</f>
        <v/>
      </c>
      <c r="BO105" s="101" t="str">
        <f aca="false">IF($B105=BO$12,$U105,"")</f>
        <v/>
      </c>
      <c r="BP105" s="101" t="str">
        <f aca="false">IF($B105=BP$12,$U105,"")</f>
        <v/>
      </c>
      <c r="BQ105" s="101" t="str">
        <f aca="false">IF($B105=BQ$12,$U105,"")</f>
        <v/>
      </c>
      <c r="BR105" s="101" t="str">
        <f aca="false">IF($B105=BR$12,$U105,"")</f>
        <v/>
      </c>
      <c r="BS105" s="101" t="str">
        <f aca="false">IF($B105=BS$12,$U105,"")</f>
        <v/>
      </c>
      <c r="BT105" s="101" t="str">
        <f aca="false">IF($B105=BT$12,$U105,"")</f>
        <v/>
      </c>
      <c r="BU105" s="101" t="str">
        <f aca="false">IF($B105=BU$12,$U105,"")</f>
        <v/>
      </c>
      <c r="BV105" s="101" t="str">
        <f aca="false">IF($B105=BV$12,$U105,"")</f>
        <v/>
      </c>
      <c r="BW105" s="101" t="str">
        <f aca="false">IF($B105=BW$12,$U105,"")</f>
        <v/>
      </c>
      <c r="BX105" s="101" t="str">
        <f aca="false">IF($B105=BX$12,$U105,"")</f>
        <v/>
      </c>
      <c r="BY105" s="101" t="str">
        <f aca="false">IF($B105=BY$12,$U105,"")</f>
        <v/>
      </c>
      <c r="BZ105" s="101" t="str">
        <f aca="false">IF($B105=BZ$12,$U105,"")</f>
        <v/>
      </c>
      <c r="CA105" s="101" t="str">
        <f aca="false">IF($B105=CA$12,$U105,"")</f>
        <v/>
      </c>
      <c r="CB105" s="101" t="str">
        <f aca="false">IF($B105=CB$12,$U105,"")</f>
        <v/>
      </c>
      <c r="CC105" s="101" t="str">
        <f aca="false">IF($B105=CC$12,$U105,"")</f>
        <v/>
      </c>
      <c r="CD105" s="101" t="str">
        <f aca="false">IF($B105=CD$12,$U105,"")</f>
        <v/>
      </c>
      <c r="CE105" s="101" t="str">
        <f aca="false">IF($B105=CE$12,$U105,"")</f>
        <v/>
      </c>
      <c r="CF105" s="101" t="str">
        <f aca="false">IF($B105=CF$12,$U105,"")</f>
        <v/>
      </c>
      <c r="CG105" s="101" t="str">
        <f aca="false">IF($B105=CG$12,$U105,"")</f>
        <v/>
      </c>
      <c r="CH105" s="101" t="str">
        <f aca="false">IF($B105=CH$12,$U105,"")</f>
        <v/>
      </c>
      <c r="CI105" s="101" t="str">
        <f aca="false">IF($B105=CI$12,$U105,"")</f>
        <v/>
      </c>
      <c r="CJ105" s="101" t="str">
        <f aca="false">IF($B105=CJ$12,$U105,"")</f>
        <v/>
      </c>
      <c r="CK105" s="101" t="str">
        <f aca="false">IF($B105=CK$12,$U105,"")</f>
        <v/>
      </c>
      <c r="CL105" s="101" t="str">
        <f aca="false">IF($B105=CL$12,$U105,"")</f>
        <v/>
      </c>
      <c r="CM105" s="101" t="str">
        <f aca="false">IF($B105=CM$12,$U105,"")</f>
        <v/>
      </c>
      <c r="CN105" s="101" t="str">
        <f aca="false">IF($B105=CN$12,$U105,"")</f>
        <v/>
      </c>
      <c r="CO105" s="101" t="str">
        <f aca="false">IF($B105=CO$12,$U105,"")</f>
        <v/>
      </c>
      <c r="CP105" s="101" t="str">
        <f aca="false">IF($B105=CP$12,$U105,"")</f>
        <v/>
      </c>
      <c r="CQ105" s="101" t="str">
        <f aca="false">IF($B105=CQ$12,$U105,"")</f>
        <v/>
      </c>
      <c r="CR105" s="101" t="str">
        <f aca="false">IF($B105=CR$12,$U105,"")</f>
        <v/>
      </c>
      <c r="CS105" s="101" t="str">
        <f aca="false">IF($B105=CS$12,$U105,"")</f>
        <v/>
      </c>
      <c r="CT105" s="101" t="str">
        <f aca="false">IF($B105=CT$12,$U105,"")</f>
        <v/>
      </c>
      <c r="CU105" s="101" t="str">
        <f aca="false">IF($B105=CU$12,$U105,"")</f>
        <v/>
      </c>
      <c r="CV105" s="101" t="str">
        <f aca="false">IF($B105=CV$12,$U105,"")</f>
        <v/>
      </c>
      <c r="CW105" s="101" t="str">
        <f aca="false">IF($B105=CW$12,$U105,"")</f>
        <v/>
      </c>
      <c r="CX105" s="101" t="str">
        <f aca="false">IF($B105=CX$12,$U105,"")</f>
        <v/>
      </c>
      <c r="CY105" s="101" t="str">
        <f aca="false">IF($B105=CY$12,$U105,"")</f>
        <v/>
      </c>
      <c r="CZ105" s="101" t="str">
        <f aca="false">IF($B105=CZ$12,$U105,"")</f>
        <v/>
      </c>
      <c r="DA105" s="101" t="str">
        <f aca="false">IF($B105=DA$12,$U105,"")</f>
        <v/>
      </c>
      <c r="DB105" s="101" t="str">
        <f aca="false">IF($B105=DB$12,$U105,"")</f>
        <v/>
      </c>
      <c r="DC105" s="101" t="str">
        <f aca="false">IF($B105=DC$12,$U105,"")</f>
        <v/>
      </c>
      <c r="DD105" s="101" t="str">
        <f aca="false">IF($B105=DD$12,$U105,"")</f>
        <v/>
      </c>
      <c r="DE105" s="101" t="str">
        <f aca="false">IF($B105=DE$12,$U105,"")</f>
        <v/>
      </c>
      <c r="DF105" s="101" t="str">
        <f aca="false">IF($B105=DF$12,$U105,"")</f>
        <v/>
      </c>
      <c r="DG105" s="101" t="str">
        <f aca="false">IF($B105=DG$12,$U105,"")</f>
        <v/>
      </c>
      <c r="DH105" s="101" t="str">
        <f aca="false">IF($B105=DH$12,$U105,"")</f>
        <v/>
      </c>
      <c r="DI105" s="101" t="str">
        <f aca="false">IF($B105=DI$12,$U105,"")</f>
        <v/>
      </c>
      <c r="DJ105" s="101" t="str">
        <f aca="false">IF($B105=DJ$12,$U105,"")</f>
        <v/>
      </c>
      <c r="DK105" s="101" t="str">
        <f aca="false">IF($B105=DK$12,$U105,"")</f>
        <v/>
      </c>
      <c r="DL105" s="101" t="str">
        <f aca="false">IF($B105=DL$12,$U105,"")</f>
        <v/>
      </c>
      <c r="DM105" s="101" t="str">
        <f aca="false">IF($B105=DM$12,$U105,"")</f>
        <v/>
      </c>
      <c r="DN105" s="101" t="str">
        <f aca="false">IF($B105=DN$12,$U105,"")</f>
        <v/>
      </c>
      <c r="DO105" s="101" t="str">
        <f aca="false">IF($B105=DO$12,$U105,"")</f>
        <v/>
      </c>
      <c r="DP105" s="101" t="str">
        <f aca="false">IF($B105=DP$12,$U105,"")</f>
        <v/>
      </c>
      <c r="DQ105" s="101" t="str">
        <f aca="false">IF($B105=DQ$12,$U105,"")</f>
        <v/>
      </c>
      <c r="DR105" s="101" t="str">
        <f aca="false">IF($B105=DR$12,$U105,"")</f>
        <v/>
      </c>
      <c r="DS105" s="101" t="str">
        <f aca="false">IF($B105=DS$12,$U105,"")</f>
        <v/>
      </c>
      <c r="DT105" s="102" t="str">
        <f aca="false">IF($B105=DT$12,$U105,"")</f>
        <v/>
      </c>
      <c r="DU105" s="55"/>
      <c r="DV105" s="83"/>
      <c r="DW105" s="103" t="str">
        <f aca="false">IF($B105=DW$12,$O105,"")</f>
        <v/>
      </c>
      <c r="DX105" s="104" t="str">
        <f aca="false">IF($B105=DX$12,$O105,"")</f>
        <v/>
      </c>
      <c r="DY105" s="104" t="str">
        <f aca="false">IF($B105=DY$12,$O105,"")</f>
        <v/>
      </c>
      <c r="DZ105" s="104" t="str">
        <f aca="false">IF($B105=DZ$12,$O105,"")</f>
        <v/>
      </c>
      <c r="EA105" s="104" t="str">
        <f aca="false">IF($B105=EA$12,$O105,"")</f>
        <v/>
      </c>
      <c r="EB105" s="104" t="str">
        <f aca="false">IF($B105=EB$12,$O105,"")</f>
        <v/>
      </c>
      <c r="EC105" s="104" t="str">
        <f aca="false">IF($B105=EC$12,$O105,"")</f>
        <v/>
      </c>
      <c r="ED105" s="104" t="str">
        <f aca="false">IF($B105=ED$12,$O105,"")</f>
        <v/>
      </c>
      <c r="EE105" s="104" t="str">
        <f aca="false">IF($B105=EE$12,$O105,"")</f>
        <v/>
      </c>
      <c r="EF105" s="104" t="str">
        <f aca="false">IF($B105=EF$12,$O105,"")</f>
        <v/>
      </c>
      <c r="EG105" s="104" t="str">
        <f aca="false">IF($B105=EG$12,$O105,"")</f>
        <v/>
      </c>
      <c r="EH105" s="104" t="str">
        <f aca="false">IF($B105=EH$12,$O105,"")</f>
        <v/>
      </c>
      <c r="EI105" s="104" t="str">
        <f aca="false">IF($B105=EI$12,$O105,"")</f>
        <v/>
      </c>
      <c r="EJ105" s="104" t="str">
        <f aca="false">IF($B105=EJ$12,$O105,"")</f>
        <v/>
      </c>
      <c r="EK105" s="104" t="str">
        <f aca="false">IF($B105=EK$12,$O105,"")</f>
        <v/>
      </c>
      <c r="EL105" s="104" t="str">
        <f aca="false">IF($B105=EL$12,$O105,"")</f>
        <v/>
      </c>
      <c r="EM105" s="104" t="str">
        <f aca="false">IF($B105=EM$12,$O105,"")</f>
        <v/>
      </c>
      <c r="EN105" s="104" t="str">
        <f aca="false">IF($B105=EN$12,$O105,"")</f>
        <v/>
      </c>
      <c r="EO105" s="104" t="str">
        <f aca="false">IF($B105=EO$12,$O105,"")</f>
        <v/>
      </c>
      <c r="EP105" s="104" t="str">
        <f aca="false">IF($B105=EP$12,$O105,"")</f>
        <v/>
      </c>
      <c r="EQ105" s="104" t="str">
        <f aca="false">IF($B105=EQ$12,$O105,"")</f>
        <v/>
      </c>
      <c r="ER105" s="104" t="str">
        <f aca="false">IF($B105=ER$12,$O105,"")</f>
        <v/>
      </c>
      <c r="ES105" s="104" t="str">
        <f aca="false">IF($B105=ES$12,$O105,"")</f>
        <v/>
      </c>
      <c r="ET105" s="104" t="str">
        <f aca="false">IF($B105=ET$12,$O105,"")</f>
        <v/>
      </c>
      <c r="EU105" s="104" t="str">
        <f aca="false">IF($B105=EU$12,$O105,"")</f>
        <v/>
      </c>
      <c r="EV105" s="104" t="str">
        <f aca="false">IF($B105=EV$12,$O105,"")</f>
        <v/>
      </c>
      <c r="EW105" s="104" t="str">
        <f aca="false">IF($B105=EW$12,$O105,"")</f>
        <v/>
      </c>
      <c r="EX105" s="104" t="str">
        <f aca="false">IF($B105=EX$12,$O105,"")</f>
        <v/>
      </c>
      <c r="EY105" s="104" t="str">
        <f aca="false">IF($B105=EY$12,$O105,"")</f>
        <v/>
      </c>
      <c r="EZ105" s="104" t="str">
        <f aca="false">IF($B105=EZ$12,$O105,"")</f>
        <v/>
      </c>
      <c r="FA105" s="104" t="str">
        <f aca="false">IF($B105=FA$12,$O105,"")</f>
        <v/>
      </c>
      <c r="FB105" s="104" t="str">
        <f aca="false">IF($B105=FB$12,$O105,"")</f>
        <v/>
      </c>
      <c r="FC105" s="104" t="str">
        <f aca="false">IF($B105=FC$12,$O105,"")</f>
        <v/>
      </c>
      <c r="FD105" s="104" t="str">
        <f aca="false">IF($B105=FD$12,$O105,"")</f>
        <v/>
      </c>
      <c r="FE105" s="104" t="str">
        <f aca="false">IF($B105=FE$12,$O105,"")</f>
        <v/>
      </c>
      <c r="FF105" s="104" t="str">
        <f aca="false">IF($B105=FF$12,$O105,"")</f>
        <v/>
      </c>
      <c r="FG105" s="104" t="str">
        <f aca="false">IF($B105=FG$12,$O105,"")</f>
        <v/>
      </c>
      <c r="FH105" s="104" t="str">
        <f aca="false">IF($B105=FH$12,$O105,"")</f>
        <v/>
      </c>
      <c r="FI105" s="104" t="str">
        <f aca="false">IF($B105=FI$12,$O105,"")</f>
        <v/>
      </c>
      <c r="FJ105" s="104" t="str">
        <f aca="false">IF($B105=FJ$12,$O105,"")</f>
        <v/>
      </c>
      <c r="FK105" s="104" t="str">
        <f aca="false">IF($B105=FK$12,$O105,"")</f>
        <v/>
      </c>
      <c r="FL105" s="104" t="str">
        <f aca="false">IF($B105=FL$12,$O105,"")</f>
        <v/>
      </c>
      <c r="FM105" s="104" t="str">
        <f aca="false">IF($B105=FM$12,$O105,"")</f>
        <v/>
      </c>
      <c r="FN105" s="104" t="str">
        <f aca="false">IF($B105=FN$12,$O105,"")</f>
        <v/>
      </c>
      <c r="FO105" s="104" t="str">
        <f aca="false">IF($B105=FO$12,$O105,"")</f>
        <v/>
      </c>
      <c r="FP105" s="104" t="str">
        <f aca="false">IF($B105=FP$12,$O105,"")</f>
        <v/>
      </c>
      <c r="FQ105" s="104" t="str">
        <f aca="false">IF($B105=FQ$12,$O105,"")</f>
        <v/>
      </c>
      <c r="FR105" s="104" t="str">
        <f aca="false">IF($B105=FR$12,$O105,"")</f>
        <v/>
      </c>
      <c r="FS105" s="104" t="str">
        <f aca="false">IF($B105=FS$12,$O105,"")</f>
        <v/>
      </c>
      <c r="FT105" s="104" t="str">
        <f aca="false">IF($B105=FT$12,$O105,"")</f>
        <v/>
      </c>
      <c r="FU105" s="104" t="str">
        <f aca="false">IF($B105=FU$12,$O105,"")</f>
        <v/>
      </c>
      <c r="FV105" s="104" t="str">
        <f aca="false">IF($B105=FV$12,$O105,"")</f>
        <v/>
      </c>
      <c r="FW105" s="104" t="str">
        <f aca="false">IF($B105=FW$12,$O105,"")</f>
        <v/>
      </c>
      <c r="FX105" s="104" t="str">
        <f aca="false">IF($B105=FX$12,$O105,"")</f>
        <v/>
      </c>
      <c r="FY105" s="104" t="str">
        <f aca="false">IF($B105=FY$12,$O105,"")</f>
        <v/>
      </c>
      <c r="FZ105" s="104" t="str">
        <f aca="false">IF($B105=FZ$12,$O105,"")</f>
        <v/>
      </c>
      <c r="GA105" s="104" t="str">
        <f aca="false">IF($B105=GA$12,$O105,"")</f>
        <v/>
      </c>
      <c r="GB105" s="104" t="str">
        <f aca="false">IF($B105=GB$12,$O105,"")</f>
        <v/>
      </c>
      <c r="GC105" s="104" t="str">
        <f aca="false">IF($B105=GC$12,$O105,"")</f>
        <v/>
      </c>
      <c r="GD105" s="104" t="str">
        <f aca="false">IF($B105=GD$12,$O105,"")</f>
        <v/>
      </c>
      <c r="GE105" s="104" t="str">
        <f aca="false">IF($B105=GE$12,$O105,"")</f>
        <v/>
      </c>
      <c r="GF105" s="104" t="str">
        <f aca="false">IF($B105=GF$12,$O105,"")</f>
        <v/>
      </c>
      <c r="GG105" s="104" t="str">
        <f aca="false">IF($B105=GG$12,$O105,"")</f>
        <v/>
      </c>
      <c r="GH105" s="104" t="str">
        <f aca="false">IF($B105=GH$12,$O105,"")</f>
        <v/>
      </c>
      <c r="GI105" s="104" t="str">
        <f aca="false">IF($B105=GI$12,$O105,"")</f>
        <v/>
      </c>
      <c r="GJ105" s="104" t="str">
        <f aca="false">IF($B105=GJ$12,$O105,"")</f>
        <v/>
      </c>
      <c r="GK105" s="104" t="str">
        <f aca="false">IF($B105=GK$12,$O105,"")</f>
        <v/>
      </c>
      <c r="GL105" s="104" t="str">
        <f aca="false">IF($B105=GL$12,$O105,"")</f>
        <v/>
      </c>
      <c r="GM105" s="104" t="str">
        <f aca="false">IF($B105=GM$12,$O105,"")</f>
        <v/>
      </c>
      <c r="GN105" s="104" t="str">
        <f aca="false">IF($B105=GN$12,$O105,"")</f>
        <v/>
      </c>
      <c r="GO105" s="104" t="str">
        <f aca="false">IF($B105=GO$12,$O105,"")</f>
        <v/>
      </c>
      <c r="GP105" s="104" t="str">
        <f aca="false">IF($B105=GP$12,$O105,"")</f>
        <v/>
      </c>
      <c r="GQ105" s="104" t="str">
        <f aca="false">IF($B105=GQ$12,$O105,"")</f>
        <v/>
      </c>
      <c r="GR105" s="104" t="str">
        <f aca="false">IF($B105=GR$12,$O105,"")</f>
        <v/>
      </c>
      <c r="GS105" s="104" t="str">
        <f aca="false">IF($B105=GS$12,$O105,"")</f>
        <v/>
      </c>
      <c r="GT105" s="104" t="str">
        <f aca="false">IF($B105=GT$12,$O105,"")</f>
        <v/>
      </c>
      <c r="GU105" s="104" t="str">
        <f aca="false">IF($B105=GU$12,$O105,"")</f>
        <v/>
      </c>
      <c r="GV105" s="104" t="str">
        <f aca="false">IF($B105=GV$12,$O105,"")</f>
        <v/>
      </c>
      <c r="GW105" s="104" t="str">
        <f aca="false">IF($B105=GW$12,$O105,"")</f>
        <v/>
      </c>
      <c r="GX105" s="104" t="str">
        <f aca="false">IF($B105=GX$12,$O105,"")</f>
        <v/>
      </c>
      <c r="GY105" s="104" t="str">
        <f aca="false">IF($B105=GY$12,$O105,"")</f>
        <v/>
      </c>
      <c r="GZ105" s="104" t="str">
        <f aca="false">IF($B105=GZ$12,$O105,"")</f>
        <v/>
      </c>
      <c r="HA105" s="104" t="str">
        <f aca="false">IF($B105=HA$12,$O105,"")</f>
        <v/>
      </c>
      <c r="HB105" s="104" t="str">
        <f aca="false">IF($B105=HB$12,$O105,"")</f>
        <v/>
      </c>
      <c r="HC105" s="104" t="str">
        <f aca="false">IF($B105=HC$12,$O105,"")</f>
        <v/>
      </c>
      <c r="HD105" s="104" t="str">
        <f aca="false">IF($B105=HD$12,$O105,"")</f>
        <v/>
      </c>
      <c r="HE105" s="104" t="str">
        <f aca="false">IF($B105=HE$12,$O105,"")</f>
        <v/>
      </c>
      <c r="HF105" s="104" t="str">
        <f aca="false">IF($B105=HF$12,$O105,"")</f>
        <v/>
      </c>
      <c r="HG105" s="104" t="str">
        <f aca="false">IF($B105=HG$12,$O105,"")</f>
        <v/>
      </c>
      <c r="HH105" s="104" t="str">
        <f aca="false">IF($B105=HH$12,$O105,"")</f>
        <v/>
      </c>
      <c r="HI105" s="104" t="str">
        <f aca="false">IF($B105=HI$12,$O105,"")</f>
        <v/>
      </c>
      <c r="HJ105" s="104" t="str">
        <f aca="false">IF($B105=HJ$12,$O105,"")</f>
        <v/>
      </c>
      <c r="HK105" s="104" t="str">
        <f aca="false">IF($B105=HK$12,$O105,"")</f>
        <v/>
      </c>
      <c r="HL105" s="104" t="str">
        <f aca="false">IF($B105=HL$12,$O105,"")</f>
        <v/>
      </c>
      <c r="HM105" s="104" t="str">
        <f aca="false">IF($B105=HM$12,$O105,"")</f>
        <v/>
      </c>
      <c r="HN105" s="104" t="str">
        <f aca="false">IF($B105=HN$12,$O105,"")</f>
        <v/>
      </c>
      <c r="HO105" s="104" t="str">
        <f aca="false">IF($B105=HO$12,$O105,"")</f>
        <v/>
      </c>
      <c r="HP105" s="104" t="str">
        <f aca="false">IF($B105=HP$12,$O105,"")</f>
        <v/>
      </c>
      <c r="HQ105" s="104" t="str">
        <f aca="false">IF($B105=HQ$12,$O105,"")</f>
        <v/>
      </c>
      <c r="HR105" s="105" t="str">
        <f aca="false">IF($B105=HR$12,$O105,"")</f>
        <v/>
      </c>
    </row>
    <row r="106" customFormat="false" ht="10.5" hidden="false" customHeight="true" outlineLevel="0" collapsed="false">
      <c r="B106" s="80"/>
      <c r="S106" s="5"/>
    </row>
    <row r="107" customFormat="false" ht="12" hidden="false" customHeight="true" outlineLevel="0" collapsed="false">
      <c r="B107" s="80"/>
      <c r="O107" s="106" t="s">
        <v>25</v>
      </c>
      <c r="P107" s="107"/>
      <c r="Q107" s="1" t="n">
        <f aca="false">SUM(Q14:Q105)</f>
        <v>2365.86</v>
      </c>
      <c r="R107" s="1" t="n">
        <f aca="false">SUM(R14:R105)</f>
        <v>2365.86</v>
      </c>
      <c r="S107" s="5"/>
    </row>
    <row r="108" customFormat="false" ht="10.5" hidden="false" customHeight="true" outlineLevel="0" collapsed="false"/>
    <row r="109" customFormat="false" ht="15.75" hidden="false" customHeight="true" outlineLevel="0" collapsed="false">
      <c r="A109" s="108"/>
      <c r="B109" s="109"/>
      <c r="C109" s="109"/>
      <c r="D109" s="109"/>
      <c r="E109" s="109"/>
      <c r="F109" s="109"/>
      <c r="G109" s="109" t="s">
        <v>26</v>
      </c>
      <c r="H109" s="109"/>
      <c r="I109" s="109"/>
      <c r="J109" s="110"/>
      <c r="K109" s="109"/>
      <c r="L109" s="109"/>
      <c r="M109" s="109"/>
      <c r="N109" s="109"/>
      <c r="O109" s="109"/>
      <c r="P109" s="109"/>
      <c r="Q109" s="109"/>
      <c r="R109" s="111"/>
    </row>
    <row r="110" customFormat="false" ht="10.5" hidden="false" customHeight="true" outlineLevel="0" collapsed="false"/>
    <row r="111" customFormat="false" ht="10.5" hidden="false" customHeight="true" outlineLevel="0" collapsed="false">
      <c r="A111" s="56"/>
      <c r="B111" s="112"/>
      <c r="C111" s="113" t="str">
        <f aca="false">IF(A111=0,"",VLOOKUP(A111,[3]CO!$A$3:$F$5311,2,0))</f>
        <v/>
      </c>
      <c r="D111" s="114"/>
      <c r="E111" s="114"/>
      <c r="F111" s="114"/>
      <c r="G111" s="115" t="str">
        <f aca="false">IF(A111=0,"",VLOOKUP(A111,[3]CO!$A$3:$F$5311,3,0))</f>
        <v/>
      </c>
      <c r="H111" s="5"/>
      <c r="I111" s="116"/>
      <c r="J111" s="116"/>
      <c r="K111" s="116"/>
      <c r="L111" s="116"/>
      <c r="M111" s="117" t="str">
        <f aca="false">IF(H111&gt;0,H111*Q$107/N111,IF(AND(L111&gt;0,I111&gt;0),L111*I111,IF(L111&gt;0,L111,"")))</f>
        <v/>
      </c>
      <c r="N111" s="117" t="str">
        <f aca="false">IF(B111=0,"",IF(H111="M",HLOOKUP(B111,$Y$12:$DT$13,2),IF(A111=0,"",VLOOKUP(A111,[3]CO!$A$3:$F$5311,4,0))))</f>
        <v/>
      </c>
      <c r="O111" s="117" t="str">
        <f aca="false">IF(L111=0,"",PRODUCT(M111:N111))</f>
        <v/>
      </c>
      <c r="P111" s="57"/>
      <c r="Q111" s="63" t="str">
        <f aca="false">IF(P111=0,"",(HLOOKUP(P111,$DW$12:$HR$13,2)))</f>
        <v/>
      </c>
      <c r="R111" s="64" t="str">
        <f aca="false">IF(S111=0,"",IF(OR(G111="PEON",G111="OF",G111="JARD",G111="CARP",G111="MAESTRO",G111="SOLD",G111="BGRO",G111="CHOFER",G111="AYTE",G111="S.INTTE.",G111="ASEO",G111="P.PISOS",G111="VELADOR",G111="RESID",G111="PINTOR",G111="ELECT",G111="AZULE",G111="AUX CONT.",G111="SECRETARIA",G111="AUXILIAR ADMTVO.",G111="ARQUITECTO",G111="DIBUJANTE",G111="AUX. DE RESIDENTE",G111="TOPOGRAFIA"),VLOOKUP(B111,P$14:Q$431,2),"")*S111)</f>
        <v/>
      </c>
      <c r="S111" s="5"/>
      <c r="T111" s="65" t="str">
        <f aca="false">IF(A111=0,"",VLOOKUP(A111,[3]CO!$A$3:$F$5302,5,0))</f>
        <v/>
      </c>
      <c r="U111" s="55" t="n">
        <f aca="false">IF(T111=1,O111*0.1,)</f>
        <v>0</v>
      </c>
      <c r="V111" s="66"/>
      <c r="W111" s="83"/>
      <c r="X111" s="83"/>
      <c r="Y111" s="118" t="str">
        <f aca="false">IF($B111=Y$12,$U111,"")</f>
        <v/>
      </c>
      <c r="Z111" s="119" t="str">
        <f aca="false">IF($B111=Z$12,$U111,"")</f>
        <v/>
      </c>
      <c r="AA111" s="119" t="str">
        <f aca="false">IF($B111=AA$12,$U111,"")</f>
        <v/>
      </c>
      <c r="AB111" s="119" t="str">
        <f aca="false">IF($B111=AB$12,$U111,"")</f>
        <v/>
      </c>
      <c r="AC111" s="119" t="str">
        <f aca="false">IF($B111=AC$12,$U111,"")</f>
        <v/>
      </c>
      <c r="AD111" s="119" t="str">
        <f aca="false">IF($B111=AD$12,$U111,"")</f>
        <v/>
      </c>
      <c r="AE111" s="119" t="str">
        <f aca="false">IF($B111=AE$12,$U111,"")</f>
        <v/>
      </c>
      <c r="AF111" s="119" t="str">
        <f aca="false">IF($B111=AF$12,$U111,"")</f>
        <v/>
      </c>
      <c r="AG111" s="119" t="str">
        <f aca="false">IF($B111=AG$12,$U111,"")</f>
        <v/>
      </c>
      <c r="AH111" s="119" t="str">
        <f aca="false">IF($B111=AH$12,$U111,"")</f>
        <v/>
      </c>
      <c r="AI111" s="119" t="str">
        <f aca="false">IF($B111=AI$12,$U111,"")</f>
        <v/>
      </c>
      <c r="AJ111" s="119" t="str">
        <f aca="false">IF($B111=AJ$12,$U111,"")</f>
        <v/>
      </c>
      <c r="AK111" s="119" t="str">
        <f aca="false">IF($B111=AK$12,$U111,"")</f>
        <v/>
      </c>
      <c r="AL111" s="119" t="str">
        <f aca="false">IF($B111=AL$12,$U111,"")</f>
        <v/>
      </c>
      <c r="AM111" s="119" t="str">
        <f aca="false">IF($B111=AM$12,$U111,"")</f>
        <v/>
      </c>
      <c r="AN111" s="119" t="str">
        <f aca="false">IF($B111=AN$12,$U111,"")</f>
        <v/>
      </c>
      <c r="AO111" s="119" t="str">
        <f aca="false">IF($B111=AO$12,$U111,"")</f>
        <v/>
      </c>
      <c r="AP111" s="119" t="str">
        <f aca="false">IF($B111=AP$12,$U111,"")</f>
        <v/>
      </c>
      <c r="AQ111" s="119" t="str">
        <f aca="false">IF($B111=AQ$12,$U111,"")</f>
        <v/>
      </c>
      <c r="AR111" s="119" t="str">
        <f aca="false">IF($B111=AR$12,$U111,"")</f>
        <v/>
      </c>
      <c r="AS111" s="119" t="str">
        <f aca="false">IF($B111=AS$12,$U111,"")</f>
        <v/>
      </c>
      <c r="AT111" s="119" t="str">
        <f aca="false">IF($B111=AT$12,$U111,"")</f>
        <v/>
      </c>
      <c r="AU111" s="119" t="str">
        <f aca="false">IF($B111=AU$12,$U111,"")</f>
        <v/>
      </c>
      <c r="AV111" s="119" t="str">
        <f aca="false">IF($B111=AV$12,$U111,"")</f>
        <v/>
      </c>
      <c r="AW111" s="119" t="str">
        <f aca="false">IF($B111=AW$12,$U111,"")</f>
        <v/>
      </c>
      <c r="AX111" s="119" t="str">
        <f aca="false">IF($B111=AX$12,$U111,"")</f>
        <v/>
      </c>
      <c r="AY111" s="119" t="str">
        <f aca="false">IF($B111=AY$12,$U111,"")</f>
        <v/>
      </c>
      <c r="AZ111" s="119" t="str">
        <f aca="false">IF($B111=AZ$12,$U111,"")</f>
        <v/>
      </c>
      <c r="BA111" s="119" t="str">
        <f aca="false">IF($B111=BA$12,$U111,"")</f>
        <v/>
      </c>
      <c r="BB111" s="119" t="str">
        <f aca="false">IF($B111=BB$12,$U111,"")</f>
        <v/>
      </c>
      <c r="BC111" s="119" t="str">
        <f aca="false">IF($B111=BC$12,$U111,"")</f>
        <v/>
      </c>
      <c r="BD111" s="119" t="str">
        <f aca="false">IF($B111=BD$12,$U111,"")</f>
        <v/>
      </c>
      <c r="BE111" s="119" t="str">
        <f aca="false">IF($B111=BE$12,$U111,"")</f>
        <v/>
      </c>
      <c r="BF111" s="119" t="str">
        <f aca="false">IF($B111=BF$12,$U111,"")</f>
        <v/>
      </c>
      <c r="BG111" s="119" t="str">
        <f aca="false">IF($B111=BG$12,$U111,"")</f>
        <v/>
      </c>
      <c r="BH111" s="119" t="str">
        <f aca="false">IF($B111=BH$12,$U111,"")</f>
        <v/>
      </c>
      <c r="BI111" s="119" t="str">
        <f aca="false">IF($B111=BI$12,$U111,"")</f>
        <v/>
      </c>
      <c r="BJ111" s="119" t="str">
        <f aca="false">IF($B111=BJ$12,$U111,"")</f>
        <v/>
      </c>
      <c r="BK111" s="119" t="str">
        <f aca="false">IF($B111=BK$12,$U111,"")</f>
        <v/>
      </c>
      <c r="BL111" s="119" t="str">
        <f aca="false">IF($B111=BL$12,$U111,"")</f>
        <v/>
      </c>
      <c r="BM111" s="119" t="str">
        <f aca="false">IF($B111=BM$12,$U111,"")</f>
        <v/>
      </c>
      <c r="BN111" s="119" t="str">
        <f aca="false">IF($B111=BN$12,$U111,"")</f>
        <v/>
      </c>
      <c r="BO111" s="119" t="str">
        <f aca="false">IF($B111=BO$12,$U111,"")</f>
        <v/>
      </c>
      <c r="BP111" s="119" t="str">
        <f aca="false">IF($B111=BP$12,$U111,"")</f>
        <v/>
      </c>
      <c r="BQ111" s="119" t="str">
        <f aca="false">IF($B111=BQ$12,$U111,"")</f>
        <v/>
      </c>
      <c r="BR111" s="119" t="str">
        <f aca="false">IF($B111=BR$12,$U111,"")</f>
        <v/>
      </c>
      <c r="BS111" s="119" t="str">
        <f aca="false">IF($B111=BS$12,$U111,"")</f>
        <v/>
      </c>
      <c r="BT111" s="119" t="str">
        <f aca="false">IF($B111=BT$12,$U111,"")</f>
        <v/>
      </c>
      <c r="BU111" s="119" t="str">
        <f aca="false">IF($B111=BU$12,$U111,"")</f>
        <v/>
      </c>
      <c r="BV111" s="119" t="str">
        <f aca="false">IF($B111=BV$12,$U111,"")</f>
        <v/>
      </c>
      <c r="BW111" s="119" t="str">
        <f aca="false">IF($B111=BW$12,$U111,"")</f>
        <v/>
      </c>
      <c r="BX111" s="119" t="str">
        <f aca="false">IF($B111=BX$12,$U111,"")</f>
        <v/>
      </c>
      <c r="BY111" s="119" t="str">
        <f aca="false">IF($B111=BY$12,$U111,"")</f>
        <v/>
      </c>
      <c r="BZ111" s="119" t="str">
        <f aca="false">IF($B111=BZ$12,$U111,"")</f>
        <v/>
      </c>
      <c r="CA111" s="119" t="str">
        <f aca="false">IF($B111=CA$12,$U111,"")</f>
        <v/>
      </c>
      <c r="CB111" s="119" t="str">
        <f aca="false">IF($B111=CB$12,$U111,"")</f>
        <v/>
      </c>
      <c r="CC111" s="119" t="str">
        <f aca="false">IF($B111=CC$12,$U111,"")</f>
        <v/>
      </c>
      <c r="CD111" s="119" t="str">
        <f aca="false">IF($B111=CD$12,$U111,"")</f>
        <v/>
      </c>
      <c r="CE111" s="119" t="str">
        <f aca="false">IF($B111=CE$12,$U111,"")</f>
        <v/>
      </c>
      <c r="CF111" s="119" t="str">
        <f aca="false">IF($B111=CF$12,$U111,"")</f>
        <v/>
      </c>
      <c r="CG111" s="119" t="str">
        <f aca="false">IF($B111=CG$12,$U111,"")</f>
        <v/>
      </c>
      <c r="CH111" s="119" t="str">
        <f aca="false">IF($B111=CH$12,$U111,"")</f>
        <v/>
      </c>
      <c r="CI111" s="119" t="str">
        <f aca="false">IF($B111=CI$12,$U111,"")</f>
        <v/>
      </c>
      <c r="CJ111" s="119" t="str">
        <f aca="false">IF($B111=CJ$12,$U111,"")</f>
        <v/>
      </c>
      <c r="CK111" s="119" t="str">
        <f aca="false">IF($B111=CK$12,$U111,"")</f>
        <v/>
      </c>
      <c r="CL111" s="119" t="str">
        <f aca="false">IF($B111=CL$12,$U111,"")</f>
        <v/>
      </c>
      <c r="CM111" s="119" t="str">
        <f aca="false">IF($B111=CM$12,$U111,"")</f>
        <v/>
      </c>
      <c r="CN111" s="119" t="str">
        <f aca="false">IF($B111=CN$12,$U111,"")</f>
        <v/>
      </c>
      <c r="CO111" s="119" t="str">
        <f aca="false">IF($B111=CO$12,$U111,"")</f>
        <v/>
      </c>
      <c r="CP111" s="119" t="str">
        <f aca="false">IF($B111=CP$12,$U111,"")</f>
        <v/>
      </c>
      <c r="CQ111" s="119" t="str">
        <f aca="false">IF($B111=CQ$12,$U111,"")</f>
        <v/>
      </c>
      <c r="CR111" s="119" t="str">
        <f aca="false">IF($B111=CR$12,$U111,"")</f>
        <v/>
      </c>
      <c r="CS111" s="119" t="str">
        <f aca="false">IF($B111=CS$12,$U111,"")</f>
        <v/>
      </c>
      <c r="CT111" s="119" t="str">
        <f aca="false">IF($B111=CT$12,$U111,"")</f>
        <v/>
      </c>
      <c r="CU111" s="119" t="str">
        <f aca="false">IF($B111=CU$12,$U111,"")</f>
        <v/>
      </c>
      <c r="CV111" s="119" t="str">
        <f aca="false">IF($B111=CV$12,$U111,"")</f>
        <v/>
      </c>
      <c r="CW111" s="119" t="str">
        <f aca="false">IF($B111=CW$12,$U111,"")</f>
        <v/>
      </c>
      <c r="CX111" s="119" t="str">
        <f aca="false">IF($B111=CX$12,$U111,"")</f>
        <v/>
      </c>
      <c r="CY111" s="119" t="str">
        <f aca="false">IF($B111=CY$12,$U111,"")</f>
        <v/>
      </c>
      <c r="CZ111" s="119" t="str">
        <f aca="false">IF($B111=CZ$12,$U111,"")</f>
        <v/>
      </c>
      <c r="DA111" s="119" t="str">
        <f aca="false">IF($B111=DA$12,$U111,"")</f>
        <v/>
      </c>
      <c r="DB111" s="119" t="str">
        <f aca="false">IF($B111=DB$12,$U111,"")</f>
        <v/>
      </c>
      <c r="DC111" s="119" t="str">
        <f aca="false">IF($B111=DC$12,$U111,"")</f>
        <v/>
      </c>
      <c r="DD111" s="119" t="str">
        <f aca="false">IF($B111=DD$12,$U111,"")</f>
        <v/>
      </c>
      <c r="DE111" s="119" t="str">
        <f aca="false">IF($B111=DE$12,$U111,"")</f>
        <v/>
      </c>
      <c r="DF111" s="119" t="str">
        <f aca="false">IF($B111=DF$12,$U111,"")</f>
        <v/>
      </c>
      <c r="DG111" s="119" t="str">
        <f aca="false">IF($B111=DG$12,$U111,"")</f>
        <v/>
      </c>
      <c r="DH111" s="119" t="str">
        <f aca="false">IF($B111=DH$12,$U111,"")</f>
        <v/>
      </c>
      <c r="DI111" s="119" t="str">
        <f aca="false">IF($B111=DI$12,$U111,"")</f>
        <v/>
      </c>
      <c r="DJ111" s="119" t="str">
        <f aca="false">IF($B111=DJ$12,$U111,"")</f>
        <v/>
      </c>
      <c r="DK111" s="119" t="str">
        <f aca="false">IF($B111=DK$12,$U111,"")</f>
        <v/>
      </c>
      <c r="DL111" s="119" t="str">
        <f aca="false">IF($B111=DL$12,$U111,"")</f>
        <v/>
      </c>
      <c r="DM111" s="119" t="str">
        <f aca="false">IF($B111=DM$12,$U111,"")</f>
        <v/>
      </c>
      <c r="DN111" s="119" t="str">
        <f aca="false">IF($B111=DN$12,$U111,"")</f>
        <v/>
      </c>
      <c r="DO111" s="119" t="str">
        <f aca="false">IF($B111=DO$12,$U111,"")</f>
        <v/>
      </c>
      <c r="DP111" s="119" t="str">
        <f aca="false">IF($B111=DP$12,$U111,"")</f>
        <v/>
      </c>
      <c r="DQ111" s="119" t="str">
        <f aca="false">IF($B111=DQ$12,$U111,"")</f>
        <v/>
      </c>
      <c r="DR111" s="119" t="str">
        <f aca="false">IF($B111=DR$12,$U111,"")</f>
        <v/>
      </c>
      <c r="DS111" s="119" t="str">
        <f aca="false">IF($B111=DS$12,$U111,"")</f>
        <v/>
      </c>
      <c r="DT111" s="120" t="str">
        <f aca="false">IF($B111=DT$12,$U111,"")</f>
        <v/>
      </c>
      <c r="DU111" s="55"/>
      <c r="DV111" s="83"/>
      <c r="DW111" s="121" t="str">
        <f aca="false">IF($B111=DW$12,$O111,"")</f>
        <v/>
      </c>
      <c r="DX111" s="122" t="str">
        <f aca="false">IF($B111=DX$12,$O111,"")</f>
        <v/>
      </c>
      <c r="DY111" s="122" t="str">
        <f aca="false">IF($B111=DY$12,$O111,"")</f>
        <v/>
      </c>
      <c r="DZ111" s="122" t="str">
        <f aca="false">IF($B111=DZ$12,$O111,"")</f>
        <v/>
      </c>
      <c r="EA111" s="122" t="str">
        <f aca="false">IF($B111=EA$12,$O111,"")</f>
        <v/>
      </c>
      <c r="EB111" s="122" t="str">
        <f aca="false">IF($B111=EB$12,$O111,"")</f>
        <v/>
      </c>
      <c r="EC111" s="122" t="str">
        <f aca="false">IF($B111=EC$12,$O111,"")</f>
        <v/>
      </c>
      <c r="ED111" s="122" t="str">
        <f aca="false">IF($B111=ED$12,$O111,"")</f>
        <v/>
      </c>
      <c r="EE111" s="122" t="str">
        <f aca="false">IF($B111=EE$12,$O111,"")</f>
        <v/>
      </c>
      <c r="EF111" s="122" t="str">
        <f aca="false">IF($B111=EF$12,$O111,"")</f>
        <v/>
      </c>
      <c r="EG111" s="122" t="str">
        <f aca="false">IF($B111=EG$12,$O111,"")</f>
        <v/>
      </c>
      <c r="EH111" s="122" t="str">
        <f aca="false">IF($B111=EH$12,$O111,"")</f>
        <v/>
      </c>
      <c r="EI111" s="122" t="str">
        <f aca="false">IF($B111=EI$12,$O111,"")</f>
        <v/>
      </c>
      <c r="EJ111" s="122" t="str">
        <f aca="false">IF($B111=EJ$12,$O111,"")</f>
        <v/>
      </c>
      <c r="EK111" s="122" t="str">
        <f aca="false">IF($B111=EK$12,$O111,"")</f>
        <v/>
      </c>
      <c r="EL111" s="122" t="str">
        <f aca="false">IF($B111=EL$12,$O111,"")</f>
        <v/>
      </c>
      <c r="EM111" s="122" t="str">
        <f aca="false">IF($B111=EM$12,$O111,"")</f>
        <v/>
      </c>
      <c r="EN111" s="122" t="str">
        <f aca="false">IF($B111=EN$12,$O111,"")</f>
        <v/>
      </c>
      <c r="EO111" s="122" t="str">
        <f aca="false">IF($B111=EO$12,$O111,"")</f>
        <v/>
      </c>
      <c r="EP111" s="122" t="str">
        <f aca="false">IF($B111=EP$12,$O111,"")</f>
        <v/>
      </c>
      <c r="EQ111" s="122" t="str">
        <f aca="false">IF($B111=EQ$12,$O111,"")</f>
        <v/>
      </c>
      <c r="ER111" s="122" t="str">
        <f aca="false">IF($B111=ER$12,$O111,"")</f>
        <v/>
      </c>
      <c r="ES111" s="122" t="str">
        <f aca="false">IF($B111=ES$12,$O111,"")</f>
        <v/>
      </c>
      <c r="ET111" s="122" t="str">
        <f aca="false">IF($B111=ET$12,$O111,"")</f>
        <v/>
      </c>
      <c r="EU111" s="122" t="str">
        <f aca="false">IF($B111=EU$12,$O111,"")</f>
        <v/>
      </c>
      <c r="EV111" s="122" t="str">
        <f aca="false">IF($B111=EV$12,$O111,"")</f>
        <v/>
      </c>
      <c r="EW111" s="122" t="str">
        <f aca="false">IF($B111=EW$12,$O111,"")</f>
        <v/>
      </c>
      <c r="EX111" s="122" t="str">
        <f aca="false">IF($B111=EX$12,$O111,"")</f>
        <v/>
      </c>
      <c r="EY111" s="122" t="str">
        <f aca="false">IF($B111=EY$12,$O111,"")</f>
        <v/>
      </c>
      <c r="EZ111" s="122" t="str">
        <f aca="false">IF($B111=EZ$12,$O111,"")</f>
        <v/>
      </c>
      <c r="FA111" s="122" t="str">
        <f aca="false">IF($B111=FA$12,$O111,"")</f>
        <v/>
      </c>
      <c r="FB111" s="122" t="str">
        <f aca="false">IF($B111=FB$12,$O111,"")</f>
        <v/>
      </c>
      <c r="FC111" s="122" t="str">
        <f aca="false">IF($B111=FC$12,$O111,"")</f>
        <v/>
      </c>
      <c r="FD111" s="122" t="str">
        <f aca="false">IF($B111=FD$12,$O111,"")</f>
        <v/>
      </c>
      <c r="FE111" s="122" t="str">
        <f aca="false">IF($B111=FE$12,$O111,"")</f>
        <v/>
      </c>
      <c r="FF111" s="122" t="str">
        <f aca="false">IF($B111=FF$12,$O111,"")</f>
        <v/>
      </c>
      <c r="FG111" s="122" t="str">
        <f aca="false">IF($B111=FG$12,$O111,"")</f>
        <v/>
      </c>
      <c r="FH111" s="122" t="str">
        <f aca="false">IF($B111=FH$12,$O111,"")</f>
        <v/>
      </c>
      <c r="FI111" s="122" t="str">
        <f aca="false">IF($B111=FI$12,$O111,"")</f>
        <v/>
      </c>
      <c r="FJ111" s="122" t="str">
        <f aca="false">IF($B111=FJ$12,$O111,"")</f>
        <v/>
      </c>
      <c r="FK111" s="122" t="str">
        <f aca="false">IF($B111=FK$12,$O111,"")</f>
        <v/>
      </c>
      <c r="FL111" s="122" t="str">
        <f aca="false">IF($B111=FL$12,$O111,"")</f>
        <v/>
      </c>
      <c r="FM111" s="122" t="str">
        <f aca="false">IF($B111=FM$12,$O111,"")</f>
        <v/>
      </c>
      <c r="FN111" s="122" t="str">
        <f aca="false">IF($B111=FN$12,$O111,"")</f>
        <v/>
      </c>
      <c r="FO111" s="122" t="str">
        <f aca="false">IF($B111=FO$12,$O111,"")</f>
        <v/>
      </c>
      <c r="FP111" s="122" t="str">
        <f aca="false">IF($B111=FP$12,$O111,"")</f>
        <v/>
      </c>
      <c r="FQ111" s="122" t="str">
        <f aca="false">IF($B111=FQ$12,$O111,"")</f>
        <v/>
      </c>
      <c r="FR111" s="122" t="str">
        <f aca="false">IF($B111=FR$12,$O111,"")</f>
        <v/>
      </c>
      <c r="FS111" s="122" t="str">
        <f aca="false">IF($B111=FS$12,$O111,"")</f>
        <v/>
      </c>
      <c r="FT111" s="122" t="str">
        <f aca="false">IF($B111=FT$12,$O111,"")</f>
        <v/>
      </c>
      <c r="FU111" s="122" t="str">
        <f aca="false">IF($B111=FU$12,$O111,"")</f>
        <v/>
      </c>
      <c r="FV111" s="122" t="str">
        <f aca="false">IF($B111=FV$12,$O111,"")</f>
        <v/>
      </c>
      <c r="FW111" s="122" t="str">
        <f aca="false">IF($B111=FW$12,$O111,"")</f>
        <v/>
      </c>
      <c r="FX111" s="122" t="str">
        <f aca="false">IF($B111=FX$12,$O111,"")</f>
        <v/>
      </c>
      <c r="FY111" s="122" t="str">
        <f aca="false">IF($B111=FY$12,$O111,"")</f>
        <v/>
      </c>
      <c r="FZ111" s="122" t="str">
        <f aca="false">IF($B111=FZ$12,$O111,"")</f>
        <v/>
      </c>
      <c r="GA111" s="122" t="str">
        <f aca="false">IF($B111=GA$12,$O111,"")</f>
        <v/>
      </c>
      <c r="GB111" s="122" t="str">
        <f aca="false">IF($B111=GB$12,$O111,"")</f>
        <v/>
      </c>
      <c r="GC111" s="122" t="str">
        <f aca="false">IF($B111=GC$12,$O111,"")</f>
        <v/>
      </c>
      <c r="GD111" s="122" t="str">
        <f aca="false">IF($B111=GD$12,$O111,"")</f>
        <v/>
      </c>
      <c r="GE111" s="122" t="str">
        <f aca="false">IF($B111=GE$12,$O111,"")</f>
        <v/>
      </c>
      <c r="GF111" s="122" t="str">
        <f aca="false">IF($B111=GF$12,$O111,"")</f>
        <v/>
      </c>
      <c r="GG111" s="122" t="str">
        <f aca="false">IF($B111=GG$12,$O111,"")</f>
        <v/>
      </c>
      <c r="GH111" s="122" t="str">
        <f aca="false">IF($B111=GH$12,$O111,"")</f>
        <v/>
      </c>
      <c r="GI111" s="122" t="str">
        <f aca="false">IF($B111=GI$12,$O111,"")</f>
        <v/>
      </c>
      <c r="GJ111" s="122" t="str">
        <f aca="false">IF($B111=GJ$12,$O111,"")</f>
        <v/>
      </c>
      <c r="GK111" s="122" t="str">
        <f aca="false">IF($B111=GK$12,$O111,"")</f>
        <v/>
      </c>
      <c r="GL111" s="122" t="str">
        <f aca="false">IF($B111=GL$12,$O111,"")</f>
        <v/>
      </c>
      <c r="GM111" s="122" t="str">
        <f aca="false">IF($B111=GM$12,$O111,"")</f>
        <v/>
      </c>
      <c r="GN111" s="122" t="str">
        <f aca="false">IF($B111=GN$12,$O111,"")</f>
        <v/>
      </c>
      <c r="GO111" s="122" t="str">
        <f aca="false">IF($B111=GO$12,$O111,"")</f>
        <v/>
      </c>
      <c r="GP111" s="122" t="str">
        <f aca="false">IF($B111=GP$12,$O111,"")</f>
        <v/>
      </c>
      <c r="GQ111" s="122" t="str">
        <f aca="false">IF($B111=GQ$12,$O111,"")</f>
        <v/>
      </c>
      <c r="GR111" s="122" t="str">
        <f aca="false">IF($B111=GR$12,$O111,"")</f>
        <v/>
      </c>
      <c r="GS111" s="122" t="str">
        <f aca="false">IF($B111=GS$12,$O111,"")</f>
        <v/>
      </c>
      <c r="GT111" s="122" t="str">
        <f aca="false">IF($B111=GT$12,$O111,"")</f>
        <v/>
      </c>
      <c r="GU111" s="122" t="str">
        <f aca="false">IF($B111=GU$12,$O111,"")</f>
        <v/>
      </c>
      <c r="GV111" s="122" t="str">
        <f aca="false">IF($B111=GV$12,$O111,"")</f>
        <v/>
      </c>
      <c r="GW111" s="122" t="str">
        <f aca="false">IF($B111=GW$12,$O111,"")</f>
        <v/>
      </c>
      <c r="GX111" s="122" t="str">
        <f aca="false">IF($B111=GX$12,$O111,"")</f>
        <v/>
      </c>
      <c r="GY111" s="122" t="str">
        <f aca="false">IF($B111=GY$12,$O111,"")</f>
        <v/>
      </c>
      <c r="GZ111" s="122" t="str">
        <f aca="false">IF($B111=GZ$12,$O111,"")</f>
        <v/>
      </c>
      <c r="HA111" s="122" t="str">
        <f aca="false">IF($B111=HA$12,$O111,"")</f>
        <v/>
      </c>
      <c r="HB111" s="122" t="str">
        <f aca="false">IF($B111=HB$12,$O111,"")</f>
        <v/>
      </c>
      <c r="HC111" s="122" t="str">
        <f aca="false">IF($B111=HC$12,$O111,"")</f>
        <v/>
      </c>
      <c r="HD111" s="122" t="str">
        <f aca="false">IF($B111=HD$12,$O111,"")</f>
        <v/>
      </c>
      <c r="HE111" s="122" t="str">
        <f aca="false">IF($B111=HE$12,$O111,"")</f>
        <v/>
      </c>
      <c r="HF111" s="122" t="str">
        <f aca="false">IF($B111=HF$12,$O111,"")</f>
        <v/>
      </c>
      <c r="HG111" s="122" t="str">
        <f aca="false">IF($B111=HG$12,$O111,"")</f>
        <v/>
      </c>
      <c r="HH111" s="122" t="str">
        <f aca="false">IF($B111=HH$12,$O111,"")</f>
        <v/>
      </c>
      <c r="HI111" s="122" t="str">
        <f aca="false">IF($B111=HI$12,$O111,"")</f>
        <v/>
      </c>
      <c r="HJ111" s="122" t="str">
        <f aca="false">IF($B111=HJ$12,$O111,"")</f>
        <v/>
      </c>
      <c r="HK111" s="122" t="str">
        <f aca="false">IF($B111=HK$12,$O111,"")</f>
        <v/>
      </c>
      <c r="HL111" s="122" t="str">
        <f aca="false">IF($B111=HL$12,$O111,"")</f>
        <v/>
      </c>
      <c r="HM111" s="122" t="str">
        <f aca="false">IF($B111=HM$12,$O111,"")</f>
        <v/>
      </c>
      <c r="HN111" s="122" t="str">
        <f aca="false">IF($B111=HN$12,$O111,"")</f>
        <v/>
      </c>
      <c r="HO111" s="122" t="str">
        <f aca="false">IF($B111=HO$12,$O111,"")</f>
        <v/>
      </c>
      <c r="HP111" s="122" t="str">
        <f aca="false">IF($B111=HP$12,$O111,"")</f>
        <v/>
      </c>
      <c r="HQ111" s="122" t="str">
        <f aca="false">IF($B111=HQ$12,$O111,"")</f>
        <v/>
      </c>
      <c r="HR111" s="123" t="str">
        <f aca="false">IF($B111=HR$12,$O111,"")</f>
        <v/>
      </c>
    </row>
    <row r="112" customFormat="false" ht="10.5" hidden="false" customHeight="true" outlineLevel="0" collapsed="false">
      <c r="A112" s="73"/>
      <c r="B112" s="74"/>
      <c r="C112" s="75" t="str">
        <f aca="false">IF(A112=0,"",VLOOKUP(A112,[3]CO!$A$3:$F$5311,2,0))</f>
        <v/>
      </c>
      <c r="D112" s="76"/>
      <c r="E112" s="76"/>
      <c r="F112" s="76"/>
      <c r="G112" s="77" t="str">
        <f aca="false">IF(A112=0,"",VLOOKUP(A112,[3]CO!$A$3:$F$5311,3,0))</f>
        <v/>
      </c>
      <c r="H112" s="5"/>
      <c r="I112" s="78"/>
      <c r="J112" s="78"/>
      <c r="K112" s="78"/>
      <c r="L112" s="78"/>
      <c r="M112" s="79" t="str">
        <f aca="false">IF(H112&gt;0,H112*Q$107/N112,IF(AND(L112&gt;0,I112&gt;0),L112*I112,IF(L112&gt;0,L112,"")))</f>
        <v/>
      </c>
      <c r="N112" s="79" t="str">
        <f aca="false">IF(B112=0,"",IF(H112="M",HLOOKUP(B112,$Y$12:$DT$13,2),IF(A112=0,"",VLOOKUP(A112,[3]CO!$A$3:$F$5311,4,0))))</f>
        <v/>
      </c>
      <c r="O112" s="79" t="str">
        <f aca="false">IF(L112=0,"",PRODUCT(M112:N112))</f>
        <v/>
      </c>
      <c r="P112" s="80"/>
      <c r="Q112" s="81" t="str">
        <f aca="false">IF(P112=0,"",(HLOOKUP(P112,$DW$12:$HR$13,2)))</f>
        <v/>
      </c>
      <c r="R112" s="82" t="str">
        <f aca="false">IF(S112=0,"",IF(OR(G112="PEON",G112="OF",G112="JARD",G112="CARP",G112="MAESTRO",G112="SOLD",G112="BGRO",G112="CHOFER",G112="AYTE",G112="S.INTTE.",G112="ASEO",G112="P.PISOS",G112="VELADOR",G112="RESID",G112="PINTOR",G112="ELECT",G112="AZULE",G112="AUX CONT.",G112="SECRETARIA",G112="AUXILIAR ADMTVO.",G112="ARQUITECTO",G112="DIBUJANTE",G112="AUX. DE RESIDENTE",G112="TOPOGRAFIA",G112="DESTAJOS"),VLOOKUP(B112,P$14:Q$131,2),"")*S112)</f>
        <v/>
      </c>
      <c r="S112" s="5"/>
      <c r="T112" s="65" t="str">
        <f aca="false">IF(A112=0,"",VLOOKUP(A112,[3]CO!$A$3:$F$5302,5,0))</f>
        <v/>
      </c>
      <c r="U112" s="55" t="n">
        <f aca="false">IF(T112=1,O112*0.1,)</f>
        <v>0</v>
      </c>
      <c r="V112" s="66"/>
      <c r="W112" s="83"/>
      <c r="X112" s="83"/>
      <c r="Y112" s="84" t="str">
        <f aca="false">IF($B112=Y$12,$U112,"")</f>
        <v/>
      </c>
      <c r="Z112" s="85" t="str">
        <f aca="false">IF($B112=Z$12,$U112,"")</f>
        <v/>
      </c>
      <c r="AA112" s="85" t="str">
        <f aca="false">IF($B112=AA$12,$U112,"")</f>
        <v/>
      </c>
      <c r="AB112" s="85" t="str">
        <f aca="false">IF($B112=AB$12,$U112,"")</f>
        <v/>
      </c>
      <c r="AC112" s="85" t="str">
        <f aca="false">IF($B112=AC$12,$U112,"")</f>
        <v/>
      </c>
      <c r="AD112" s="85" t="str">
        <f aca="false">IF($B112=AD$12,$U112,"")</f>
        <v/>
      </c>
      <c r="AE112" s="85" t="str">
        <f aca="false">IF($B112=AE$12,$U112,"")</f>
        <v/>
      </c>
      <c r="AF112" s="85" t="str">
        <f aca="false">IF($B112=AF$12,$U112,"")</f>
        <v/>
      </c>
      <c r="AG112" s="85" t="str">
        <f aca="false">IF($B112=AG$12,$U112,"")</f>
        <v/>
      </c>
      <c r="AH112" s="85" t="str">
        <f aca="false">IF($B112=AH$12,$U112,"")</f>
        <v/>
      </c>
      <c r="AI112" s="85" t="str">
        <f aca="false">IF($B112=AI$12,$U112,"")</f>
        <v/>
      </c>
      <c r="AJ112" s="85" t="str">
        <f aca="false">IF($B112=AJ$12,$U112,"")</f>
        <v/>
      </c>
      <c r="AK112" s="85" t="str">
        <f aca="false">IF($B112=AK$12,$U112,"")</f>
        <v/>
      </c>
      <c r="AL112" s="85" t="str">
        <f aca="false">IF($B112=AL$12,$U112,"")</f>
        <v/>
      </c>
      <c r="AM112" s="85" t="str">
        <f aca="false">IF($B112=AM$12,$U112,"")</f>
        <v/>
      </c>
      <c r="AN112" s="85" t="str">
        <f aca="false">IF($B112=AN$12,$U112,"")</f>
        <v/>
      </c>
      <c r="AO112" s="85" t="str">
        <f aca="false">IF($B112=AO$12,$U112,"")</f>
        <v/>
      </c>
      <c r="AP112" s="85" t="str">
        <f aca="false">IF($B112=AP$12,$U112,"")</f>
        <v/>
      </c>
      <c r="AQ112" s="85" t="str">
        <f aca="false">IF($B112=AQ$12,$U112,"")</f>
        <v/>
      </c>
      <c r="AR112" s="85" t="str">
        <f aca="false">IF($B112=AR$12,$U112,"")</f>
        <v/>
      </c>
      <c r="AS112" s="85" t="str">
        <f aca="false">IF($B112=AS$12,$U112,"")</f>
        <v/>
      </c>
      <c r="AT112" s="85" t="str">
        <f aca="false">IF($B112=AT$12,$U112,"")</f>
        <v/>
      </c>
      <c r="AU112" s="85" t="str">
        <f aca="false">IF($B112=AU$12,$U112,"")</f>
        <v/>
      </c>
      <c r="AV112" s="85" t="str">
        <f aca="false">IF($B112=AV$12,$U112,"")</f>
        <v/>
      </c>
      <c r="AW112" s="85" t="str">
        <f aca="false">IF($B112=AW$12,$U112,"")</f>
        <v/>
      </c>
      <c r="AX112" s="85" t="str">
        <f aca="false">IF($B112=AX$12,$U112,"")</f>
        <v/>
      </c>
      <c r="AY112" s="85" t="str">
        <f aca="false">IF($B112=AY$12,$U112,"")</f>
        <v/>
      </c>
      <c r="AZ112" s="85" t="str">
        <f aca="false">IF($B112=AZ$12,$U112,"")</f>
        <v/>
      </c>
      <c r="BA112" s="85" t="str">
        <f aca="false">IF($B112=BA$12,$U112,"")</f>
        <v/>
      </c>
      <c r="BB112" s="85" t="str">
        <f aca="false">IF($B112=BB$12,$U112,"")</f>
        <v/>
      </c>
      <c r="BC112" s="85" t="str">
        <f aca="false">IF($B112=BC$12,$U112,"")</f>
        <v/>
      </c>
      <c r="BD112" s="85" t="str">
        <f aca="false">IF($B112=BD$12,$U112,"")</f>
        <v/>
      </c>
      <c r="BE112" s="85" t="str">
        <f aca="false">IF($B112=BE$12,$U112,"")</f>
        <v/>
      </c>
      <c r="BF112" s="85" t="str">
        <f aca="false">IF($B112=BF$12,$U112,"")</f>
        <v/>
      </c>
      <c r="BG112" s="85" t="str">
        <f aca="false">IF($B112=BG$12,$U112,"")</f>
        <v/>
      </c>
      <c r="BH112" s="85" t="str">
        <f aca="false">IF($B112=BH$12,$U112,"")</f>
        <v/>
      </c>
      <c r="BI112" s="85" t="str">
        <f aca="false">IF($B112=BI$12,$U112,"")</f>
        <v/>
      </c>
      <c r="BJ112" s="85" t="str">
        <f aca="false">IF($B112=BJ$12,$U112,"")</f>
        <v/>
      </c>
      <c r="BK112" s="85" t="str">
        <f aca="false">IF($B112=BK$12,$U112,"")</f>
        <v/>
      </c>
      <c r="BL112" s="85" t="str">
        <f aca="false">IF($B112=BL$12,$U112,"")</f>
        <v/>
      </c>
      <c r="BM112" s="85" t="str">
        <f aca="false">IF($B112=BM$12,$U112,"")</f>
        <v/>
      </c>
      <c r="BN112" s="85" t="str">
        <f aca="false">IF($B112=BN$12,$U112,"")</f>
        <v/>
      </c>
      <c r="BO112" s="85" t="str">
        <f aca="false">IF($B112=BO$12,$U112,"")</f>
        <v/>
      </c>
      <c r="BP112" s="85" t="str">
        <f aca="false">IF($B112=BP$12,$U112,"")</f>
        <v/>
      </c>
      <c r="BQ112" s="85" t="str">
        <f aca="false">IF($B112=BQ$12,$U112,"")</f>
        <v/>
      </c>
      <c r="BR112" s="85" t="str">
        <f aca="false">IF($B112=BR$12,$U112,"")</f>
        <v/>
      </c>
      <c r="BS112" s="85" t="str">
        <f aca="false">IF($B112=BS$12,$U112,"")</f>
        <v/>
      </c>
      <c r="BT112" s="85" t="str">
        <f aca="false">IF($B112=BT$12,$U112,"")</f>
        <v/>
      </c>
      <c r="BU112" s="85" t="str">
        <f aca="false">IF($B112=BU$12,$U112,"")</f>
        <v/>
      </c>
      <c r="BV112" s="85" t="str">
        <f aca="false">IF($B112=BV$12,$U112,"")</f>
        <v/>
      </c>
      <c r="BW112" s="85" t="str">
        <f aca="false">IF($B112=BW$12,$U112,"")</f>
        <v/>
      </c>
      <c r="BX112" s="85" t="str">
        <f aca="false">IF($B112=BX$12,$U112,"")</f>
        <v/>
      </c>
      <c r="BY112" s="85" t="str">
        <f aca="false">IF($B112=BY$12,$U112,"")</f>
        <v/>
      </c>
      <c r="BZ112" s="85" t="str">
        <f aca="false">IF($B112=BZ$12,$U112,"")</f>
        <v/>
      </c>
      <c r="CA112" s="85" t="str">
        <f aca="false">IF($B112=CA$12,$U112,"")</f>
        <v/>
      </c>
      <c r="CB112" s="85" t="str">
        <f aca="false">IF($B112=CB$12,$U112,"")</f>
        <v/>
      </c>
      <c r="CC112" s="85" t="str">
        <f aca="false">IF($B112=CC$12,$U112,"")</f>
        <v/>
      </c>
      <c r="CD112" s="85" t="str">
        <f aca="false">IF($B112=CD$12,$U112,"")</f>
        <v/>
      </c>
      <c r="CE112" s="85" t="str">
        <f aca="false">IF($B112=CE$12,$U112,"")</f>
        <v/>
      </c>
      <c r="CF112" s="85" t="str">
        <f aca="false">IF($B112=CF$12,$U112,"")</f>
        <v/>
      </c>
      <c r="CG112" s="85" t="str">
        <f aca="false">IF($B112=CG$12,$U112,"")</f>
        <v/>
      </c>
      <c r="CH112" s="85" t="str">
        <f aca="false">IF($B112=CH$12,$U112,"")</f>
        <v/>
      </c>
      <c r="CI112" s="85" t="str">
        <f aca="false">IF($B112=CI$12,$U112,"")</f>
        <v/>
      </c>
      <c r="CJ112" s="85" t="str">
        <f aca="false">IF($B112=CJ$12,$U112,"")</f>
        <v/>
      </c>
      <c r="CK112" s="85" t="str">
        <f aca="false">IF($B112=CK$12,$U112,"")</f>
        <v/>
      </c>
      <c r="CL112" s="85" t="str">
        <f aca="false">IF($B112=CL$12,$U112,"")</f>
        <v/>
      </c>
      <c r="CM112" s="85" t="str">
        <f aca="false">IF($B112=CM$12,$U112,"")</f>
        <v/>
      </c>
      <c r="CN112" s="85" t="str">
        <f aca="false">IF($B112=CN$12,$U112,"")</f>
        <v/>
      </c>
      <c r="CO112" s="85" t="str">
        <f aca="false">IF($B112=CO$12,$U112,"")</f>
        <v/>
      </c>
      <c r="CP112" s="85" t="str">
        <f aca="false">IF($B112=CP$12,$U112,"")</f>
        <v/>
      </c>
      <c r="CQ112" s="85" t="str">
        <f aca="false">IF($B112=CQ$12,$U112,"")</f>
        <v/>
      </c>
      <c r="CR112" s="85" t="str">
        <f aca="false">IF($B112=CR$12,$U112,"")</f>
        <v/>
      </c>
      <c r="CS112" s="85" t="str">
        <f aca="false">IF($B112=CS$12,$U112,"")</f>
        <v/>
      </c>
      <c r="CT112" s="85" t="str">
        <f aca="false">IF($B112=CT$12,$U112,"")</f>
        <v/>
      </c>
      <c r="CU112" s="85" t="str">
        <f aca="false">IF($B112=CU$12,$U112,"")</f>
        <v/>
      </c>
      <c r="CV112" s="85" t="str">
        <f aca="false">IF($B112=CV$12,$U112,"")</f>
        <v/>
      </c>
      <c r="CW112" s="85" t="str">
        <f aca="false">IF($B112=CW$12,$U112,"")</f>
        <v/>
      </c>
      <c r="CX112" s="85" t="str">
        <f aca="false">IF($B112=CX$12,$U112,"")</f>
        <v/>
      </c>
      <c r="CY112" s="85" t="str">
        <f aca="false">IF($B112=CY$12,$U112,"")</f>
        <v/>
      </c>
      <c r="CZ112" s="85" t="str">
        <f aca="false">IF($B112=CZ$12,$U112,"")</f>
        <v/>
      </c>
      <c r="DA112" s="85" t="str">
        <f aca="false">IF($B112=DA$12,$U112,"")</f>
        <v/>
      </c>
      <c r="DB112" s="85" t="str">
        <f aca="false">IF($B112=DB$12,$U112,"")</f>
        <v/>
      </c>
      <c r="DC112" s="85" t="str">
        <f aca="false">IF($B112=DC$12,$U112,"")</f>
        <v/>
      </c>
      <c r="DD112" s="85" t="str">
        <f aca="false">IF($B112=DD$12,$U112,"")</f>
        <v/>
      </c>
      <c r="DE112" s="85" t="str">
        <f aca="false">IF($B112=DE$12,$U112,"")</f>
        <v/>
      </c>
      <c r="DF112" s="85" t="str">
        <f aca="false">IF($B112=DF$12,$U112,"")</f>
        <v/>
      </c>
      <c r="DG112" s="85" t="str">
        <f aca="false">IF($B112=DG$12,$U112,"")</f>
        <v/>
      </c>
      <c r="DH112" s="85" t="str">
        <f aca="false">IF($B112=DH$12,$U112,"")</f>
        <v/>
      </c>
      <c r="DI112" s="85" t="str">
        <f aca="false">IF($B112=DI$12,$U112,"")</f>
        <v/>
      </c>
      <c r="DJ112" s="85" t="str">
        <f aca="false">IF($B112=DJ$12,$U112,"")</f>
        <v/>
      </c>
      <c r="DK112" s="85" t="str">
        <f aca="false">IF($B112=DK$12,$U112,"")</f>
        <v/>
      </c>
      <c r="DL112" s="85" t="str">
        <f aca="false">IF($B112=DL$12,$U112,"")</f>
        <v/>
      </c>
      <c r="DM112" s="85" t="str">
        <f aca="false">IF($B112=DM$12,$U112,"")</f>
        <v/>
      </c>
      <c r="DN112" s="85" t="str">
        <f aca="false">IF($B112=DN$12,$U112,"")</f>
        <v/>
      </c>
      <c r="DO112" s="85" t="str">
        <f aca="false">IF($B112=DO$12,$U112,"")</f>
        <v/>
      </c>
      <c r="DP112" s="85" t="str">
        <f aca="false">IF($B112=DP$12,$U112,"")</f>
        <v/>
      </c>
      <c r="DQ112" s="85" t="str">
        <f aca="false">IF($B112=DQ$12,$U112,"")</f>
        <v/>
      </c>
      <c r="DR112" s="85" t="str">
        <f aca="false">IF($B112=DR$12,$U112,"")</f>
        <v/>
      </c>
      <c r="DS112" s="85" t="str">
        <f aca="false">IF($B112=DS$12,$U112,"")</f>
        <v/>
      </c>
      <c r="DT112" s="86" t="str">
        <f aca="false">IF($B112=DT$12,$U112,"")</f>
        <v/>
      </c>
      <c r="DU112" s="55"/>
      <c r="DV112" s="83"/>
      <c r="DW112" s="87" t="str">
        <f aca="false">IF($B112=DW$12,$O112,"")</f>
        <v/>
      </c>
      <c r="DX112" s="88" t="str">
        <f aca="false">IF($B112=DX$12,$O112,"")</f>
        <v/>
      </c>
      <c r="DY112" s="88" t="str">
        <f aca="false">IF($B112=DY$12,$O112,"")</f>
        <v/>
      </c>
      <c r="DZ112" s="88" t="str">
        <f aca="false">IF($B112=DZ$12,$O112,"")</f>
        <v/>
      </c>
      <c r="EA112" s="88" t="str">
        <f aca="false">IF($B112=EA$12,$O112,"")</f>
        <v/>
      </c>
      <c r="EB112" s="88" t="str">
        <f aca="false">IF($B112=EB$12,$O112,"")</f>
        <v/>
      </c>
      <c r="EC112" s="88" t="str">
        <f aca="false">IF($B112=EC$12,$O112,"")</f>
        <v/>
      </c>
      <c r="ED112" s="88" t="str">
        <f aca="false">IF($B112=ED$12,$O112,"")</f>
        <v/>
      </c>
      <c r="EE112" s="88" t="str">
        <f aca="false">IF($B112=EE$12,$O112,"")</f>
        <v/>
      </c>
      <c r="EF112" s="88" t="str">
        <f aca="false">IF($B112=EF$12,$O112,"")</f>
        <v/>
      </c>
      <c r="EG112" s="88" t="str">
        <f aca="false">IF($B112=EG$12,$O112,"")</f>
        <v/>
      </c>
      <c r="EH112" s="88" t="str">
        <f aca="false">IF($B112=EH$12,$O112,"")</f>
        <v/>
      </c>
      <c r="EI112" s="88" t="str">
        <f aca="false">IF($B112=EI$12,$O112,"")</f>
        <v/>
      </c>
      <c r="EJ112" s="88" t="str">
        <f aca="false">IF($B112=EJ$12,$O112,"")</f>
        <v/>
      </c>
      <c r="EK112" s="88" t="str">
        <f aca="false">IF($B112=EK$12,$O112,"")</f>
        <v/>
      </c>
      <c r="EL112" s="88" t="str">
        <f aca="false">IF($B112=EL$12,$O112,"")</f>
        <v/>
      </c>
      <c r="EM112" s="88" t="str">
        <f aca="false">IF($B112=EM$12,$O112,"")</f>
        <v/>
      </c>
      <c r="EN112" s="88" t="str">
        <f aca="false">IF($B112=EN$12,$O112,"")</f>
        <v/>
      </c>
      <c r="EO112" s="88" t="str">
        <f aca="false">IF($B112=EO$12,$O112,"")</f>
        <v/>
      </c>
      <c r="EP112" s="88" t="str">
        <f aca="false">IF($B112=EP$12,$O112,"")</f>
        <v/>
      </c>
      <c r="EQ112" s="88" t="str">
        <f aca="false">IF($B112=EQ$12,$O112,"")</f>
        <v/>
      </c>
      <c r="ER112" s="88" t="str">
        <f aca="false">IF($B112=ER$12,$O112,"")</f>
        <v/>
      </c>
      <c r="ES112" s="88" t="str">
        <f aca="false">IF($B112=ES$12,$O112,"")</f>
        <v/>
      </c>
      <c r="ET112" s="88" t="str">
        <f aca="false">IF($B112=ET$12,$O112,"")</f>
        <v/>
      </c>
      <c r="EU112" s="88" t="str">
        <f aca="false">IF($B112=EU$12,$O112,"")</f>
        <v/>
      </c>
      <c r="EV112" s="88" t="str">
        <f aca="false">IF($B112=EV$12,$O112,"")</f>
        <v/>
      </c>
      <c r="EW112" s="88" t="str">
        <f aca="false">IF($B112=EW$12,$O112,"")</f>
        <v/>
      </c>
      <c r="EX112" s="88" t="str">
        <f aca="false">IF($B112=EX$12,$O112,"")</f>
        <v/>
      </c>
      <c r="EY112" s="88" t="str">
        <f aca="false">IF($B112=EY$12,$O112,"")</f>
        <v/>
      </c>
      <c r="EZ112" s="88" t="str">
        <f aca="false">IF($B112=EZ$12,$O112,"")</f>
        <v/>
      </c>
      <c r="FA112" s="88" t="str">
        <f aca="false">IF($B112=FA$12,$O112,"")</f>
        <v/>
      </c>
      <c r="FB112" s="88" t="str">
        <f aca="false">IF($B112=FB$12,$O112,"")</f>
        <v/>
      </c>
      <c r="FC112" s="88" t="str">
        <f aca="false">IF($B112=FC$12,$O112,"")</f>
        <v/>
      </c>
      <c r="FD112" s="88" t="str">
        <f aca="false">IF($B112=FD$12,$O112,"")</f>
        <v/>
      </c>
      <c r="FE112" s="88" t="str">
        <f aca="false">IF($B112=FE$12,$O112,"")</f>
        <v/>
      </c>
      <c r="FF112" s="88" t="str">
        <f aca="false">IF($B112=FF$12,$O112,"")</f>
        <v/>
      </c>
      <c r="FG112" s="88" t="str">
        <f aca="false">IF($B112=FG$12,$O112,"")</f>
        <v/>
      </c>
      <c r="FH112" s="88" t="str">
        <f aca="false">IF($B112=FH$12,$O112,"")</f>
        <v/>
      </c>
      <c r="FI112" s="88" t="str">
        <f aca="false">IF($B112=FI$12,$O112,"")</f>
        <v/>
      </c>
      <c r="FJ112" s="88" t="str">
        <f aca="false">IF($B112=FJ$12,$O112,"")</f>
        <v/>
      </c>
      <c r="FK112" s="88" t="str">
        <f aca="false">IF($B112=FK$12,$O112,"")</f>
        <v/>
      </c>
      <c r="FL112" s="88" t="str">
        <f aca="false">IF($B112=FL$12,$O112,"")</f>
        <v/>
      </c>
      <c r="FM112" s="88" t="str">
        <f aca="false">IF($B112=FM$12,$O112,"")</f>
        <v/>
      </c>
      <c r="FN112" s="88" t="str">
        <f aca="false">IF($B112=FN$12,$O112,"")</f>
        <v/>
      </c>
      <c r="FO112" s="88" t="str">
        <f aca="false">IF($B112=FO$12,$O112,"")</f>
        <v/>
      </c>
      <c r="FP112" s="88" t="str">
        <f aca="false">IF($B112=FP$12,$O112,"")</f>
        <v/>
      </c>
      <c r="FQ112" s="88" t="str">
        <f aca="false">IF($B112=FQ$12,$O112,"")</f>
        <v/>
      </c>
      <c r="FR112" s="88" t="str">
        <f aca="false">IF($B112=FR$12,$O112,"")</f>
        <v/>
      </c>
      <c r="FS112" s="88" t="str">
        <f aca="false">IF($B112=FS$12,$O112,"")</f>
        <v/>
      </c>
      <c r="FT112" s="88" t="str">
        <f aca="false">IF($B112=FT$12,$O112,"")</f>
        <v/>
      </c>
      <c r="FU112" s="88" t="str">
        <f aca="false">IF($B112=FU$12,$O112,"")</f>
        <v/>
      </c>
      <c r="FV112" s="88" t="str">
        <f aca="false">IF($B112=FV$12,$O112,"")</f>
        <v/>
      </c>
      <c r="FW112" s="88" t="str">
        <f aca="false">IF($B112=FW$12,$O112,"")</f>
        <v/>
      </c>
      <c r="FX112" s="88" t="str">
        <f aca="false">IF($B112=FX$12,$O112,"")</f>
        <v/>
      </c>
      <c r="FY112" s="88" t="str">
        <f aca="false">IF($B112=FY$12,$O112,"")</f>
        <v/>
      </c>
      <c r="FZ112" s="88" t="str">
        <f aca="false">IF($B112=FZ$12,$O112,"")</f>
        <v/>
      </c>
      <c r="GA112" s="88" t="str">
        <f aca="false">IF($B112=GA$12,$O112,"")</f>
        <v/>
      </c>
      <c r="GB112" s="88" t="str">
        <f aca="false">IF($B112=GB$12,$O112,"")</f>
        <v/>
      </c>
      <c r="GC112" s="88" t="str">
        <f aca="false">IF($B112=GC$12,$O112,"")</f>
        <v/>
      </c>
      <c r="GD112" s="88" t="str">
        <f aca="false">IF($B112=GD$12,$O112,"")</f>
        <v/>
      </c>
      <c r="GE112" s="88" t="str">
        <f aca="false">IF($B112=GE$12,$O112,"")</f>
        <v/>
      </c>
      <c r="GF112" s="88" t="str">
        <f aca="false">IF($B112=GF$12,$O112,"")</f>
        <v/>
      </c>
      <c r="GG112" s="88" t="str">
        <f aca="false">IF($B112=GG$12,$O112,"")</f>
        <v/>
      </c>
      <c r="GH112" s="88" t="str">
        <f aca="false">IF($B112=GH$12,$O112,"")</f>
        <v/>
      </c>
      <c r="GI112" s="88" t="str">
        <f aca="false">IF($B112=GI$12,$O112,"")</f>
        <v/>
      </c>
      <c r="GJ112" s="88" t="str">
        <f aca="false">IF($B112=GJ$12,$O112,"")</f>
        <v/>
      </c>
      <c r="GK112" s="88" t="str">
        <f aca="false">IF($B112=GK$12,$O112,"")</f>
        <v/>
      </c>
      <c r="GL112" s="88" t="str">
        <f aca="false">IF($B112=GL$12,$O112,"")</f>
        <v/>
      </c>
      <c r="GM112" s="88" t="str">
        <f aca="false">IF($B112=GM$12,$O112,"")</f>
        <v/>
      </c>
      <c r="GN112" s="88" t="str">
        <f aca="false">IF($B112=GN$12,$O112,"")</f>
        <v/>
      </c>
      <c r="GO112" s="88" t="str">
        <f aca="false">IF($B112=GO$12,$O112,"")</f>
        <v/>
      </c>
      <c r="GP112" s="88" t="str">
        <f aca="false">IF($B112=GP$12,$O112,"")</f>
        <v/>
      </c>
      <c r="GQ112" s="88" t="str">
        <f aca="false">IF($B112=GQ$12,$O112,"")</f>
        <v/>
      </c>
      <c r="GR112" s="88" t="str">
        <f aca="false">IF($B112=GR$12,$O112,"")</f>
        <v/>
      </c>
      <c r="GS112" s="88" t="str">
        <f aca="false">IF($B112=GS$12,$O112,"")</f>
        <v/>
      </c>
      <c r="GT112" s="88" t="str">
        <f aca="false">IF($B112=GT$12,$O112,"")</f>
        <v/>
      </c>
      <c r="GU112" s="88" t="str">
        <f aca="false">IF($B112=GU$12,$O112,"")</f>
        <v/>
      </c>
      <c r="GV112" s="88" t="str">
        <f aca="false">IF($B112=GV$12,$O112,"")</f>
        <v/>
      </c>
      <c r="GW112" s="88" t="str">
        <f aca="false">IF($B112=GW$12,$O112,"")</f>
        <v/>
      </c>
      <c r="GX112" s="88" t="str">
        <f aca="false">IF($B112=GX$12,$O112,"")</f>
        <v/>
      </c>
      <c r="GY112" s="88" t="str">
        <f aca="false">IF($B112=GY$12,$O112,"")</f>
        <v/>
      </c>
      <c r="GZ112" s="88" t="str">
        <f aca="false">IF($B112=GZ$12,$O112,"")</f>
        <v/>
      </c>
      <c r="HA112" s="88" t="str">
        <f aca="false">IF($B112=HA$12,$O112,"")</f>
        <v/>
      </c>
      <c r="HB112" s="88" t="str">
        <f aca="false">IF($B112=HB$12,$O112,"")</f>
        <v/>
      </c>
      <c r="HC112" s="88" t="str">
        <f aca="false">IF($B112=HC$12,$O112,"")</f>
        <v/>
      </c>
      <c r="HD112" s="88" t="str">
        <f aca="false">IF($B112=HD$12,$O112,"")</f>
        <v/>
      </c>
      <c r="HE112" s="88" t="str">
        <f aca="false">IF($B112=HE$12,$O112,"")</f>
        <v/>
      </c>
      <c r="HF112" s="88" t="str">
        <f aca="false">IF($B112=HF$12,$O112,"")</f>
        <v/>
      </c>
      <c r="HG112" s="88" t="str">
        <f aca="false">IF($B112=HG$12,$O112,"")</f>
        <v/>
      </c>
      <c r="HH112" s="88" t="str">
        <f aca="false">IF($B112=HH$12,$O112,"")</f>
        <v/>
      </c>
      <c r="HI112" s="88" t="str">
        <f aca="false">IF($B112=HI$12,$O112,"")</f>
        <v/>
      </c>
      <c r="HJ112" s="88" t="str">
        <f aca="false">IF($B112=HJ$12,$O112,"")</f>
        <v/>
      </c>
      <c r="HK112" s="88" t="str">
        <f aca="false">IF($B112=HK$12,$O112,"")</f>
        <v/>
      </c>
      <c r="HL112" s="88" t="str">
        <f aca="false">IF($B112=HL$12,$O112,"")</f>
        <v/>
      </c>
      <c r="HM112" s="88" t="str">
        <f aca="false">IF($B112=HM$12,$O112,"")</f>
        <v/>
      </c>
      <c r="HN112" s="88" t="str">
        <f aca="false">IF($B112=HN$12,$O112,"")</f>
        <v/>
      </c>
      <c r="HO112" s="88" t="str">
        <f aca="false">IF($B112=HO$12,$O112,"")</f>
        <v/>
      </c>
      <c r="HP112" s="88" t="str">
        <f aca="false">IF($B112=HP$12,$O112,"")</f>
        <v/>
      </c>
      <c r="HQ112" s="88" t="str">
        <f aca="false">IF($B112=HQ$12,$O112,"")</f>
        <v/>
      </c>
      <c r="HR112" s="89" t="str">
        <f aca="false">IF($B112=HR$12,$O112,"")</f>
        <v/>
      </c>
    </row>
    <row r="113" customFormat="false" ht="10.5" hidden="false" customHeight="true" outlineLevel="0" collapsed="false">
      <c r="A113" s="73"/>
      <c r="B113" s="74"/>
      <c r="C113" s="75" t="str">
        <f aca="false">IF(A113=0,"",VLOOKUP(A113,[3]CO!$A$3:$F$5311,2,0))</f>
        <v/>
      </c>
      <c r="D113" s="76"/>
      <c r="E113" s="76"/>
      <c r="F113" s="76"/>
      <c r="G113" s="77" t="str">
        <f aca="false">IF(A113=0,"",VLOOKUP(A113,[3]CO!$A$3:$F$5311,3,0))</f>
        <v/>
      </c>
      <c r="H113" s="5"/>
      <c r="I113" s="78"/>
      <c r="J113" s="78"/>
      <c r="K113" s="78"/>
      <c r="L113" s="78"/>
      <c r="M113" s="79" t="str">
        <f aca="false">IF(H113&gt;0,H113*Q$107/N113,IF(AND(L113&gt;0,I113&gt;0),L113*I113,IF(L113&gt;0,L113,"")))</f>
        <v/>
      </c>
      <c r="N113" s="79" t="str">
        <f aca="false">IF(B113=0,"",IF(H113="M",HLOOKUP(B113,$Y$12:$DT$13,2),IF(A113=0,"",VLOOKUP(A113,[3]CO!$A$3:$F$5311,4,0))))</f>
        <v/>
      </c>
      <c r="O113" s="79" t="str">
        <f aca="false">IF(L113=0,"",PRODUCT(M113:N113))</f>
        <v/>
      </c>
      <c r="P113" s="80"/>
      <c r="Q113" s="81" t="str">
        <f aca="false">IF(P113=0,"",(HLOOKUP(P113,$DW$12:$HR$13,2)))</f>
        <v/>
      </c>
      <c r="R113" s="82" t="str">
        <f aca="false">IF(S113=0,"",IF(OR(G113="PEON",G113="OF",G113="JARD",G113="CARP",G113="MAESTRO",G113="SOLD",G113="BGRO",G113="CHOFER",G113="AYTE",G113="S.INTTE.",G113="ASEO",G113="P.PISOS",G113="VELADOR",G113="RESID",G113="PINTOR",G113="ELECT",G113="AZULE",G113="AUX CONT.",G113="SECRETARIA",G113="AUXILIAR ADMTVO.",G113="ARQUITECTO",G113="DIBUJANTE",G113="AUX. DE RESIDENTE",G113="TOPOGRAFIA"),VLOOKUP(B113,P$14:Q$431,2),"")*S113)</f>
        <v/>
      </c>
      <c r="T113" s="65" t="str">
        <f aca="false">IF(A113=0,"",VLOOKUP(A113,[3]CO!$A$3:$F$5302,5,0))</f>
        <v/>
      </c>
      <c r="U113" s="55" t="n">
        <f aca="false">IF(T113=1,O113*0.1,)</f>
        <v>0</v>
      </c>
      <c r="V113" s="66"/>
      <c r="W113" s="83"/>
      <c r="X113" s="83"/>
      <c r="Y113" s="84" t="str">
        <f aca="false">IF($B113=Y$12,$U113,"")</f>
        <v/>
      </c>
      <c r="Z113" s="85" t="str">
        <f aca="false">IF($B113=Z$12,$U113,"")</f>
        <v/>
      </c>
      <c r="AA113" s="85" t="str">
        <f aca="false">IF($B113=AA$12,$U113,"")</f>
        <v/>
      </c>
      <c r="AB113" s="85" t="str">
        <f aca="false">IF($B113=AB$12,$U113,"")</f>
        <v/>
      </c>
      <c r="AC113" s="85" t="str">
        <f aca="false">IF($B113=AC$12,$U113,"")</f>
        <v/>
      </c>
      <c r="AD113" s="85" t="str">
        <f aca="false">IF($B113=AD$12,$U113,"")</f>
        <v/>
      </c>
      <c r="AE113" s="85" t="str">
        <f aca="false">IF($B113=AE$12,$U113,"")</f>
        <v/>
      </c>
      <c r="AF113" s="85" t="str">
        <f aca="false">IF($B113=AF$12,$U113,"")</f>
        <v/>
      </c>
      <c r="AG113" s="85" t="str">
        <f aca="false">IF($B113=AG$12,$U113,"")</f>
        <v/>
      </c>
      <c r="AH113" s="85" t="str">
        <f aca="false">IF($B113=AH$12,$U113,"")</f>
        <v/>
      </c>
      <c r="AI113" s="85" t="str">
        <f aca="false">IF($B113=AI$12,$U113,"")</f>
        <v/>
      </c>
      <c r="AJ113" s="85" t="str">
        <f aca="false">IF($B113=AJ$12,$U113,"")</f>
        <v/>
      </c>
      <c r="AK113" s="85" t="str">
        <f aca="false">IF($B113=AK$12,$U113,"")</f>
        <v/>
      </c>
      <c r="AL113" s="85" t="str">
        <f aca="false">IF($B113=AL$12,$U113,"")</f>
        <v/>
      </c>
      <c r="AM113" s="85" t="str">
        <f aca="false">IF($B113=AM$12,$U113,"")</f>
        <v/>
      </c>
      <c r="AN113" s="85" t="str">
        <f aca="false">IF($B113=AN$12,$U113,"")</f>
        <v/>
      </c>
      <c r="AO113" s="85" t="str">
        <f aca="false">IF($B113=AO$12,$U113,"")</f>
        <v/>
      </c>
      <c r="AP113" s="85" t="str">
        <f aca="false">IF($B113=AP$12,$U113,"")</f>
        <v/>
      </c>
      <c r="AQ113" s="85" t="str">
        <f aca="false">IF($B113=AQ$12,$U113,"")</f>
        <v/>
      </c>
      <c r="AR113" s="85" t="str">
        <f aca="false">IF($B113=AR$12,$U113,"")</f>
        <v/>
      </c>
      <c r="AS113" s="85" t="str">
        <f aca="false">IF($B113=AS$12,$U113,"")</f>
        <v/>
      </c>
      <c r="AT113" s="85" t="str">
        <f aca="false">IF($B113=AT$12,$U113,"")</f>
        <v/>
      </c>
      <c r="AU113" s="85" t="str">
        <f aca="false">IF($B113=AU$12,$U113,"")</f>
        <v/>
      </c>
      <c r="AV113" s="85" t="str">
        <f aca="false">IF($B113=AV$12,$U113,"")</f>
        <v/>
      </c>
      <c r="AW113" s="85" t="str">
        <f aca="false">IF($B113=AW$12,$U113,"")</f>
        <v/>
      </c>
      <c r="AX113" s="85" t="str">
        <f aca="false">IF($B113=AX$12,$U113,"")</f>
        <v/>
      </c>
      <c r="AY113" s="85" t="str">
        <f aca="false">IF($B113=AY$12,$U113,"")</f>
        <v/>
      </c>
      <c r="AZ113" s="85" t="str">
        <f aca="false">IF($B113=AZ$12,$U113,"")</f>
        <v/>
      </c>
      <c r="BA113" s="85" t="str">
        <f aca="false">IF($B113=BA$12,$U113,"")</f>
        <v/>
      </c>
      <c r="BB113" s="85" t="str">
        <f aca="false">IF($B113=BB$12,$U113,"")</f>
        <v/>
      </c>
      <c r="BC113" s="85" t="str">
        <f aca="false">IF($B113=BC$12,$U113,"")</f>
        <v/>
      </c>
      <c r="BD113" s="85" t="str">
        <f aca="false">IF($B113=BD$12,$U113,"")</f>
        <v/>
      </c>
      <c r="BE113" s="85" t="str">
        <f aca="false">IF($B113=BE$12,$U113,"")</f>
        <v/>
      </c>
      <c r="BF113" s="85" t="str">
        <f aca="false">IF($B113=BF$12,$U113,"")</f>
        <v/>
      </c>
      <c r="BG113" s="85" t="str">
        <f aca="false">IF($B113=BG$12,$U113,"")</f>
        <v/>
      </c>
      <c r="BH113" s="85" t="str">
        <f aca="false">IF($B113=BH$12,$U113,"")</f>
        <v/>
      </c>
      <c r="BI113" s="85" t="str">
        <f aca="false">IF($B113=BI$12,$U113,"")</f>
        <v/>
      </c>
      <c r="BJ113" s="85" t="str">
        <f aca="false">IF($B113=BJ$12,$U113,"")</f>
        <v/>
      </c>
      <c r="BK113" s="85" t="str">
        <f aca="false">IF($B113=BK$12,$U113,"")</f>
        <v/>
      </c>
      <c r="BL113" s="85" t="str">
        <f aca="false">IF($B113=BL$12,$U113,"")</f>
        <v/>
      </c>
      <c r="BM113" s="85" t="str">
        <f aca="false">IF($B113=BM$12,$U113,"")</f>
        <v/>
      </c>
      <c r="BN113" s="85" t="str">
        <f aca="false">IF($B113=BN$12,$U113,"")</f>
        <v/>
      </c>
      <c r="BO113" s="85" t="str">
        <f aca="false">IF($B113=BO$12,$U113,"")</f>
        <v/>
      </c>
      <c r="BP113" s="85" t="str">
        <f aca="false">IF($B113=BP$12,$U113,"")</f>
        <v/>
      </c>
      <c r="BQ113" s="85" t="str">
        <f aca="false">IF($B113=BQ$12,$U113,"")</f>
        <v/>
      </c>
      <c r="BR113" s="85" t="str">
        <f aca="false">IF($B113=BR$12,$U113,"")</f>
        <v/>
      </c>
      <c r="BS113" s="85" t="str">
        <f aca="false">IF($B113=BS$12,$U113,"")</f>
        <v/>
      </c>
      <c r="BT113" s="85" t="str">
        <f aca="false">IF($B113=BT$12,$U113,"")</f>
        <v/>
      </c>
      <c r="BU113" s="85" t="str">
        <f aca="false">IF($B113=BU$12,$U113,"")</f>
        <v/>
      </c>
      <c r="BV113" s="85" t="str">
        <f aca="false">IF($B113=BV$12,$U113,"")</f>
        <v/>
      </c>
      <c r="BW113" s="85" t="str">
        <f aca="false">IF($B113=BW$12,$U113,"")</f>
        <v/>
      </c>
      <c r="BX113" s="85" t="str">
        <f aca="false">IF($B113=BX$12,$U113,"")</f>
        <v/>
      </c>
      <c r="BY113" s="85" t="str">
        <f aca="false">IF($B113=BY$12,$U113,"")</f>
        <v/>
      </c>
      <c r="BZ113" s="85" t="str">
        <f aca="false">IF($B113=BZ$12,$U113,"")</f>
        <v/>
      </c>
      <c r="CA113" s="85" t="str">
        <f aca="false">IF($B113=CA$12,$U113,"")</f>
        <v/>
      </c>
      <c r="CB113" s="85" t="str">
        <f aca="false">IF($B113=CB$12,$U113,"")</f>
        <v/>
      </c>
      <c r="CC113" s="85" t="str">
        <f aca="false">IF($B113=CC$12,$U113,"")</f>
        <v/>
      </c>
      <c r="CD113" s="85" t="str">
        <f aca="false">IF($B113=CD$12,$U113,"")</f>
        <v/>
      </c>
      <c r="CE113" s="85" t="str">
        <f aca="false">IF($B113=CE$12,$U113,"")</f>
        <v/>
      </c>
      <c r="CF113" s="85" t="str">
        <f aca="false">IF($B113=CF$12,$U113,"")</f>
        <v/>
      </c>
      <c r="CG113" s="85" t="str">
        <f aca="false">IF($B113=CG$12,$U113,"")</f>
        <v/>
      </c>
      <c r="CH113" s="85" t="str">
        <f aca="false">IF($B113=CH$12,$U113,"")</f>
        <v/>
      </c>
      <c r="CI113" s="85" t="str">
        <f aca="false">IF($B113=CI$12,$U113,"")</f>
        <v/>
      </c>
      <c r="CJ113" s="85" t="str">
        <f aca="false">IF($B113=CJ$12,$U113,"")</f>
        <v/>
      </c>
      <c r="CK113" s="85" t="str">
        <f aca="false">IF($B113=CK$12,$U113,"")</f>
        <v/>
      </c>
      <c r="CL113" s="85" t="str">
        <f aca="false">IF($B113=CL$12,$U113,"")</f>
        <v/>
      </c>
      <c r="CM113" s="85" t="str">
        <f aca="false">IF($B113=CM$12,$U113,"")</f>
        <v/>
      </c>
      <c r="CN113" s="85" t="str">
        <f aca="false">IF($B113=CN$12,$U113,"")</f>
        <v/>
      </c>
      <c r="CO113" s="85" t="str">
        <f aca="false">IF($B113=CO$12,$U113,"")</f>
        <v/>
      </c>
      <c r="CP113" s="85" t="str">
        <f aca="false">IF($B113=CP$12,$U113,"")</f>
        <v/>
      </c>
      <c r="CQ113" s="85" t="str">
        <f aca="false">IF($B113=CQ$12,$U113,"")</f>
        <v/>
      </c>
      <c r="CR113" s="85" t="str">
        <f aca="false">IF($B113=CR$12,$U113,"")</f>
        <v/>
      </c>
      <c r="CS113" s="85" t="str">
        <f aca="false">IF($B113=CS$12,$U113,"")</f>
        <v/>
      </c>
      <c r="CT113" s="85" t="str">
        <f aca="false">IF($B113=CT$12,$U113,"")</f>
        <v/>
      </c>
      <c r="CU113" s="85" t="str">
        <f aca="false">IF($B113=CU$12,$U113,"")</f>
        <v/>
      </c>
      <c r="CV113" s="85" t="str">
        <f aca="false">IF($B113=CV$12,$U113,"")</f>
        <v/>
      </c>
      <c r="CW113" s="85" t="str">
        <f aca="false">IF($B113=CW$12,$U113,"")</f>
        <v/>
      </c>
      <c r="CX113" s="85" t="str">
        <f aca="false">IF($B113=CX$12,$U113,"")</f>
        <v/>
      </c>
      <c r="CY113" s="85" t="str">
        <f aca="false">IF($B113=CY$12,$U113,"")</f>
        <v/>
      </c>
      <c r="CZ113" s="85" t="str">
        <f aca="false">IF($B113=CZ$12,$U113,"")</f>
        <v/>
      </c>
      <c r="DA113" s="85" t="str">
        <f aca="false">IF($B113=DA$12,$U113,"")</f>
        <v/>
      </c>
      <c r="DB113" s="85" t="str">
        <f aca="false">IF($B113=DB$12,$U113,"")</f>
        <v/>
      </c>
      <c r="DC113" s="85" t="str">
        <f aca="false">IF($B113=DC$12,$U113,"")</f>
        <v/>
      </c>
      <c r="DD113" s="85" t="str">
        <f aca="false">IF($B113=DD$12,$U113,"")</f>
        <v/>
      </c>
      <c r="DE113" s="85" t="str">
        <f aca="false">IF($B113=DE$12,$U113,"")</f>
        <v/>
      </c>
      <c r="DF113" s="85" t="str">
        <f aca="false">IF($B113=DF$12,$U113,"")</f>
        <v/>
      </c>
      <c r="DG113" s="85" t="str">
        <f aca="false">IF($B113=DG$12,$U113,"")</f>
        <v/>
      </c>
      <c r="DH113" s="85" t="str">
        <f aca="false">IF($B113=DH$12,$U113,"")</f>
        <v/>
      </c>
      <c r="DI113" s="85" t="str">
        <f aca="false">IF($B113=DI$12,$U113,"")</f>
        <v/>
      </c>
      <c r="DJ113" s="85" t="str">
        <f aca="false">IF($B113=DJ$12,$U113,"")</f>
        <v/>
      </c>
      <c r="DK113" s="85" t="str">
        <f aca="false">IF($B113=DK$12,$U113,"")</f>
        <v/>
      </c>
      <c r="DL113" s="85" t="str">
        <f aca="false">IF($B113=DL$12,$U113,"")</f>
        <v/>
      </c>
      <c r="DM113" s="85" t="str">
        <f aca="false">IF($B113=DM$12,$U113,"")</f>
        <v/>
      </c>
      <c r="DN113" s="85" t="str">
        <f aca="false">IF($B113=DN$12,$U113,"")</f>
        <v/>
      </c>
      <c r="DO113" s="85" t="str">
        <f aca="false">IF($B113=DO$12,$U113,"")</f>
        <v/>
      </c>
      <c r="DP113" s="85" t="str">
        <f aca="false">IF($B113=DP$12,$U113,"")</f>
        <v/>
      </c>
      <c r="DQ113" s="85" t="str">
        <f aca="false">IF($B113=DQ$12,$U113,"")</f>
        <v/>
      </c>
      <c r="DR113" s="85" t="str">
        <f aca="false">IF($B113=DR$12,$U113,"")</f>
        <v/>
      </c>
      <c r="DS113" s="85" t="str">
        <f aca="false">IF($B113=DS$12,$U113,"")</f>
        <v/>
      </c>
      <c r="DT113" s="86" t="str">
        <f aca="false">IF($B113=DT$12,$U113,"")</f>
        <v/>
      </c>
      <c r="DU113" s="55"/>
      <c r="DV113" s="83"/>
      <c r="DW113" s="87" t="str">
        <f aca="false">IF($B113=DW$12,$O113,"")</f>
        <v/>
      </c>
      <c r="DX113" s="88" t="str">
        <f aca="false">IF($B113=DX$12,$O113,"")</f>
        <v/>
      </c>
      <c r="DY113" s="88" t="str">
        <f aca="false">IF($B113=DY$12,$O113,"")</f>
        <v/>
      </c>
      <c r="DZ113" s="88" t="str">
        <f aca="false">IF($B113=DZ$12,$O113,"")</f>
        <v/>
      </c>
      <c r="EA113" s="88" t="str">
        <f aca="false">IF($B113=EA$12,$O113,"")</f>
        <v/>
      </c>
      <c r="EB113" s="88" t="str">
        <f aca="false">IF($B113=EB$12,$O113,"")</f>
        <v/>
      </c>
      <c r="EC113" s="88" t="str">
        <f aca="false">IF($B113=EC$12,$O113,"")</f>
        <v/>
      </c>
      <c r="ED113" s="88" t="str">
        <f aca="false">IF($B113=ED$12,$O113,"")</f>
        <v/>
      </c>
      <c r="EE113" s="88" t="str">
        <f aca="false">IF($B113=EE$12,$O113,"")</f>
        <v/>
      </c>
      <c r="EF113" s="88" t="str">
        <f aca="false">IF($B113=EF$12,$O113,"")</f>
        <v/>
      </c>
      <c r="EG113" s="88" t="str">
        <f aca="false">IF($B113=EG$12,$O113,"")</f>
        <v/>
      </c>
      <c r="EH113" s="88" t="str">
        <f aca="false">IF($B113=EH$12,$O113,"")</f>
        <v/>
      </c>
      <c r="EI113" s="88" t="str">
        <f aca="false">IF($B113=EI$12,$O113,"")</f>
        <v/>
      </c>
      <c r="EJ113" s="88" t="str">
        <f aca="false">IF($B113=EJ$12,$O113,"")</f>
        <v/>
      </c>
      <c r="EK113" s="88" t="str">
        <f aca="false">IF($B113=EK$12,$O113,"")</f>
        <v/>
      </c>
      <c r="EL113" s="88" t="str">
        <f aca="false">IF($B113=EL$12,$O113,"")</f>
        <v/>
      </c>
      <c r="EM113" s="88" t="str">
        <f aca="false">IF($B113=EM$12,$O113,"")</f>
        <v/>
      </c>
      <c r="EN113" s="88" t="str">
        <f aca="false">IF($B113=EN$12,$O113,"")</f>
        <v/>
      </c>
      <c r="EO113" s="88" t="str">
        <f aca="false">IF($B113=EO$12,$O113,"")</f>
        <v/>
      </c>
      <c r="EP113" s="88" t="str">
        <f aca="false">IF($B113=EP$12,$O113,"")</f>
        <v/>
      </c>
      <c r="EQ113" s="88" t="str">
        <f aca="false">IF($B113=EQ$12,$O113,"")</f>
        <v/>
      </c>
      <c r="ER113" s="88" t="str">
        <f aca="false">IF($B113=ER$12,$O113,"")</f>
        <v/>
      </c>
      <c r="ES113" s="88" t="str">
        <f aca="false">IF($B113=ES$12,$O113,"")</f>
        <v/>
      </c>
      <c r="ET113" s="88" t="str">
        <f aca="false">IF($B113=ET$12,$O113,"")</f>
        <v/>
      </c>
      <c r="EU113" s="88" t="str">
        <f aca="false">IF($B113=EU$12,$O113,"")</f>
        <v/>
      </c>
      <c r="EV113" s="88" t="str">
        <f aca="false">IF($B113=EV$12,$O113,"")</f>
        <v/>
      </c>
      <c r="EW113" s="88" t="str">
        <f aca="false">IF($B113=EW$12,$O113,"")</f>
        <v/>
      </c>
      <c r="EX113" s="88" t="str">
        <f aca="false">IF($B113=EX$12,$O113,"")</f>
        <v/>
      </c>
      <c r="EY113" s="88" t="str">
        <f aca="false">IF($B113=EY$12,$O113,"")</f>
        <v/>
      </c>
      <c r="EZ113" s="88" t="str">
        <f aca="false">IF($B113=EZ$12,$O113,"")</f>
        <v/>
      </c>
      <c r="FA113" s="88" t="str">
        <f aca="false">IF($B113=FA$12,$O113,"")</f>
        <v/>
      </c>
      <c r="FB113" s="88" t="str">
        <f aca="false">IF($B113=FB$12,$O113,"")</f>
        <v/>
      </c>
      <c r="FC113" s="88" t="str">
        <f aca="false">IF($B113=FC$12,$O113,"")</f>
        <v/>
      </c>
      <c r="FD113" s="88" t="str">
        <f aca="false">IF($B113=FD$12,$O113,"")</f>
        <v/>
      </c>
      <c r="FE113" s="88" t="str">
        <f aca="false">IF($B113=FE$12,$O113,"")</f>
        <v/>
      </c>
      <c r="FF113" s="88" t="str">
        <f aca="false">IF($B113=FF$12,$O113,"")</f>
        <v/>
      </c>
      <c r="FG113" s="88" t="str">
        <f aca="false">IF($B113=FG$12,$O113,"")</f>
        <v/>
      </c>
      <c r="FH113" s="88" t="str">
        <f aca="false">IF($B113=FH$12,$O113,"")</f>
        <v/>
      </c>
      <c r="FI113" s="88" t="str">
        <f aca="false">IF($B113=FI$12,$O113,"")</f>
        <v/>
      </c>
      <c r="FJ113" s="88" t="str">
        <f aca="false">IF($B113=FJ$12,$O113,"")</f>
        <v/>
      </c>
      <c r="FK113" s="88" t="str">
        <f aca="false">IF($B113=FK$12,$O113,"")</f>
        <v/>
      </c>
      <c r="FL113" s="88" t="str">
        <f aca="false">IF($B113=FL$12,$O113,"")</f>
        <v/>
      </c>
      <c r="FM113" s="88" t="str">
        <f aca="false">IF($B113=FM$12,$O113,"")</f>
        <v/>
      </c>
      <c r="FN113" s="88" t="str">
        <f aca="false">IF($B113=FN$12,$O113,"")</f>
        <v/>
      </c>
      <c r="FO113" s="88" t="str">
        <f aca="false">IF($B113=FO$12,$O113,"")</f>
        <v/>
      </c>
      <c r="FP113" s="88" t="str">
        <f aca="false">IF($B113=FP$12,$O113,"")</f>
        <v/>
      </c>
      <c r="FQ113" s="88" t="str">
        <f aca="false">IF($B113=FQ$12,$O113,"")</f>
        <v/>
      </c>
      <c r="FR113" s="88" t="str">
        <f aca="false">IF($B113=FR$12,$O113,"")</f>
        <v/>
      </c>
      <c r="FS113" s="88" t="str">
        <f aca="false">IF($B113=FS$12,$O113,"")</f>
        <v/>
      </c>
      <c r="FT113" s="88" t="str">
        <f aca="false">IF($B113=FT$12,$O113,"")</f>
        <v/>
      </c>
      <c r="FU113" s="88" t="str">
        <f aca="false">IF($B113=FU$12,$O113,"")</f>
        <v/>
      </c>
      <c r="FV113" s="88" t="str">
        <f aca="false">IF($B113=FV$12,$O113,"")</f>
        <v/>
      </c>
      <c r="FW113" s="88" t="str">
        <f aca="false">IF($B113=FW$12,$O113,"")</f>
        <v/>
      </c>
      <c r="FX113" s="88" t="str">
        <f aca="false">IF($B113=FX$12,$O113,"")</f>
        <v/>
      </c>
      <c r="FY113" s="88" t="str">
        <f aca="false">IF($B113=FY$12,$O113,"")</f>
        <v/>
      </c>
      <c r="FZ113" s="88" t="str">
        <f aca="false">IF($B113=FZ$12,$O113,"")</f>
        <v/>
      </c>
      <c r="GA113" s="88" t="str">
        <f aca="false">IF($B113=GA$12,$O113,"")</f>
        <v/>
      </c>
      <c r="GB113" s="88" t="str">
        <f aca="false">IF($B113=GB$12,$O113,"")</f>
        <v/>
      </c>
      <c r="GC113" s="88" t="str">
        <f aca="false">IF($B113=GC$12,$O113,"")</f>
        <v/>
      </c>
      <c r="GD113" s="88" t="str">
        <f aca="false">IF($B113=GD$12,$O113,"")</f>
        <v/>
      </c>
      <c r="GE113" s="88" t="str">
        <f aca="false">IF($B113=GE$12,$O113,"")</f>
        <v/>
      </c>
      <c r="GF113" s="88" t="str">
        <f aca="false">IF($B113=GF$12,$O113,"")</f>
        <v/>
      </c>
      <c r="GG113" s="88" t="str">
        <f aca="false">IF($B113=GG$12,$O113,"")</f>
        <v/>
      </c>
      <c r="GH113" s="88" t="str">
        <f aca="false">IF($B113=GH$12,$O113,"")</f>
        <v/>
      </c>
      <c r="GI113" s="88" t="str">
        <f aca="false">IF($B113=GI$12,$O113,"")</f>
        <v/>
      </c>
      <c r="GJ113" s="88" t="str">
        <f aca="false">IF($B113=GJ$12,$O113,"")</f>
        <v/>
      </c>
      <c r="GK113" s="88" t="str">
        <f aca="false">IF($B113=GK$12,$O113,"")</f>
        <v/>
      </c>
      <c r="GL113" s="88" t="str">
        <f aca="false">IF($B113=GL$12,$O113,"")</f>
        <v/>
      </c>
      <c r="GM113" s="88" t="str">
        <f aca="false">IF($B113=GM$12,$O113,"")</f>
        <v/>
      </c>
      <c r="GN113" s="88" t="str">
        <f aca="false">IF($B113=GN$12,$O113,"")</f>
        <v/>
      </c>
      <c r="GO113" s="88" t="str">
        <f aca="false">IF($B113=GO$12,$O113,"")</f>
        <v/>
      </c>
      <c r="GP113" s="88" t="str">
        <f aca="false">IF($B113=GP$12,$O113,"")</f>
        <v/>
      </c>
      <c r="GQ113" s="88" t="str">
        <f aca="false">IF($B113=GQ$12,$O113,"")</f>
        <v/>
      </c>
      <c r="GR113" s="88" t="str">
        <f aca="false">IF($B113=GR$12,$O113,"")</f>
        <v/>
      </c>
      <c r="GS113" s="88" t="str">
        <f aca="false">IF($B113=GS$12,$O113,"")</f>
        <v/>
      </c>
      <c r="GT113" s="88" t="str">
        <f aca="false">IF($B113=GT$12,$O113,"")</f>
        <v/>
      </c>
      <c r="GU113" s="88" t="str">
        <f aca="false">IF($B113=GU$12,$O113,"")</f>
        <v/>
      </c>
      <c r="GV113" s="88" t="str">
        <f aca="false">IF($B113=GV$12,$O113,"")</f>
        <v/>
      </c>
      <c r="GW113" s="88" t="str">
        <f aca="false">IF($B113=GW$12,$O113,"")</f>
        <v/>
      </c>
      <c r="GX113" s="88" t="str">
        <f aca="false">IF($B113=GX$12,$O113,"")</f>
        <v/>
      </c>
      <c r="GY113" s="88" t="str">
        <f aca="false">IF($B113=GY$12,$O113,"")</f>
        <v/>
      </c>
      <c r="GZ113" s="88" t="str">
        <f aca="false">IF($B113=GZ$12,$O113,"")</f>
        <v/>
      </c>
      <c r="HA113" s="88" t="str">
        <f aca="false">IF($B113=HA$12,$O113,"")</f>
        <v/>
      </c>
      <c r="HB113" s="88" t="str">
        <f aca="false">IF($B113=HB$12,$O113,"")</f>
        <v/>
      </c>
      <c r="HC113" s="88" t="str">
        <f aca="false">IF($B113=HC$12,$O113,"")</f>
        <v/>
      </c>
      <c r="HD113" s="88" t="str">
        <f aca="false">IF($B113=HD$12,$O113,"")</f>
        <v/>
      </c>
      <c r="HE113" s="88" t="str">
        <f aca="false">IF($B113=HE$12,$O113,"")</f>
        <v/>
      </c>
      <c r="HF113" s="88" t="str">
        <f aca="false">IF($B113=HF$12,$O113,"")</f>
        <v/>
      </c>
      <c r="HG113" s="88" t="str">
        <f aca="false">IF($B113=HG$12,$O113,"")</f>
        <v/>
      </c>
      <c r="HH113" s="88" t="str">
        <f aca="false">IF($B113=HH$12,$O113,"")</f>
        <v/>
      </c>
      <c r="HI113" s="88" t="str">
        <f aca="false">IF($B113=HI$12,$O113,"")</f>
        <v/>
      </c>
      <c r="HJ113" s="88" t="str">
        <f aca="false">IF($B113=HJ$12,$O113,"")</f>
        <v/>
      </c>
      <c r="HK113" s="88" t="str">
        <f aca="false">IF($B113=HK$12,$O113,"")</f>
        <v/>
      </c>
      <c r="HL113" s="88" t="str">
        <f aca="false">IF($B113=HL$12,$O113,"")</f>
        <v/>
      </c>
      <c r="HM113" s="88" t="str">
        <f aca="false">IF($B113=HM$12,$O113,"")</f>
        <v/>
      </c>
      <c r="HN113" s="88" t="str">
        <f aca="false">IF($B113=HN$12,$O113,"")</f>
        <v/>
      </c>
      <c r="HO113" s="88" t="str">
        <f aca="false">IF($B113=HO$12,$O113,"")</f>
        <v/>
      </c>
      <c r="HP113" s="88" t="str">
        <f aca="false">IF($B113=HP$12,$O113,"")</f>
        <v/>
      </c>
      <c r="HQ113" s="88" t="str">
        <f aca="false">IF($B113=HQ$12,$O113,"")</f>
        <v/>
      </c>
      <c r="HR113" s="89" t="str">
        <f aca="false">IF($B113=HR$12,$O113,"")</f>
        <v/>
      </c>
    </row>
    <row r="114" customFormat="false" ht="10.5" hidden="false" customHeight="true" outlineLevel="0" collapsed="false">
      <c r="A114" s="73"/>
      <c r="B114" s="74"/>
      <c r="C114" s="75" t="str">
        <f aca="false">IF(A114=0,"",VLOOKUP(A114,[3]CO!$A$3:$F$5311,2,0))</f>
        <v/>
      </c>
      <c r="D114" s="76"/>
      <c r="E114" s="76"/>
      <c r="F114" s="76"/>
      <c r="G114" s="77" t="str">
        <f aca="false">IF(A114=0,"",VLOOKUP(A114,[3]CO!$A$3:$F$5311,3,0))</f>
        <v/>
      </c>
      <c r="H114" s="5"/>
      <c r="I114" s="78"/>
      <c r="J114" s="78"/>
      <c r="K114" s="78"/>
      <c r="L114" s="78"/>
      <c r="M114" s="79" t="str">
        <f aca="false">IF(H114&gt;0,H114*Q$107/N114,IF(AND(L114&gt;0,I114&gt;0),L114*I114,IF(L114&gt;0,L114,"")))</f>
        <v/>
      </c>
      <c r="N114" s="79" t="str">
        <f aca="false">IF(B114=0,"",IF(H114="M",HLOOKUP(B114,$Y$12:$DT$13,2),IF(A114=0,"",VLOOKUP(A114,[3]CO!$A$3:$F$5311,4,0))))</f>
        <v/>
      </c>
      <c r="O114" s="79" t="str">
        <f aca="false">IF(L114=0,"",PRODUCT(M114:N114))</f>
        <v/>
      </c>
      <c r="P114" s="80"/>
      <c r="Q114" s="81" t="str">
        <f aca="false">IF(P114=0,"",(HLOOKUP(P114,$DW$12:$HR$13,2)))</f>
        <v/>
      </c>
      <c r="R114" s="82" t="str">
        <f aca="false">IF(S114=0,"",IF(OR(G114="PEON",G114="OF",G114="JARD",G114="CARP",G114="MAESTRO",G114="SOLD",G114="BGRO",G114="CHOFER",G114="AYTE",G114="S.INTTE.",G114="ASEO",G114="P.PISOS",G114="VELADOR",G114="RESID",G114="PINTOR",G114="ELECT",G114="AZULE",G114="AUX CONT.",G114="SECRETARIA",G114="AUXILIAR ADMTVO.",G114="ARQUITECTO",G114="DIBUJANTE",G114="AUX. DE RESIDENTE",G114="TOPOGRAFIA"),VLOOKUP(B114,P$14:Q$431,2),"")*S114)</f>
        <v/>
      </c>
      <c r="S114" s="5"/>
      <c r="T114" s="65" t="str">
        <f aca="false">IF(A114=0,"",VLOOKUP(A114,[3]CO!$A$3:$F$5302,5,0))</f>
        <v/>
      </c>
      <c r="U114" s="55" t="n">
        <f aca="false">IF(T114=1,O114*0.1,)</f>
        <v>0</v>
      </c>
      <c r="V114" s="66"/>
      <c r="W114" s="83"/>
      <c r="X114" s="83"/>
      <c r="Y114" s="84" t="str">
        <f aca="false">IF($B114=Y$12,$U114,"")</f>
        <v/>
      </c>
      <c r="Z114" s="85" t="str">
        <f aca="false">IF($B114=Z$12,$U114,"")</f>
        <v/>
      </c>
      <c r="AA114" s="85" t="str">
        <f aca="false">IF($B114=AA$12,$U114,"")</f>
        <v/>
      </c>
      <c r="AB114" s="85" t="str">
        <f aca="false">IF($B114=AB$12,$U114,"")</f>
        <v/>
      </c>
      <c r="AC114" s="85" t="str">
        <f aca="false">IF($B114=AC$12,$U114,"")</f>
        <v/>
      </c>
      <c r="AD114" s="85" t="str">
        <f aca="false">IF($B114=AD$12,$U114,"")</f>
        <v/>
      </c>
      <c r="AE114" s="85" t="str">
        <f aca="false">IF($B114=AE$12,$U114,"")</f>
        <v/>
      </c>
      <c r="AF114" s="85" t="str">
        <f aca="false">IF($B114=AF$12,$U114,"")</f>
        <v/>
      </c>
      <c r="AG114" s="85" t="str">
        <f aca="false">IF($B114=AG$12,$U114,"")</f>
        <v/>
      </c>
      <c r="AH114" s="85" t="str">
        <f aca="false">IF($B114=AH$12,$U114,"")</f>
        <v/>
      </c>
      <c r="AI114" s="85" t="str">
        <f aca="false">IF($B114=AI$12,$U114,"")</f>
        <v/>
      </c>
      <c r="AJ114" s="85" t="str">
        <f aca="false">IF($B114=AJ$12,$U114,"")</f>
        <v/>
      </c>
      <c r="AK114" s="85" t="str">
        <f aca="false">IF($B114=AK$12,$U114,"")</f>
        <v/>
      </c>
      <c r="AL114" s="85" t="str">
        <f aca="false">IF($B114=AL$12,$U114,"")</f>
        <v/>
      </c>
      <c r="AM114" s="85" t="str">
        <f aca="false">IF($B114=AM$12,$U114,"")</f>
        <v/>
      </c>
      <c r="AN114" s="85" t="str">
        <f aca="false">IF($B114=AN$12,$U114,"")</f>
        <v/>
      </c>
      <c r="AO114" s="85" t="str">
        <f aca="false">IF($B114=AO$12,$U114,"")</f>
        <v/>
      </c>
      <c r="AP114" s="85" t="str">
        <f aca="false">IF($B114=AP$12,$U114,"")</f>
        <v/>
      </c>
      <c r="AQ114" s="85" t="str">
        <f aca="false">IF($B114=AQ$12,$U114,"")</f>
        <v/>
      </c>
      <c r="AR114" s="85" t="str">
        <f aca="false">IF($B114=AR$12,$U114,"")</f>
        <v/>
      </c>
      <c r="AS114" s="85" t="str">
        <f aca="false">IF($B114=AS$12,$U114,"")</f>
        <v/>
      </c>
      <c r="AT114" s="85" t="str">
        <f aca="false">IF($B114=AT$12,$U114,"")</f>
        <v/>
      </c>
      <c r="AU114" s="85" t="str">
        <f aca="false">IF($B114=AU$12,$U114,"")</f>
        <v/>
      </c>
      <c r="AV114" s="85" t="str">
        <f aca="false">IF($B114=AV$12,$U114,"")</f>
        <v/>
      </c>
      <c r="AW114" s="85" t="str">
        <f aca="false">IF($B114=AW$12,$U114,"")</f>
        <v/>
      </c>
      <c r="AX114" s="85" t="str">
        <f aca="false">IF($B114=AX$12,$U114,"")</f>
        <v/>
      </c>
      <c r="AY114" s="85" t="str">
        <f aca="false">IF($B114=AY$12,$U114,"")</f>
        <v/>
      </c>
      <c r="AZ114" s="85" t="str">
        <f aca="false">IF($B114=AZ$12,$U114,"")</f>
        <v/>
      </c>
      <c r="BA114" s="85" t="str">
        <f aca="false">IF($B114=BA$12,$U114,"")</f>
        <v/>
      </c>
      <c r="BB114" s="85" t="str">
        <f aca="false">IF($B114=BB$12,$U114,"")</f>
        <v/>
      </c>
      <c r="BC114" s="85" t="str">
        <f aca="false">IF($B114=BC$12,$U114,"")</f>
        <v/>
      </c>
      <c r="BD114" s="85" t="str">
        <f aca="false">IF($B114=BD$12,$U114,"")</f>
        <v/>
      </c>
      <c r="BE114" s="85" t="str">
        <f aca="false">IF($B114=BE$12,$U114,"")</f>
        <v/>
      </c>
      <c r="BF114" s="85" t="str">
        <f aca="false">IF($B114=BF$12,$U114,"")</f>
        <v/>
      </c>
      <c r="BG114" s="85" t="str">
        <f aca="false">IF($B114=BG$12,$U114,"")</f>
        <v/>
      </c>
      <c r="BH114" s="85" t="str">
        <f aca="false">IF($B114=BH$12,$U114,"")</f>
        <v/>
      </c>
      <c r="BI114" s="85" t="str">
        <f aca="false">IF($B114=BI$12,$U114,"")</f>
        <v/>
      </c>
      <c r="BJ114" s="85" t="str">
        <f aca="false">IF($B114=BJ$12,$U114,"")</f>
        <v/>
      </c>
      <c r="BK114" s="85" t="str">
        <f aca="false">IF($B114=BK$12,$U114,"")</f>
        <v/>
      </c>
      <c r="BL114" s="85" t="str">
        <f aca="false">IF($B114=BL$12,$U114,"")</f>
        <v/>
      </c>
      <c r="BM114" s="85" t="str">
        <f aca="false">IF($B114=BM$12,$U114,"")</f>
        <v/>
      </c>
      <c r="BN114" s="85" t="str">
        <f aca="false">IF($B114=BN$12,$U114,"")</f>
        <v/>
      </c>
      <c r="BO114" s="85" t="str">
        <f aca="false">IF($B114=BO$12,$U114,"")</f>
        <v/>
      </c>
      <c r="BP114" s="85" t="str">
        <f aca="false">IF($B114=BP$12,$U114,"")</f>
        <v/>
      </c>
      <c r="BQ114" s="85" t="str">
        <f aca="false">IF($B114=BQ$12,$U114,"")</f>
        <v/>
      </c>
      <c r="BR114" s="85" t="str">
        <f aca="false">IF($B114=BR$12,$U114,"")</f>
        <v/>
      </c>
      <c r="BS114" s="85" t="str">
        <f aca="false">IF($B114=BS$12,$U114,"")</f>
        <v/>
      </c>
      <c r="BT114" s="85" t="str">
        <f aca="false">IF($B114=BT$12,$U114,"")</f>
        <v/>
      </c>
      <c r="BU114" s="85" t="str">
        <f aca="false">IF($B114=BU$12,$U114,"")</f>
        <v/>
      </c>
      <c r="BV114" s="85" t="str">
        <f aca="false">IF($B114=BV$12,$U114,"")</f>
        <v/>
      </c>
      <c r="BW114" s="85" t="str">
        <f aca="false">IF($B114=BW$12,$U114,"")</f>
        <v/>
      </c>
      <c r="BX114" s="85" t="str">
        <f aca="false">IF($B114=BX$12,$U114,"")</f>
        <v/>
      </c>
      <c r="BY114" s="85" t="str">
        <f aca="false">IF($B114=BY$12,$U114,"")</f>
        <v/>
      </c>
      <c r="BZ114" s="85" t="str">
        <f aca="false">IF($B114=BZ$12,$U114,"")</f>
        <v/>
      </c>
      <c r="CA114" s="85" t="str">
        <f aca="false">IF($B114=CA$12,$U114,"")</f>
        <v/>
      </c>
      <c r="CB114" s="85" t="str">
        <f aca="false">IF($B114=CB$12,$U114,"")</f>
        <v/>
      </c>
      <c r="CC114" s="85" t="str">
        <f aca="false">IF($B114=CC$12,$U114,"")</f>
        <v/>
      </c>
      <c r="CD114" s="85" t="str">
        <f aca="false">IF($B114=CD$12,$U114,"")</f>
        <v/>
      </c>
      <c r="CE114" s="85" t="str">
        <f aca="false">IF($B114=CE$12,$U114,"")</f>
        <v/>
      </c>
      <c r="CF114" s="85" t="str">
        <f aca="false">IF($B114=CF$12,$U114,"")</f>
        <v/>
      </c>
      <c r="CG114" s="85" t="str">
        <f aca="false">IF($B114=CG$12,$U114,"")</f>
        <v/>
      </c>
      <c r="CH114" s="85" t="str">
        <f aca="false">IF($B114=CH$12,$U114,"")</f>
        <v/>
      </c>
      <c r="CI114" s="85" t="str">
        <f aca="false">IF($B114=CI$12,$U114,"")</f>
        <v/>
      </c>
      <c r="CJ114" s="85" t="str">
        <f aca="false">IF($B114=CJ$12,$U114,"")</f>
        <v/>
      </c>
      <c r="CK114" s="85" t="str">
        <f aca="false">IF($B114=CK$12,$U114,"")</f>
        <v/>
      </c>
      <c r="CL114" s="85" t="str">
        <f aca="false">IF($B114=CL$12,$U114,"")</f>
        <v/>
      </c>
      <c r="CM114" s="85" t="str">
        <f aca="false">IF($B114=CM$12,$U114,"")</f>
        <v/>
      </c>
      <c r="CN114" s="85" t="str">
        <f aca="false">IF($B114=CN$12,$U114,"")</f>
        <v/>
      </c>
      <c r="CO114" s="85" t="str">
        <f aca="false">IF($B114=CO$12,$U114,"")</f>
        <v/>
      </c>
      <c r="CP114" s="85" t="str">
        <f aca="false">IF($B114=CP$12,$U114,"")</f>
        <v/>
      </c>
      <c r="CQ114" s="85" t="str">
        <f aca="false">IF($B114=CQ$12,$U114,"")</f>
        <v/>
      </c>
      <c r="CR114" s="85" t="str">
        <f aca="false">IF($B114=CR$12,$U114,"")</f>
        <v/>
      </c>
      <c r="CS114" s="85" t="str">
        <f aca="false">IF($B114=CS$12,$U114,"")</f>
        <v/>
      </c>
      <c r="CT114" s="85" t="str">
        <f aca="false">IF($B114=CT$12,$U114,"")</f>
        <v/>
      </c>
      <c r="CU114" s="85" t="str">
        <f aca="false">IF($B114=CU$12,$U114,"")</f>
        <v/>
      </c>
      <c r="CV114" s="85" t="str">
        <f aca="false">IF($B114=CV$12,$U114,"")</f>
        <v/>
      </c>
      <c r="CW114" s="85" t="str">
        <f aca="false">IF($B114=CW$12,$U114,"")</f>
        <v/>
      </c>
      <c r="CX114" s="85" t="str">
        <f aca="false">IF($B114=CX$12,$U114,"")</f>
        <v/>
      </c>
      <c r="CY114" s="85" t="str">
        <f aca="false">IF($B114=CY$12,$U114,"")</f>
        <v/>
      </c>
      <c r="CZ114" s="85" t="str">
        <f aca="false">IF($B114=CZ$12,$U114,"")</f>
        <v/>
      </c>
      <c r="DA114" s="85" t="str">
        <f aca="false">IF($B114=DA$12,$U114,"")</f>
        <v/>
      </c>
      <c r="DB114" s="85" t="str">
        <f aca="false">IF($B114=DB$12,$U114,"")</f>
        <v/>
      </c>
      <c r="DC114" s="85" t="str">
        <f aca="false">IF($B114=DC$12,$U114,"")</f>
        <v/>
      </c>
      <c r="DD114" s="85" t="str">
        <f aca="false">IF($B114=DD$12,$U114,"")</f>
        <v/>
      </c>
      <c r="DE114" s="85" t="str">
        <f aca="false">IF($B114=DE$12,$U114,"")</f>
        <v/>
      </c>
      <c r="DF114" s="85" t="str">
        <f aca="false">IF($B114=DF$12,$U114,"")</f>
        <v/>
      </c>
      <c r="DG114" s="85" t="str">
        <f aca="false">IF($B114=DG$12,$U114,"")</f>
        <v/>
      </c>
      <c r="DH114" s="85" t="str">
        <f aca="false">IF($B114=DH$12,$U114,"")</f>
        <v/>
      </c>
      <c r="DI114" s="85" t="str">
        <f aca="false">IF($B114=DI$12,$U114,"")</f>
        <v/>
      </c>
      <c r="DJ114" s="85" t="str">
        <f aca="false">IF($B114=DJ$12,$U114,"")</f>
        <v/>
      </c>
      <c r="DK114" s="85" t="str">
        <f aca="false">IF($B114=DK$12,$U114,"")</f>
        <v/>
      </c>
      <c r="DL114" s="85" t="str">
        <f aca="false">IF($B114=DL$12,$U114,"")</f>
        <v/>
      </c>
      <c r="DM114" s="85" t="str">
        <f aca="false">IF($B114=DM$12,$U114,"")</f>
        <v/>
      </c>
      <c r="DN114" s="85" t="str">
        <f aca="false">IF($B114=DN$12,$U114,"")</f>
        <v/>
      </c>
      <c r="DO114" s="85" t="str">
        <f aca="false">IF($B114=DO$12,$U114,"")</f>
        <v/>
      </c>
      <c r="DP114" s="85" t="str">
        <f aca="false">IF($B114=DP$12,$U114,"")</f>
        <v/>
      </c>
      <c r="DQ114" s="85" t="str">
        <f aca="false">IF($B114=DQ$12,$U114,"")</f>
        <v/>
      </c>
      <c r="DR114" s="85" t="str">
        <f aca="false">IF($B114=DR$12,$U114,"")</f>
        <v/>
      </c>
      <c r="DS114" s="85" t="str">
        <f aca="false">IF($B114=DS$12,$U114,"")</f>
        <v/>
      </c>
      <c r="DT114" s="86" t="str">
        <f aca="false">IF($B114=DT$12,$U114,"")</f>
        <v/>
      </c>
      <c r="DU114" s="55"/>
      <c r="DV114" s="83"/>
      <c r="DW114" s="87" t="str">
        <f aca="false">IF($B114=DW$12,$O114,"")</f>
        <v/>
      </c>
      <c r="DX114" s="88" t="str">
        <f aca="false">IF($B114=DX$12,$O114,"")</f>
        <v/>
      </c>
      <c r="DY114" s="88" t="str">
        <f aca="false">IF($B114=DY$12,$O114,"")</f>
        <v/>
      </c>
      <c r="DZ114" s="88" t="str">
        <f aca="false">IF($B114=DZ$12,$O114,"")</f>
        <v/>
      </c>
      <c r="EA114" s="88" t="str">
        <f aca="false">IF($B114=EA$12,$O114,"")</f>
        <v/>
      </c>
      <c r="EB114" s="88" t="str">
        <f aca="false">IF($B114=EB$12,$O114,"")</f>
        <v/>
      </c>
      <c r="EC114" s="88" t="str">
        <f aca="false">IF($B114=EC$12,$O114,"")</f>
        <v/>
      </c>
      <c r="ED114" s="88" t="str">
        <f aca="false">IF($B114=ED$12,$O114,"")</f>
        <v/>
      </c>
      <c r="EE114" s="88" t="str">
        <f aca="false">IF($B114=EE$12,$O114,"")</f>
        <v/>
      </c>
      <c r="EF114" s="88" t="str">
        <f aca="false">IF($B114=EF$12,$O114,"")</f>
        <v/>
      </c>
      <c r="EG114" s="88" t="str">
        <f aca="false">IF($B114=EG$12,$O114,"")</f>
        <v/>
      </c>
      <c r="EH114" s="88" t="str">
        <f aca="false">IF($B114=EH$12,$O114,"")</f>
        <v/>
      </c>
      <c r="EI114" s="88" t="str">
        <f aca="false">IF($B114=EI$12,$O114,"")</f>
        <v/>
      </c>
      <c r="EJ114" s="88" t="str">
        <f aca="false">IF($B114=EJ$12,$O114,"")</f>
        <v/>
      </c>
      <c r="EK114" s="88" t="str">
        <f aca="false">IF($B114=EK$12,$O114,"")</f>
        <v/>
      </c>
      <c r="EL114" s="88" t="str">
        <f aca="false">IF($B114=EL$12,$O114,"")</f>
        <v/>
      </c>
      <c r="EM114" s="88" t="str">
        <f aca="false">IF($B114=EM$12,$O114,"")</f>
        <v/>
      </c>
      <c r="EN114" s="88" t="str">
        <f aca="false">IF($B114=EN$12,$O114,"")</f>
        <v/>
      </c>
      <c r="EO114" s="88" t="str">
        <f aca="false">IF($B114=EO$12,$O114,"")</f>
        <v/>
      </c>
      <c r="EP114" s="88" t="str">
        <f aca="false">IF($B114=EP$12,$O114,"")</f>
        <v/>
      </c>
      <c r="EQ114" s="88" t="str">
        <f aca="false">IF($B114=EQ$12,$O114,"")</f>
        <v/>
      </c>
      <c r="ER114" s="88" t="str">
        <f aca="false">IF($B114=ER$12,$O114,"")</f>
        <v/>
      </c>
      <c r="ES114" s="88" t="str">
        <f aca="false">IF($B114=ES$12,$O114,"")</f>
        <v/>
      </c>
      <c r="ET114" s="88" t="str">
        <f aca="false">IF($B114=ET$12,$O114,"")</f>
        <v/>
      </c>
      <c r="EU114" s="88" t="str">
        <f aca="false">IF($B114=EU$12,$O114,"")</f>
        <v/>
      </c>
      <c r="EV114" s="88" t="str">
        <f aca="false">IF($B114=EV$12,$O114,"")</f>
        <v/>
      </c>
      <c r="EW114" s="88" t="str">
        <f aca="false">IF($B114=EW$12,$O114,"")</f>
        <v/>
      </c>
      <c r="EX114" s="88" t="str">
        <f aca="false">IF($B114=EX$12,$O114,"")</f>
        <v/>
      </c>
      <c r="EY114" s="88" t="str">
        <f aca="false">IF($B114=EY$12,$O114,"")</f>
        <v/>
      </c>
      <c r="EZ114" s="88" t="str">
        <f aca="false">IF($B114=EZ$12,$O114,"")</f>
        <v/>
      </c>
      <c r="FA114" s="88" t="str">
        <f aca="false">IF($B114=FA$12,$O114,"")</f>
        <v/>
      </c>
      <c r="FB114" s="88" t="str">
        <f aca="false">IF($B114=FB$12,$O114,"")</f>
        <v/>
      </c>
      <c r="FC114" s="88" t="str">
        <f aca="false">IF($B114=FC$12,$O114,"")</f>
        <v/>
      </c>
      <c r="FD114" s="88" t="str">
        <f aca="false">IF($B114=FD$12,$O114,"")</f>
        <v/>
      </c>
      <c r="FE114" s="88" t="str">
        <f aca="false">IF($B114=FE$12,$O114,"")</f>
        <v/>
      </c>
      <c r="FF114" s="88" t="str">
        <f aca="false">IF($B114=FF$12,$O114,"")</f>
        <v/>
      </c>
      <c r="FG114" s="88" t="str">
        <f aca="false">IF($B114=FG$12,$O114,"")</f>
        <v/>
      </c>
      <c r="FH114" s="88" t="str">
        <f aca="false">IF($B114=FH$12,$O114,"")</f>
        <v/>
      </c>
      <c r="FI114" s="88" t="str">
        <f aca="false">IF($B114=FI$12,$O114,"")</f>
        <v/>
      </c>
      <c r="FJ114" s="88" t="str">
        <f aca="false">IF($B114=FJ$12,$O114,"")</f>
        <v/>
      </c>
      <c r="FK114" s="88" t="str">
        <f aca="false">IF($B114=FK$12,$O114,"")</f>
        <v/>
      </c>
      <c r="FL114" s="88" t="str">
        <f aca="false">IF($B114=FL$12,$O114,"")</f>
        <v/>
      </c>
      <c r="FM114" s="88" t="str">
        <f aca="false">IF($B114=FM$12,$O114,"")</f>
        <v/>
      </c>
      <c r="FN114" s="88" t="str">
        <f aca="false">IF($B114=FN$12,$O114,"")</f>
        <v/>
      </c>
      <c r="FO114" s="88" t="str">
        <f aca="false">IF($B114=FO$12,$O114,"")</f>
        <v/>
      </c>
      <c r="FP114" s="88" t="str">
        <f aca="false">IF($B114=FP$12,$O114,"")</f>
        <v/>
      </c>
      <c r="FQ114" s="88" t="str">
        <f aca="false">IF($B114=FQ$12,$O114,"")</f>
        <v/>
      </c>
      <c r="FR114" s="88" t="str">
        <f aca="false">IF($B114=FR$12,$O114,"")</f>
        <v/>
      </c>
      <c r="FS114" s="88" t="str">
        <f aca="false">IF($B114=FS$12,$O114,"")</f>
        <v/>
      </c>
      <c r="FT114" s="88" t="str">
        <f aca="false">IF($B114=FT$12,$O114,"")</f>
        <v/>
      </c>
      <c r="FU114" s="88" t="str">
        <f aca="false">IF($B114=FU$12,$O114,"")</f>
        <v/>
      </c>
      <c r="FV114" s="88" t="str">
        <f aca="false">IF($B114=FV$12,$O114,"")</f>
        <v/>
      </c>
      <c r="FW114" s="88" t="str">
        <f aca="false">IF($B114=FW$12,$O114,"")</f>
        <v/>
      </c>
      <c r="FX114" s="88" t="str">
        <f aca="false">IF($B114=FX$12,$O114,"")</f>
        <v/>
      </c>
      <c r="FY114" s="88" t="str">
        <f aca="false">IF($B114=FY$12,$O114,"")</f>
        <v/>
      </c>
      <c r="FZ114" s="88" t="str">
        <f aca="false">IF($B114=FZ$12,$O114,"")</f>
        <v/>
      </c>
      <c r="GA114" s="88" t="str">
        <f aca="false">IF($B114=GA$12,$O114,"")</f>
        <v/>
      </c>
      <c r="GB114" s="88" t="str">
        <f aca="false">IF($B114=GB$12,$O114,"")</f>
        <v/>
      </c>
      <c r="GC114" s="88" t="str">
        <f aca="false">IF($B114=GC$12,$O114,"")</f>
        <v/>
      </c>
      <c r="GD114" s="88" t="str">
        <f aca="false">IF($B114=GD$12,$O114,"")</f>
        <v/>
      </c>
      <c r="GE114" s="88" t="str">
        <f aca="false">IF($B114=GE$12,$O114,"")</f>
        <v/>
      </c>
      <c r="GF114" s="88" t="str">
        <f aca="false">IF($B114=GF$12,$O114,"")</f>
        <v/>
      </c>
      <c r="GG114" s="88" t="str">
        <f aca="false">IF($B114=GG$12,$O114,"")</f>
        <v/>
      </c>
      <c r="GH114" s="88" t="str">
        <f aca="false">IF($B114=GH$12,$O114,"")</f>
        <v/>
      </c>
      <c r="GI114" s="88" t="str">
        <f aca="false">IF($B114=GI$12,$O114,"")</f>
        <v/>
      </c>
      <c r="GJ114" s="88" t="str">
        <f aca="false">IF($B114=GJ$12,$O114,"")</f>
        <v/>
      </c>
      <c r="GK114" s="88" t="str">
        <f aca="false">IF($B114=GK$12,$O114,"")</f>
        <v/>
      </c>
      <c r="GL114" s="88" t="str">
        <f aca="false">IF($B114=GL$12,$O114,"")</f>
        <v/>
      </c>
      <c r="GM114" s="88" t="str">
        <f aca="false">IF($B114=GM$12,$O114,"")</f>
        <v/>
      </c>
      <c r="GN114" s="88" t="str">
        <f aca="false">IF($B114=GN$12,$O114,"")</f>
        <v/>
      </c>
      <c r="GO114" s="88" t="str">
        <f aca="false">IF($B114=GO$12,$O114,"")</f>
        <v/>
      </c>
      <c r="GP114" s="88" t="str">
        <f aca="false">IF($B114=GP$12,$O114,"")</f>
        <v/>
      </c>
      <c r="GQ114" s="88" t="str">
        <f aca="false">IF($B114=GQ$12,$O114,"")</f>
        <v/>
      </c>
      <c r="GR114" s="88" t="str">
        <f aca="false">IF($B114=GR$12,$O114,"")</f>
        <v/>
      </c>
      <c r="GS114" s="88" t="str">
        <f aca="false">IF($B114=GS$12,$O114,"")</f>
        <v/>
      </c>
      <c r="GT114" s="88" t="str">
        <f aca="false">IF($B114=GT$12,$O114,"")</f>
        <v/>
      </c>
      <c r="GU114" s="88" t="str">
        <f aca="false">IF($B114=GU$12,$O114,"")</f>
        <v/>
      </c>
      <c r="GV114" s="88" t="str">
        <f aca="false">IF($B114=GV$12,$O114,"")</f>
        <v/>
      </c>
      <c r="GW114" s="88" t="str">
        <f aca="false">IF($B114=GW$12,$O114,"")</f>
        <v/>
      </c>
      <c r="GX114" s="88" t="str">
        <f aca="false">IF($B114=GX$12,$O114,"")</f>
        <v/>
      </c>
      <c r="GY114" s="88" t="str">
        <f aca="false">IF($B114=GY$12,$O114,"")</f>
        <v/>
      </c>
      <c r="GZ114" s="88" t="str">
        <f aca="false">IF($B114=GZ$12,$O114,"")</f>
        <v/>
      </c>
      <c r="HA114" s="88" t="str">
        <f aca="false">IF($B114=HA$12,$O114,"")</f>
        <v/>
      </c>
      <c r="HB114" s="88" t="str">
        <f aca="false">IF($B114=HB$12,$O114,"")</f>
        <v/>
      </c>
      <c r="HC114" s="88" t="str">
        <f aca="false">IF($B114=HC$12,$O114,"")</f>
        <v/>
      </c>
      <c r="HD114" s="88" t="str">
        <f aca="false">IF($B114=HD$12,$O114,"")</f>
        <v/>
      </c>
      <c r="HE114" s="88" t="str">
        <f aca="false">IF($B114=HE$12,$O114,"")</f>
        <v/>
      </c>
      <c r="HF114" s="88" t="str">
        <f aca="false">IF($B114=HF$12,$O114,"")</f>
        <v/>
      </c>
      <c r="HG114" s="88" t="str">
        <f aca="false">IF($B114=HG$12,$O114,"")</f>
        <v/>
      </c>
      <c r="HH114" s="88" t="str">
        <f aca="false">IF($B114=HH$12,$O114,"")</f>
        <v/>
      </c>
      <c r="HI114" s="88" t="str">
        <f aca="false">IF($B114=HI$12,$O114,"")</f>
        <v/>
      </c>
      <c r="HJ114" s="88" t="str">
        <f aca="false">IF($B114=HJ$12,$O114,"")</f>
        <v/>
      </c>
      <c r="HK114" s="88" t="str">
        <f aca="false">IF($B114=HK$12,$O114,"")</f>
        <v/>
      </c>
      <c r="HL114" s="88" t="str">
        <f aca="false">IF($B114=HL$12,$O114,"")</f>
        <v/>
      </c>
      <c r="HM114" s="88" t="str">
        <f aca="false">IF($B114=HM$12,$O114,"")</f>
        <v/>
      </c>
      <c r="HN114" s="88" t="str">
        <f aca="false">IF($B114=HN$12,$O114,"")</f>
        <v/>
      </c>
      <c r="HO114" s="88" t="str">
        <f aca="false">IF($B114=HO$12,$O114,"")</f>
        <v/>
      </c>
      <c r="HP114" s="88" t="str">
        <f aca="false">IF($B114=HP$12,$O114,"")</f>
        <v/>
      </c>
      <c r="HQ114" s="88" t="str">
        <f aca="false">IF($B114=HQ$12,$O114,"")</f>
        <v/>
      </c>
      <c r="HR114" s="89" t="str">
        <f aca="false">IF($B114=HR$12,$O114,"")</f>
        <v/>
      </c>
    </row>
    <row r="115" customFormat="false" ht="10.5" hidden="false" customHeight="true" outlineLevel="0" collapsed="false">
      <c r="A115" s="73"/>
      <c r="B115" s="74"/>
      <c r="C115" s="75" t="str">
        <f aca="false">IF(A115=0,"",VLOOKUP(A115,[3]CO!$A$3:$F$5311,2,0))</f>
        <v/>
      </c>
      <c r="D115" s="76"/>
      <c r="E115" s="76"/>
      <c r="F115" s="76"/>
      <c r="G115" s="77" t="str">
        <f aca="false">IF(A115=0,"",VLOOKUP(A115,[3]CO!$A$3:$F$5311,3,0))</f>
        <v/>
      </c>
      <c r="H115" s="5"/>
      <c r="I115" s="78"/>
      <c r="J115" s="78"/>
      <c r="K115" s="78"/>
      <c r="L115" s="78"/>
      <c r="M115" s="79" t="str">
        <f aca="false">IF(H115&gt;0,H115*Q$107/N115,IF(AND(L115&gt;0,I115&gt;0),L115*I115,IF(L115&gt;0,L115,"")))</f>
        <v/>
      </c>
      <c r="N115" s="79" t="str">
        <f aca="false">IF(B115=0,"",IF(H115="M",HLOOKUP(B115,$Y$12:$DT$13,2),IF(A115=0,"",VLOOKUP(A115,[3]CO!$A$3:$F$5311,4,0))))</f>
        <v/>
      </c>
      <c r="O115" s="79" t="str">
        <f aca="false">IF(L115=0,"",PRODUCT(M115:N115))</f>
        <v/>
      </c>
      <c r="P115" s="80"/>
      <c r="Q115" s="81" t="str">
        <f aca="false">IF(P115=0,"",(HLOOKUP(P115,$DW$12:$HR$13,2)))</f>
        <v/>
      </c>
      <c r="R115" s="82" t="str">
        <f aca="false">IF(S115=0,"",IF(OR(G115="PEON",G115="OF",G115="JARD",G115="CARP",G115="MAESTRO",G115="SOLD",G115="BGRO",G115="CHOFER",G115="AYTE",G115="S.INTTE.",G115="ASEO",G115="P.PISOS",G115="VELADOR",G115="RESID",G115="PINTOR",G115="ELECT",G115="AZULE",G115="AUX CONT.",G115="SECRETARIA",G115="AUXILIAR ADMTVO.",G115="ARQUITECTO",G115="DIBUJANTE",G115="AUX. DE RESIDENTE",G115="TOPOGRAFIA"),VLOOKUP(B115,P$14:Q$431,2),"")*S115)</f>
        <v/>
      </c>
      <c r="S115" s="5"/>
      <c r="T115" s="65" t="str">
        <f aca="false">IF(A115=0,"",VLOOKUP(A115,[3]CO!$A$3:$F$5302,5,0))</f>
        <v/>
      </c>
      <c r="U115" s="55" t="n">
        <f aca="false">IF(T115=1,O115*0.1,)</f>
        <v>0</v>
      </c>
      <c r="V115" s="66"/>
      <c r="W115" s="83"/>
      <c r="X115" s="83"/>
      <c r="Y115" s="84" t="str">
        <f aca="false">IF($B115=Y$12,$U115,"")</f>
        <v/>
      </c>
      <c r="Z115" s="85" t="str">
        <f aca="false">IF($B115=Z$12,$U115,"")</f>
        <v/>
      </c>
      <c r="AA115" s="85" t="str">
        <f aca="false">IF($B115=AA$12,$U115,"")</f>
        <v/>
      </c>
      <c r="AB115" s="85" t="str">
        <f aca="false">IF($B115=AB$12,$U115,"")</f>
        <v/>
      </c>
      <c r="AC115" s="85" t="str">
        <f aca="false">IF($B115=AC$12,$U115,"")</f>
        <v/>
      </c>
      <c r="AD115" s="85" t="str">
        <f aca="false">IF($B115=AD$12,$U115,"")</f>
        <v/>
      </c>
      <c r="AE115" s="85" t="str">
        <f aca="false">IF($B115=AE$12,$U115,"")</f>
        <v/>
      </c>
      <c r="AF115" s="85" t="str">
        <f aca="false">IF($B115=AF$12,$U115,"")</f>
        <v/>
      </c>
      <c r="AG115" s="85" t="str">
        <f aca="false">IF($B115=AG$12,$U115,"")</f>
        <v/>
      </c>
      <c r="AH115" s="85" t="str">
        <f aca="false">IF($B115=AH$12,$U115,"")</f>
        <v/>
      </c>
      <c r="AI115" s="85" t="str">
        <f aca="false">IF($B115=AI$12,$U115,"")</f>
        <v/>
      </c>
      <c r="AJ115" s="85" t="str">
        <f aca="false">IF($B115=AJ$12,$U115,"")</f>
        <v/>
      </c>
      <c r="AK115" s="85" t="str">
        <f aca="false">IF($B115=AK$12,$U115,"")</f>
        <v/>
      </c>
      <c r="AL115" s="85" t="str">
        <f aca="false">IF($B115=AL$12,$U115,"")</f>
        <v/>
      </c>
      <c r="AM115" s="85" t="str">
        <f aca="false">IF($B115=AM$12,$U115,"")</f>
        <v/>
      </c>
      <c r="AN115" s="85" t="str">
        <f aca="false">IF($B115=AN$12,$U115,"")</f>
        <v/>
      </c>
      <c r="AO115" s="85" t="str">
        <f aca="false">IF($B115=AO$12,$U115,"")</f>
        <v/>
      </c>
      <c r="AP115" s="85" t="str">
        <f aca="false">IF($B115=AP$12,$U115,"")</f>
        <v/>
      </c>
      <c r="AQ115" s="85" t="str">
        <f aca="false">IF($B115=AQ$12,$U115,"")</f>
        <v/>
      </c>
      <c r="AR115" s="85" t="str">
        <f aca="false">IF($B115=AR$12,$U115,"")</f>
        <v/>
      </c>
      <c r="AS115" s="85" t="str">
        <f aca="false">IF($B115=AS$12,$U115,"")</f>
        <v/>
      </c>
      <c r="AT115" s="85" t="str">
        <f aca="false">IF($B115=AT$12,$U115,"")</f>
        <v/>
      </c>
      <c r="AU115" s="85" t="str">
        <f aca="false">IF($B115=AU$12,$U115,"")</f>
        <v/>
      </c>
      <c r="AV115" s="85" t="str">
        <f aca="false">IF($B115=AV$12,$U115,"")</f>
        <v/>
      </c>
      <c r="AW115" s="85" t="str">
        <f aca="false">IF($B115=AW$12,$U115,"")</f>
        <v/>
      </c>
      <c r="AX115" s="85" t="str">
        <f aca="false">IF($B115=AX$12,$U115,"")</f>
        <v/>
      </c>
      <c r="AY115" s="85" t="str">
        <f aca="false">IF($B115=AY$12,$U115,"")</f>
        <v/>
      </c>
      <c r="AZ115" s="85" t="str">
        <f aca="false">IF($B115=AZ$12,$U115,"")</f>
        <v/>
      </c>
      <c r="BA115" s="85" t="str">
        <f aca="false">IF($B115=BA$12,$U115,"")</f>
        <v/>
      </c>
      <c r="BB115" s="85" t="str">
        <f aca="false">IF($B115=BB$12,$U115,"")</f>
        <v/>
      </c>
      <c r="BC115" s="85" t="str">
        <f aca="false">IF($B115=BC$12,$U115,"")</f>
        <v/>
      </c>
      <c r="BD115" s="85" t="str">
        <f aca="false">IF($B115=BD$12,$U115,"")</f>
        <v/>
      </c>
      <c r="BE115" s="85" t="str">
        <f aca="false">IF($B115=BE$12,$U115,"")</f>
        <v/>
      </c>
      <c r="BF115" s="85" t="str">
        <f aca="false">IF($B115=BF$12,$U115,"")</f>
        <v/>
      </c>
      <c r="BG115" s="85" t="str">
        <f aca="false">IF($B115=BG$12,$U115,"")</f>
        <v/>
      </c>
      <c r="BH115" s="85" t="str">
        <f aca="false">IF($B115=BH$12,$U115,"")</f>
        <v/>
      </c>
      <c r="BI115" s="85" t="str">
        <f aca="false">IF($B115=BI$12,$U115,"")</f>
        <v/>
      </c>
      <c r="BJ115" s="85" t="str">
        <f aca="false">IF($B115=BJ$12,$U115,"")</f>
        <v/>
      </c>
      <c r="BK115" s="85" t="str">
        <f aca="false">IF($B115=BK$12,$U115,"")</f>
        <v/>
      </c>
      <c r="BL115" s="85" t="str">
        <f aca="false">IF($B115=BL$12,$U115,"")</f>
        <v/>
      </c>
      <c r="BM115" s="85" t="str">
        <f aca="false">IF($B115=BM$12,$U115,"")</f>
        <v/>
      </c>
      <c r="BN115" s="85" t="str">
        <f aca="false">IF($B115=BN$12,$U115,"")</f>
        <v/>
      </c>
      <c r="BO115" s="85" t="str">
        <f aca="false">IF($B115=BO$12,$U115,"")</f>
        <v/>
      </c>
      <c r="BP115" s="85" t="str">
        <f aca="false">IF($B115=BP$12,$U115,"")</f>
        <v/>
      </c>
      <c r="BQ115" s="85" t="str">
        <f aca="false">IF($B115=BQ$12,$U115,"")</f>
        <v/>
      </c>
      <c r="BR115" s="85" t="str">
        <f aca="false">IF($B115=BR$12,$U115,"")</f>
        <v/>
      </c>
      <c r="BS115" s="85" t="str">
        <f aca="false">IF($B115=BS$12,$U115,"")</f>
        <v/>
      </c>
      <c r="BT115" s="85" t="str">
        <f aca="false">IF($B115=BT$12,$U115,"")</f>
        <v/>
      </c>
      <c r="BU115" s="85" t="str">
        <f aca="false">IF($B115=BU$12,$U115,"")</f>
        <v/>
      </c>
      <c r="BV115" s="85" t="str">
        <f aca="false">IF($B115=BV$12,$U115,"")</f>
        <v/>
      </c>
      <c r="BW115" s="85" t="str">
        <f aca="false">IF($B115=BW$12,$U115,"")</f>
        <v/>
      </c>
      <c r="BX115" s="85" t="str">
        <f aca="false">IF($B115=BX$12,$U115,"")</f>
        <v/>
      </c>
      <c r="BY115" s="85" t="str">
        <f aca="false">IF($B115=BY$12,$U115,"")</f>
        <v/>
      </c>
      <c r="BZ115" s="85" t="str">
        <f aca="false">IF($B115=BZ$12,$U115,"")</f>
        <v/>
      </c>
      <c r="CA115" s="85" t="str">
        <f aca="false">IF($B115=CA$12,$U115,"")</f>
        <v/>
      </c>
      <c r="CB115" s="85" t="str">
        <f aca="false">IF($B115=CB$12,$U115,"")</f>
        <v/>
      </c>
      <c r="CC115" s="85" t="str">
        <f aca="false">IF($B115=CC$12,$U115,"")</f>
        <v/>
      </c>
      <c r="CD115" s="85" t="str">
        <f aca="false">IF($B115=CD$12,$U115,"")</f>
        <v/>
      </c>
      <c r="CE115" s="85" t="str">
        <f aca="false">IF($B115=CE$12,$U115,"")</f>
        <v/>
      </c>
      <c r="CF115" s="85" t="str">
        <f aca="false">IF($B115=CF$12,$U115,"")</f>
        <v/>
      </c>
      <c r="CG115" s="85" t="str">
        <f aca="false">IF($B115=CG$12,$U115,"")</f>
        <v/>
      </c>
      <c r="CH115" s="85" t="str">
        <f aca="false">IF($B115=CH$12,$U115,"")</f>
        <v/>
      </c>
      <c r="CI115" s="85" t="str">
        <f aca="false">IF($B115=CI$12,$U115,"")</f>
        <v/>
      </c>
      <c r="CJ115" s="85" t="str">
        <f aca="false">IF($B115=CJ$12,$U115,"")</f>
        <v/>
      </c>
      <c r="CK115" s="85" t="str">
        <f aca="false">IF($B115=CK$12,$U115,"")</f>
        <v/>
      </c>
      <c r="CL115" s="85" t="str">
        <f aca="false">IF($B115=CL$12,$U115,"")</f>
        <v/>
      </c>
      <c r="CM115" s="85" t="str">
        <f aca="false">IF($B115=CM$12,$U115,"")</f>
        <v/>
      </c>
      <c r="CN115" s="85" t="str">
        <f aca="false">IF($B115=CN$12,$U115,"")</f>
        <v/>
      </c>
      <c r="CO115" s="85" t="str">
        <f aca="false">IF($B115=CO$12,$U115,"")</f>
        <v/>
      </c>
      <c r="CP115" s="85" t="str">
        <f aca="false">IF($B115=CP$12,$U115,"")</f>
        <v/>
      </c>
      <c r="CQ115" s="85" t="str">
        <f aca="false">IF($B115=CQ$12,$U115,"")</f>
        <v/>
      </c>
      <c r="CR115" s="85" t="str">
        <f aca="false">IF($B115=CR$12,$U115,"")</f>
        <v/>
      </c>
      <c r="CS115" s="85" t="str">
        <f aca="false">IF($B115=CS$12,$U115,"")</f>
        <v/>
      </c>
      <c r="CT115" s="85" t="str">
        <f aca="false">IF($B115=CT$12,$U115,"")</f>
        <v/>
      </c>
      <c r="CU115" s="85" t="str">
        <f aca="false">IF($B115=CU$12,$U115,"")</f>
        <v/>
      </c>
      <c r="CV115" s="85" t="str">
        <f aca="false">IF($B115=CV$12,$U115,"")</f>
        <v/>
      </c>
      <c r="CW115" s="85" t="str">
        <f aca="false">IF($B115=CW$12,$U115,"")</f>
        <v/>
      </c>
      <c r="CX115" s="85" t="str">
        <f aca="false">IF($B115=CX$12,$U115,"")</f>
        <v/>
      </c>
      <c r="CY115" s="85" t="str">
        <f aca="false">IF($B115=CY$12,$U115,"")</f>
        <v/>
      </c>
      <c r="CZ115" s="85" t="str">
        <f aca="false">IF($B115=CZ$12,$U115,"")</f>
        <v/>
      </c>
      <c r="DA115" s="85" t="str">
        <f aca="false">IF($B115=DA$12,$U115,"")</f>
        <v/>
      </c>
      <c r="DB115" s="85" t="str">
        <f aca="false">IF($B115=DB$12,$U115,"")</f>
        <v/>
      </c>
      <c r="DC115" s="85" t="str">
        <f aca="false">IF($B115=DC$12,$U115,"")</f>
        <v/>
      </c>
      <c r="DD115" s="85" t="str">
        <f aca="false">IF($B115=DD$12,$U115,"")</f>
        <v/>
      </c>
      <c r="DE115" s="85" t="str">
        <f aca="false">IF($B115=DE$12,$U115,"")</f>
        <v/>
      </c>
      <c r="DF115" s="85" t="str">
        <f aca="false">IF($B115=DF$12,$U115,"")</f>
        <v/>
      </c>
      <c r="DG115" s="85" t="str">
        <f aca="false">IF($B115=DG$12,$U115,"")</f>
        <v/>
      </c>
      <c r="DH115" s="85" t="str">
        <f aca="false">IF($B115=DH$12,$U115,"")</f>
        <v/>
      </c>
      <c r="DI115" s="85" t="str">
        <f aca="false">IF($B115=DI$12,$U115,"")</f>
        <v/>
      </c>
      <c r="DJ115" s="85" t="str">
        <f aca="false">IF($B115=DJ$12,$U115,"")</f>
        <v/>
      </c>
      <c r="DK115" s="85" t="str">
        <f aca="false">IF($B115=DK$12,$U115,"")</f>
        <v/>
      </c>
      <c r="DL115" s="85" t="str">
        <f aca="false">IF($B115=DL$12,$U115,"")</f>
        <v/>
      </c>
      <c r="DM115" s="85" t="str">
        <f aca="false">IF($B115=DM$12,$U115,"")</f>
        <v/>
      </c>
      <c r="DN115" s="85" t="str">
        <f aca="false">IF($B115=DN$12,$U115,"")</f>
        <v/>
      </c>
      <c r="DO115" s="85" t="str">
        <f aca="false">IF($B115=DO$12,$U115,"")</f>
        <v/>
      </c>
      <c r="DP115" s="85" t="str">
        <f aca="false">IF($B115=DP$12,$U115,"")</f>
        <v/>
      </c>
      <c r="DQ115" s="85" t="str">
        <f aca="false">IF($B115=DQ$12,$U115,"")</f>
        <v/>
      </c>
      <c r="DR115" s="85" t="str">
        <f aca="false">IF($B115=DR$12,$U115,"")</f>
        <v/>
      </c>
      <c r="DS115" s="85" t="str">
        <f aca="false">IF($B115=DS$12,$U115,"")</f>
        <v/>
      </c>
      <c r="DT115" s="86" t="str">
        <f aca="false">IF($B115=DT$12,$U115,"")</f>
        <v/>
      </c>
      <c r="DU115" s="55"/>
      <c r="DV115" s="83"/>
      <c r="DW115" s="87" t="str">
        <f aca="false">IF($B115=DW$12,$O115,"")</f>
        <v/>
      </c>
      <c r="DX115" s="88" t="str">
        <f aca="false">IF($B115=DX$12,$O115,"")</f>
        <v/>
      </c>
      <c r="DY115" s="88" t="str">
        <f aca="false">IF($B115=DY$12,$O115,"")</f>
        <v/>
      </c>
      <c r="DZ115" s="88" t="str">
        <f aca="false">IF($B115=DZ$12,$O115,"")</f>
        <v/>
      </c>
      <c r="EA115" s="88" t="str">
        <f aca="false">IF($B115=EA$12,$O115,"")</f>
        <v/>
      </c>
      <c r="EB115" s="88" t="str">
        <f aca="false">IF($B115=EB$12,$O115,"")</f>
        <v/>
      </c>
      <c r="EC115" s="88" t="str">
        <f aca="false">IF($B115=EC$12,$O115,"")</f>
        <v/>
      </c>
      <c r="ED115" s="88" t="str">
        <f aca="false">IF($B115=ED$12,$O115,"")</f>
        <v/>
      </c>
      <c r="EE115" s="88" t="str">
        <f aca="false">IF($B115=EE$12,$O115,"")</f>
        <v/>
      </c>
      <c r="EF115" s="88" t="str">
        <f aca="false">IF($B115=EF$12,$O115,"")</f>
        <v/>
      </c>
      <c r="EG115" s="88" t="str">
        <f aca="false">IF($B115=EG$12,$O115,"")</f>
        <v/>
      </c>
      <c r="EH115" s="88" t="str">
        <f aca="false">IF($B115=EH$12,$O115,"")</f>
        <v/>
      </c>
      <c r="EI115" s="88" t="str">
        <f aca="false">IF($B115=EI$12,$O115,"")</f>
        <v/>
      </c>
      <c r="EJ115" s="88" t="str">
        <f aca="false">IF($B115=EJ$12,$O115,"")</f>
        <v/>
      </c>
      <c r="EK115" s="88" t="str">
        <f aca="false">IF($B115=EK$12,$O115,"")</f>
        <v/>
      </c>
      <c r="EL115" s="88" t="str">
        <f aca="false">IF($B115=EL$12,$O115,"")</f>
        <v/>
      </c>
      <c r="EM115" s="88" t="str">
        <f aca="false">IF($B115=EM$12,$O115,"")</f>
        <v/>
      </c>
      <c r="EN115" s="88" t="str">
        <f aca="false">IF($B115=EN$12,$O115,"")</f>
        <v/>
      </c>
      <c r="EO115" s="88" t="str">
        <f aca="false">IF($B115=EO$12,$O115,"")</f>
        <v/>
      </c>
      <c r="EP115" s="88" t="str">
        <f aca="false">IF($B115=EP$12,$O115,"")</f>
        <v/>
      </c>
      <c r="EQ115" s="88" t="str">
        <f aca="false">IF($B115=EQ$12,$O115,"")</f>
        <v/>
      </c>
      <c r="ER115" s="88" t="str">
        <f aca="false">IF($B115=ER$12,$O115,"")</f>
        <v/>
      </c>
      <c r="ES115" s="88" t="str">
        <f aca="false">IF($B115=ES$12,$O115,"")</f>
        <v/>
      </c>
      <c r="ET115" s="88" t="str">
        <f aca="false">IF($B115=ET$12,$O115,"")</f>
        <v/>
      </c>
      <c r="EU115" s="88" t="str">
        <f aca="false">IF($B115=EU$12,$O115,"")</f>
        <v/>
      </c>
      <c r="EV115" s="88" t="str">
        <f aca="false">IF($B115=EV$12,$O115,"")</f>
        <v/>
      </c>
      <c r="EW115" s="88" t="str">
        <f aca="false">IF($B115=EW$12,$O115,"")</f>
        <v/>
      </c>
      <c r="EX115" s="88" t="str">
        <f aca="false">IF($B115=EX$12,$O115,"")</f>
        <v/>
      </c>
      <c r="EY115" s="88" t="str">
        <f aca="false">IF($B115=EY$12,$O115,"")</f>
        <v/>
      </c>
      <c r="EZ115" s="88" t="str">
        <f aca="false">IF($B115=EZ$12,$O115,"")</f>
        <v/>
      </c>
      <c r="FA115" s="88" t="str">
        <f aca="false">IF($B115=FA$12,$O115,"")</f>
        <v/>
      </c>
      <c r="FB115" s="88" t="str">
        <f aca="false">IF($B115=FB$12,$O115,"")</f>
        <v/>
      </c>
      <c r="FC115" s="88" t="str">
        <f aca="false">IF($B115=FC$12,$O115,"")</f>
        <v/>
      </c>
      <c r="FD115" s="88" t="str">
        <f aca="false">IF($B115=FD$12,$O115,"")</f>
        <v/>
      </c>
      <c r="FE115" s="88" t="str">
        <f aca="false">IF($B115=FE$12,$O115,"")</f>
        <v/>
      </c>
      <c r="FF115" s="88" t="str">
        <f aca="false">IF($B115=FF$12,$O115,"")</f>
        <v/>
      </c>
      <c r="FG115" s="88" t="str">
        <f aca="false">IF($B115=FG$12,$O115,"")</f>
        <v/>
      </c>
      <c r="FH115" s="88" t="str">
        <f aca="false">IF($B115=FH$12,$O115,"")</f>
        <v/>
      </c>
      <c r="FI115" s="88" t="str">
        <f aca="false">IF($B115=FI$12,$O115,"")</f>
        <v/>
      </c>
      <c r="FJ115" s="88" t="str">
        <f aca="false">IF($B115=FJ$12,$O115,"")</f>
        <v/>
      </c>
      <c r="FK115" s="88" t="str">
        <f aca="false">IF($B115=FK$12,$O115,"")</f>
        <v/>
      </c>
      <c r="FL115" s="88" t="str">
        <f aca="false">IF($B115=FL$12,$O115,"")</f>
        <v/>
      </c>
      <c r="FM115" s="88" t="str">
        <f aca="false">IF($B115=FM$12,$O115,"")</f>
        <v/>
      </c>
      <c r="FN115" s="88" t="str">
        <f aca="false">IF($B115=FN$12,$O115,"")</f>
        <v/>
      </c>
      <c r="FO115" s="88" t="str">
        <f aca="false">IF($B115=FO$12,$O115,"")</f>
        <v/>
      </c>
      <c r="FP115" s="88" t="str">
        <f aca="false">IF($B115=FP$12,$O115,"")</f>
        <v/>
      </c>
      <c r="FQ115" s="88" t="str">
        <f aca="false">IF($B115=FQ$12,$O115,"")</f>
        <v/>
      </c>
      <c r="FR115" s="88" t="str">
        <f aca="false">IF($B115=FR$12,$O115,"")</f>
        <v/>
      </c>
      <c r="FS115" s="88" t="str">
        <f aca="false">IF($B115=FS$12,$O115,"")</f>
        <v/>
      </c>
      <c r="FT115" s="88" t="str">
        <f aca="false">IF($B115=FT$12,$O115,"")</f>
        <v/>
      </c>
      <c r="FU115" s="88" t="str">
        <f aca="false">IF($B115=FU$12,$O115,"")</f>
        <v/>
      </c>
      <c r="FV115" s="88" t="str">
        <f aca="false">IF($B115=FV$12,$O115,"")</f>
        <v/>
      </c>
      <c r="FW115" s="88" t="str">
        <f aca="false">IF($B115=FW$12,$O115,"")</f>
        <v/>
      </c>
      <c r="FX115" s="88" t="str">
        <f aca="false">IF($B115=FX$12,$O115,"")</f>
        <v/>
      </c>
      <c r="FY115" s="88" t="str">
        <f aca="false">IF($B115=FY$12,$O115,"")</f>
        <v/>
      </c>
      <c r="FZ115" s="88" t="str">
        <f aca="false">IF($B115=FZ$12,$O115,"")</f>
        <v/>
      </c>
      <c r="GA115" s="88" t="str">
        <f aca="false">IF($B115=GA$12,$O115,"")</f>
        <v/>
      </c>
      <c r="GB115" s="88" t="str">
        <f aca="false">IF($B115=GB$12,$O115,"")</f>
        <v/>
      </c>
      <c r="GC115" s="88" t="str">
        <f aca="false">IF($B115=GC$12,$O115,"")</f>
        <v/>
      </c>
      <c r="GD115" s="88" t="str">
        <f aca="false">IF($B115=GD$12,$O115,"")</f>
        <v/>
      </c>
      <c r="GE115" s="88" t="str">
        <f aca="false">IF($B115=GE$12,$O115,"")</f>
        <v/>
      </c>
      <c r="GF115" s="88" t="str">
        <f aca="false">IF($B115=GF$12,$O115,"")</f>
        <v/>
      </c>
      <c r="GG115" s="88" t="str">
        <f aca="false">IF($B115=GG$12,$O115,"")</f>
        <v/>
      </c>
      <c r="GH115" s="88" t="str">
        <f aca="false">IF($B115=GH$12,$O115,"")</f>
        <v/>
      </c>
      <c r="GI115" s="88" t="str">
        <f aca="false">IF($B115=GI$12,$O115,"")</f>
        <v/>
      </c>
      <c r="GJ115" s="88" t="str">
        <f aca="false">IF($B115=GJ$12,$O115,"")</f>
        <v/>
      </c>
      <c r="GK115" s="88" t="str">
        <f aca="false">IF($B115=GK$12,$O115,"")</f>
        <v/>
      </c>
      <c r="GL115" s="88" t="str">
        <f aca="false">IF($B115=GL$12,$O115,"")</f>
        <v/>
      </c>
      <c r="GM115" s="88" t="str">
        <f aca="false">IF($B115=GM$12,$O115,"")</f>
        <v/>
      </c>
      <c r="GN115" s="88" t="str">
        <f aca="false">IF($B115=GN$12,$O115,"")</f>
        <v/>
      </c>
      <c r="GO115" s="88" t="str">
        <f aca="false">IF($B115=GO$12,$O115,"")</f>
        <v/>
      </c>
      <c r="GP115" s="88" t="str">
        <f aca="false">IF($B115=GP$12,$O115,"")</f>
        <v/>
      </c>
      <c r="GQ115" s="88" t="str">
        <f aca="false">IF($B115=GQ$12,$O115,"")</f>
        <v/>
      </c>
      <c r="GR115" s="88" t="str">
        <f aca="false">IF($B115=GR$12,$O115,"")</f>
        <v/>
      </c>
      <c r="GS115" s="88" t="str">
        <f aca="false">IF($B115=GS$12,$O115,"")</f>
        <v/>
      </c>
      <c r="GT115" s="88" t="str">
        <f aca="false">IF($B115=GT$12,$O115,"")</f>
        <v/>
      </c>
      <c r="GU115" s="88" t="str">
        <f aca="false">IF($B115=GU$12,$O115,"")</f>
        <v/>
      </c>
      <c r="GV115" s="88" t="str">
        <f aca="false">IF($B115=GV$12,$O115,"")</f>
        <v/>
      </c>
      <c r="GW115" s="88" t="str">
        <f aca="false">IF($B115=GW$12,$O115,"")</f>
        <v/>
      </c>
      <c r="GX115" s="88" t="str">
        <f aca="false">IF($B115=GX$12,$O115,"")</f>
        <v/>
      </c>
      <c r="GY115" s="88" t="str">
        <f aca="false">IF($B115=GY$12,$O115,"")</f>
        <v/>
      </c>
      <c r="GZ115" s="88" t="str">
        <f aca="false">IF($B115=GZ$12,$O115,"")</f>
        <v/>
      </c>
      <c r="HA115" s="88" t="str">
        <f aca="false">IF($B115=HA$12,$O115,"")</f>
        <v/>
      </c>
      <c r="HB115" s="88" t="str">
        <f aca="false">IF($B115=HB$12,$O115,"")</f>
        <v/>
      </c>
      <c r="HC115" s="88" t="str">
        <f aca="false">IF($B115=HC$12,$O115,"")</f>
        <v/>
      </c>
      <c r="HD115" s="88" t="str">
        <f aca="false">IF($B115=HD$12,$O115,"")</f>
        <v/>
      </c>
      <c r="HE115" s="88" t="str">
        <f aca="false">IF($B115=HE$12,$O115,"")</f>
        <v/>
      </c>
      <c r="HF115" s="88" t="str">
        <f aca="false">IF($B115=HF$12,$O115,"")</f>
        <v/>
      </c>
      <c r="HG115" s="88" t="str">
        <f aca="false">IF($B115=HG$12,$O115,"")</f>
        <v/>
      </c>
      <c r="HH115" s="88" t="str">
        <f aca="false">IF($B115=HH$12,$O115,"")</f>
        <v/>
      </c>
      <c r="HI115" s="88" t="str">
        <f aca="false">IF($B115=HI$12,$O115,"")</f>
        <v/>
      </c>
      <c r="HJ115" s="88" t="str">
        <f aca="false">IF($B115=HJ$12,$O115,"")</f>
        <v/>
      </c>
      <c r="HK115" s="88" t="str">
        <f aca="false">IF($B115=HK$12,$O115,"")</f>
        <v/>
      </c>
      <c r="HL115" s="88" t="str">
        <f aca="false">IF($B115=HL$12,$O115,"")</f>
        <v/>
      </c>
      <c r="HM115" s="88" t="str">
        <f aca="false">IF($B115=HM$12,$O115,"")</f>
        <v/>
      </c>
      <c r="HN115" s="88" t="str">
        <f aca="false">IF($B115=HN$12,$O115,"")</f>
        <v/>
      </c>
      <c r="HO115" s="88" t="str">
        <f aca="false">IF($B115=HO$12,$O115,"")</f>
        <v/>
      </c>
      <c r="HP115" s="88" t="str">
        <f aca="false">IF($B115=HP$12,$O115,"")</f>
        <v/>
      </c>
      <c r="HQ115" s="88" t="str">
        <f aca="false">IF($B115=HQ$12,$O115,"")</f>
        <v/>
      </c>
      <c r="HR115" s="89" t="str">
        <f aca="false">IF($B115=HR$12,$O115,"")</f>
        <v/>
      </c>
    </row>
    <row r="116" customFormat="false" ht="10.5" hidden="false" customHeight="true" outlineLevel="0" collapsed="false">
      <c r="A116" s="73"/>
      <c r="B116" s="74"/>
      <c r="C116" s="75" t="str">
        <f aca="false">IF(A116=0,"",VLOOKUP(A116,[3]CO!$A$3:$F$5311,2,0))</f>
        <v/>
      </c>
      <c r="D116" s="76"/>
      <c r="E116" s="76"/>
      <c r="F116" s="76"/>
      <c r="G116" s="77" t="str">
        <f aca="false">IF(A116=0,"",VLOOKUP(A116,[3]CO!$A$3:$F$5311,3,0))</f>
        <v/>
      </c>
      <c r="H116" s="5"/>
      <c r="I116" s="78"/>
      <c r="J116" s="78"/>
      <c r="K116" s="78"/>
      <c r="L116" s="78"/>
      <c r="M116" s="79" t="str">
        <f aca="false">IF(H116&gt;0,H116*Q$107/N116,IF(AND(L116&gt;0,I116&gt;0),L116*I116,IF(L116&gt;0,L116,"")))</f>
        <v/>
      </c>
      <c r="N116" s="79" t="str">
        <f aca="false">IF(B116=0,"",IF(H116="M",HLOOKUP(B116,$Y$12:$DT$13,2),IF(A116=0,"",VLOOKUP(A116,[3]CO!$A$3:$F$5311,4,0))))</f>
        <v/>
      </c>
      <c r="O116" s="79" t="str">
        <f aca="false">IF(L116=0,"",PRODUCT(M116:N116))</f>
        <v/>
      </c>
      <c r="P116" s="80"/>
      <c r="Q116" s="81" t="str">
        <f aca="false">IF(P116=0,"",(HLOOKUP(P116,$DW$12:$HR$13,2)))</f>
        <v/>
      </c>
      <c r="R116" s="82" t="str">
        <f aca="false">IF(S116=0,"",IF(OR(G116="PEON",G116="OF",G116="JARD",G116="CARP",G116="MAESTRO",G116="SOLD",G116="BGRO",G116="CHOFER",G116="AYTE",G116="S.INTTE.",G116="ASEO",G116="P.PISOS",G116="VELADOR",G116="RESID",G116="PINTOR",G116="ELECT",G116="AZULE",G116="AUX CONT.",G116="SECRETARIA",G116="AUXILIAR ADMTVO.",G116="ARQUITECTO",G116="DIBUJANTE",G116="AUX. DE RESIDENTE",G116="TOPOGRAFIA"),VLOOKUP(B116,P$14:Q$431,2),"")*S116)</f>
        <v/>
      </c>
      <c r="S116" s="5"/>
      <c r="T116" s="65" t="str">
        <f aca="false">IF(A116=0,"",VLOOKUP(A116,[3]CO!$A$3:$F$5302,5,0))</f>
        <v/>
      </c>
      <c r="U116" s="55" t="n">
        <f aca="false">IF(T116=1,O116*0.1,)</f>
        <v>0</v>
      </c>
      <c r="V116" s="66"/>
      <c r="W116" s="83"/>
      <c r="X116" s="83"/>
      <c r="Y116" s="84" t="str">
        <f aca="false">IF($B116=Y$12,$U116,"")</f>
        <v/>
      </c>
      <c r="Z116" s="85" t="str">
        <f aca="false">IF($B116=Z$12,$U116,"")</f>
        <v/>
      </c>
      <c r="AA116" s="85" t="str">
        <f aca="false">IF($B116=AA$12,$U116,"")</f>
        <v/>
      </c>
      <c r="AB116" s="85" t="str">
        <f aca="false">IF($B116=AB$12,$U116,"")</f>
        <v/>
      </c>
      <c r="AC116" s="85" t="str">
        <f aca="false">IF($B116=AC$12,$U116,"")</f>
        <v/>
      </c>
      <c r="AD116" s="85" t="str">
        <f aca="false">IF($B116=AD$12,$U116,"")</f>
        <v/>
      </c>
      <c r="AE116" s="85" t="str">
        <f aca="false">IF($B116=AE$12,$U116,"")</f>
        <v/>
      </c>
      <c r="AF116" s="85" t="str">
        <f aca="false">IF($B116=AF$12,$U116,"")</f>
        <v/>
      </c>
      <c r="AG116" s="85" t="str">
        <f aca="false">IF($B116=AG$12,$U116,"")</f>
        <v/>
      </c>
      <c r="AH116" s="85" t="str">
        <f aca="false">IF($B116=AH$12,$U116,"")</f>
        <v/>
      </c>
      <c r="AI116" s="85" t="str">
        <f aca="false">IF($B116=AI$12,$U116,"")</f>
        <v/>
      </c>
      <c r="AJ116" s="85" t="str">
        <f aca="false">IF($B116=AJ$12,$U116,"")</f>
        <v/>
      </c>
      <c r="AK116" s="85" t="str">
        <f aca="false">IF($B116=AK$12,$U116,"")</f>
        <v/>
      </c>
      <c r="AL116" s="85" t="str">
        <f aca="false">IF($B116=AL$12,$U116,"")</f>
        <v/>
      </c>
      <c r="AM116" s="85" t="str">
        <f aca="false">IF($B116=AM$12,$U116,"")</f>
        <v/>
      </c>
      <c r="AN116" s="85" t="str">
        <f aca="false">IF($B116=AN$12,$U116,"")</f>
        <v/>
      </c>
      <c r="AO116" s="85" t="str">
        <f aca="false">IF($B116=AO$12,$U116,"")</f>
        <v/>
      </c>
      <c r="AP116" s="85" t="str">
        <f aca="false">IF($B116=AP$12,$U116,"")</f>
        <v/>
      </c>
      <c r="AQ116" s="85" t="str">
        <f aca="false">IF($B116=AQ$12,$U116,"")</f>
        <v/>
      </c>
      <c r="AR116" s="85" t="str">
        <f aca="false">IF($B116=AR$12,$U116,"")</f>
        <v/>
      </c>
      <c r="AS116" s="85" t="str">
        <f aca="false">IF($B116=AS$12,$U116,"")</f>
        <v/>
      </c>
      <c r="AT116" s="85" t="str">
        <f aca="false">IF($B116=AT$12,$U116,"")</f>
        <v/>
      </c>
      <c r="AU116" s="85" t="str">
        <f aca="false">IF($B116=AU$12,$U116,"")</f>
        <v/>
      </c>
      <c r="AV116" s="85" t="str">
        <f aca="false">IF($B116=AV$12,$U116,"")</f>
        <v/>
      </c>
      <c r="AW116" s="85" t="str">
        <f aca="false">IF($B116=AW$12,$U116,"")</f>
        <v/>
      </c>
      <c r="AX116" s="85" t="str">
        <f aca="false">IF($B116=AX$12,$U116,"")</f>
        <v/>
      </c>
      <c r="AY116" s="85" t="str">
        <f aca="false">IF($B116=AY$12,$U116,"")</f>
        <v/>
      </c>
      <c r="AZ116" s="85" t="str">
        <f aca="false">IF($B116=AZ$12,$U116,"")</f>
        <v/>
      </c>
      <c r="BA116" s="85" t="str">
        <f aca="false">IF($B116=BA$12,$U116,"")</f>
        <v/>
      </c>
      <c r="BB116" s="85" t="str">
        <f aca="false">IF($B116=BB$12,$U116,"")</f>
        <v/>
      </c>
      <c r="BC116" s="85" t="str">
        <f aca="false">IF($B116=BC$12,$U116,"")</f>
        <v/>
      </c>
      <c r="BD116" s="85" t="str">
        <f aca="false">IF($B116=BD$12,$U116,"")</f>
        <v/>
      </c>
      <c r="BE116" s="85" t="str">
        <f aca="false">IF($B116=BE$12,$U116,"")</f>
        <v/>
      </c>
      <c r="BF116" s="85" t="str">
        <f aca="false">IF($B116=BF$12,$U116,"")</f>
        <v/>
      </c>
      <c r="BG116" s="85" t="str">
        <f aca="false">IF($B116=BG$12,$U116,"")</f>
        <v/>
      </c>
      <c r="BH116" s="85" t="str">
        <f aca="false">IF($B116=BH$12,$U116,"")</f>
        <v/>
      </c>
      <c r="BI116" s="85" t="str">
        <f aca="false">IF($B116=BI$12,$U116,"")</f>
        <v/>
      </c>
      <c r="BJ116" s="85" t="str">
        <f aca="false">IF($B116=BJ$12,$U116,"")</f>
        <v/>
      </c>
      <c r="BK116" s="85" t="str">
        <f aca="false">IF($B116=BK$12,$U116,"")</f>
        <v/>
      </c>
      <c r="BL116" s="85" t="str">
        <f aca="false">IF($B116=BL$12,$U116,"")</f>
        <v/>
      </c>
      <c r="BM116" s="85" t="str">
        <f aca="false">IF($B116=BM$12,$U116,"")</f>
        <v/>
      </c>
      <c r="BN116" s="85" t="str">
        <f aca="false">IF($B116=BN$12,$U116,"")</f>
        <v/>
      </c>
      <c r="BO116" s="85" t="str">
        <f aca="false">IF($B116=BO$12,$U116,"")</f>
        <v/>
      </c>
      <c r="BP116" s="85" t="str">
        <f aca="false">IF($B116=BP$12,$U116,"")</f>
        <v/>
      </c>
      <c r="BQ116" s="85" t="str">
        <f aca="false">IF($B116=BQ$12,$U116,"")</f>
        <v/>
      </c>
      <c r="BR116" s="85" t="str">
        <f aca="false">IF($B116=BR$12,$U116,"")</f>
        <v/>
      </c>
      <c r="BS116" s="85" t="str">
        <f aca="false">IF($B116=BS$12,$U116,"")</f>
        <v/>
      </c>
      <c r="BT116" s="85" t="str">
        <f aca="false">IF($B116=BT$12,$U116,"")</f>
        <v/>
      </c>
      <c r="BU116" s="85" t="str">
        <f aca="false">IF($B116=BU$12,$U116,"")</f>
        <v/>
      </c>
      <c r="BV116" s="85" t="str">
        <f aca="false">IF($B116=BV$12,$U116,"")</f>
        <v/>
      </c>
      <c r="BW116" s="85" t="str">
        <f aca="false">IF($B116=BW$12,$U116,"")</f>
        <v/>
      </c>
      <c r="BX116" s="85" t="str">
        <f aca="false">IF($B116=BX$12,$U116,"")</f>
        <v/>
      </c>
      <c r="BY116" s="85" t="str">
        <f aca="false">IF($B116=BY$12,$U116,"")</f>
        <v/>
      </c>
      <c r="BZ116" s="85" t="str">
        <f aca="false">IF($B116=BZ$12,$U116,"")</f>
        <v/>
      </c>
      <c r="CA116" s="85" t="str">
        <f aca="false">IF($B116=CA$12,$U116,"")</f>
        <v/>
      </c>
      <c r="CB116" s="85" t="str">
        <f aca="false">IF($B116=CB$12,$U116,"")</f>
        <v/>
      </c>
      <c r="CC116" s="85" t="str">
        <f aca="false">IF($B116=CC$12,$U116,"")</f>
        <v/>
      </c>
      <c r="CD116" s="85" t="str">
        <f aca="false">IF($B116=CD$12,$U116,"")</f>
        <v/>
      </c>
      <c r="CE116" s="85" t="str">
        <f aca="false">IF($B116=CE$12,$U116,"")</f>
        <v/>
      </c>
      <c r="CF116" s="85" t="str">
        <f aca="false">IF($B116=CF$12,$U116,"")</f>
        <v/>
      </c>
      <c r="CG116" s="85" t="str">
        <f aca="false">IF($B116=CG$12,$U116,"")</f>
        <v/>
      </c>
      <c r="CH116" s="85" t="str">
        <f aca="false">IF($B116=CH$12,$U116,"")</f>
        <v/>
      </c>
      <c r="CI116" s="85" t="str">
        <f aca="false">IF($B116=CI$12,$U116,"")</f>
        <v/>
      </c>
      <c r="CJ116" s="85" t="str">
        <f aca="false">IF($B116=CJ$12,$U116,"")</f>
        <v/>
      </c>
      <c r="CK116" s="85" t="str">
        <f aca="false">IF($B116=CK$12,$U116,"")</f>
        <v/>
      </c>
      <c r="CL116" s="85" t="str">
        <f aca="false">IF($B116=CL$12,$U116,"")</f>
        <v/>
      </c>
      <c r="CM116" s="85" t="str">
        <f aca="false">IF($B116=CM$12,$U116,"")</f>
        <v/>
      </c>
      <c r="CN116" s="85" t="str">
        <f aca="false">IF($B116=CN$12,$U116,"")</f>
        <v/>
      </c>
      <c r="CO116" s="85" t="str">
        <f aca="false">IF($B116=CO$12,$U116,"")</f>
        <v/>
      </c>
      <c r="CP116" s="85" t="str">
        <f aca="false">IF($B116=CP$12,$U116,"")</f>
        <v/>
      </c>
      <c r="CQ116" s="85" t="str">
        <f aca="false">IF($B116=CQ$12,$U116,"")</f>
        <v/>
      </c>
      <c r="CR116" s="85" t="str">
        <f aca="false">IF($B116=CR$12,$U116,"")</f>
        <v/>
      </c>
      <c r="CS116" s="85" t="str">
        <f aca="false">IF($B116=CS$12,$U116,"")</f>
        <v/>
      </c>
      <c r="CT116" s="85" t="str">
        <f aca="false">IF($B116=CT$12,$U116,"")</f>
        <v/>
      </c>
      <c r="CU116" s="85" t="str">
        <f aca="false">IF($B116=CU$12,$U116,"")</f>
        <v/>
      </c>
      <c r="CV116" s="85" t="str">
        <f aca="false">IF($B116=CV$12,$U116,"")</f>
        <v/>
      </c>
      <c r="CW116" s="85" t="str">
        <f aca="false">IF($B116=CW$12,$U116,"")</f>
        <v/>
      </c>
      <c r="CX116" s="85" t="str">
        <f aca="false">IF($B116=CX$12,$U116,"")</f>
        <v/>
      </c>
      <c r="CY116" s="85" t="str">
        <f aca="false">IF($B116=CY$12,$U116,"")</f>
        <v/>
      </c>
      <c r="CZ116" s="85" t="str">
        <f aca="false">IF($B116=CZ$12,$U116,"")</f>
        <v/>
      </c>
      <c r="DA116" s="85" t="str">
        <f aca="false">IF($B116=DA$12,$U116,"")</f>
        <v/>
      </c>
      <c r="DB116" s="85" t="str">
        <f aca="false">IF($B116=DB$12,$U116,"")</f>
        <v/>
      </c>
      <c r="DC116" s="85" t="str">
        <f aca="false">IF($B116=DC$12,$U116,"")</f>
        <v/>
      </c>
      <c r="DD116" s="85" t="str">
        <f aca="false">IF($B116=DD$12,$U116,"")</f>
        <v/>
      </c>
      <c r="DE116" s="85" t="str">
        <f aca="false">IF($B116=DE$12,$U116,"")</f>
        <v/>
      </c>
      <c r="DF116" s="85" t="str">
        <f aca="false">IF($B116=DF$12,$U116,"")</f>
        <v/>
      </c>
      <c r="DG116" s="85" t="str">
        <f aca="false">IF($B116=DG$12,$U116,"")</f>
        <v/>
      </c>
      <c r="DH116" s="85" t="str">
        <f aca="false">IF($B116=DH$12,$U116,"")</f>
        <v/>
      </c>
      <c r="DI116" s="85" t="str">
        <f aca="false">IF($B116=DI$12,$U116,"")</f>
        <v/>
      </c>
      <c r="DJ116" s="85" t="str">
        <f aca="false">IF($B116=DJ$12,$U116,"")</f>
        <v/>
      </c>
      <c r="DK116" s="85" t="str">
        <f aca="false">IF($B116=DK$12,$U116,"")</f>
        <v/>
      </c>
      <c r="DL116" s="85" t="str">
        <f aca="false">IF($B116=DL$12,$U116,"")</f>
        <v/>
      </c>
      <c r="DM116" s="85" t="str">
        <f aca="false">IF($B116=DM$12,$U116,"")</f>
        <v/>
      </c>
      <c r="DN116" s="85" t="str">
        <f aca="false">IF($B116=DN$12,$U116,"")</f>
        <v/>
      </c>
      <c r="DO116" s="85" t="str">
        <f aca="false">IF($B116=DO$12,$U116,"")</f>
        <v/>
      </c>
      <c r="DP116" s="85" t="str">
        <f aca="false">IF($B116=DP$12,$U116,"")</f>
        <v/>
      </c>
      <c r="DQ116" s="85" t="str">
        <f aca="false">IF($B116=DQ$12,$U116,"")</f>
        <v/>
      </c>
      <c r="DR116" s="85" t="str">
        <f aca="false">IF($B116=DR$12,$U116,"")</f>
        <v/>
      </c>
      <c r="DS116" s="85" t="str">
        <f aca="false">IF($B116=DS$12,$U116,"")</f>
        <v/>
      </c>
      <c r="DT116" s="86" t="str">
        <f aca="false">IF($B116=DT$12,$U116,"")</f>
        <v/>
      </c>
      <c r="DU116" s="55"/>
      <c r="DV116" s="83"/>
      <c r="DW116" s="87" t="str">
        <f aca="false">IF($B116=DW$12,$O116,"")</f>
        <v/>
      </c>
      <c r="DX116" s="88" t="str">
        <f aca="false">IF($B116=DX$12,$O116,"")</f>
        <v/>
      </c>
      <c r="DY116" s="88" t="str">
        <f aca="false">IF($B116=DY$12,$O116,"")</f>
        <v/>
      </c>
      <c r="DZ116" s="88" t="str">
        <f aca="false">IF($B116=DZ$12,$O116,"")</f>
        <v/>
      </c>
      <c r="EA116" s="88" t="str">
        <f aca="false">IF($B116=EA$12,$O116,"")</f>
        <v/>
      </c>
      <c r="EB116" s="88" t="str">
        <f aca="false">IF($B116=EB$12,$O116,"")</f>
        <v/>
      </c>
      <c r="EC116" s="88" t="str">
        <f aca="false">IF($B116=EC$12,$O116,"")</f>
        <v/>
      </c>
      <c r="ED116" s="88" t="str">
        <f aca="false">IF($B116=ED$12,$O116,"")</f>
        <v/>
      </c>
      <c r="EE116" s="88" t="str">
        <f aca="false">IF($B116=EE$12,$O116,"")</f>
        <v/>
      </c>
      <c r="EF116" s="88" t="str">
        <f aca="false">IF($B116=EF$12,$O116,"")</f>
        <v/>
      </c>
      <c r="EG116" s="88" t="str">
        <f aca="false">IF($B116=EG$12,$O116,"")</f>
        <v/>
      </c>
      <c r="EH116" s="88" t="str">
        <f aca="false">IF($B116=EH$12,$O116,"")</f>
        <v/>
      </c>
      <c r="EI116" s="88" t="str">
        <f aca="false">IF($B116=EI$12,$O116,"")</f>
        <v/>
      </c>
      <c r="EJ116" s="88" t="str">
        <f aca="false">IF($B116=EJ$12,$O116,"")</f>
        <v/>
      </c>
      <c r="EK116" s="88" t="str">
        <f aca="false">IF($B116=EK$12,$O116,"")</f>
        <v/>
      </c>
      <c r="EL116" s="88" t="str">
        <f aca="false">IF($B116=EL$12,$O116,"")</f>
        <v/>
      </c>
      <c r="EM116" s="88" t="str">
        <f aca="false">IF($B116=EM$12,$O116,"")</f>
        <v/>
      </c>
      <c r="EN116" s="88" t="str">
        <f aca="false">IF($B116=EN$12,$O116,"")</f>
        <v/>
      </c>
      <c r="EO116" s="88" t="str">
        <f aca="false">IF($B116=EO$12,$O116,"")</f>
        <v/>
      </c>
      <c r="EP116" s="88" t="str">
        <f aca="false">IF($B116=EP$12,$O116,"")</f>
        <v/>
      </c>
      <c r="EQ116" s="88" t="str">
        <f aca="false">IF($B116=EQ$12,$O116,"")</f>
        <v/>
      </c>
      <c r="ER116" s="88" t="str">
        <f aca="false">IF($B116=ER$12,$O116,"")</f>
        <v/>
      </c>
      <c r="ES116" s="88" t="str">
        <f aca="false">IF($B116=ES$12,$O116,"")</f>
        <v/>
      </c>
      <c r="ET116" s="88" t="str">
        <f aca="false">IF($B116=ET$12,$O116,"")</f>
        <v/>
      </c>
      <c r="EU116" s="88" t="str">
        <f aca="false">IF($B116=EU$12,$O116,"")</f>
        <v/>
      </c>
      <c r="EV116" s="88" t="str">
        <f aca="false">IF($B116=EV$12,$O116,"")</f>
        <v/>
      </c>
      <c r="EW116" s="88" t="str">
        <f aca="false">IF($B116=EW$12,$O116,"")</f>
        <v/>
      </c>
      <c r="EX116" s="88" t="str">
        <f aca="false">IF($B116=EX$12,$O116,"")</f>
        <v/>
      </c>
      <c r="EY116" s="88" t="str">
        <f aca="false">IF($B116=EY$12,$O116,"")</f>
        <v/>
      </c>
      <c r="EZ116" s="88" t="str">
        <f aca="false">IF($B116=EZ$12,$O116,"")</f>
        <v/>
      </c>
      <c r="FA116" s="88" t="str">
        <f aca="false">IF($B116=FA$12,$O116,"")</f>
        <v/>
      </c>
      <c r="FB116" s="88" t="str">
        <f aca="false">IF($B116=FB$12,$O116,"")</f>
        <v/>
      </c>
      <c r="FC116" s="88" t="str">
        <f aca="false">IF($B116=FC$12,$O116,"")</f>
        <v/>
      </c>
      <c r="FD116" s="88" t="str">
        <f aca="false">IF($B116=FD$12,$O116,"")</f>
        <v/>
      </c>
      <c r="FE116" s="88" t="str">
        <f aca="false">IF($B116=FE$12,$O116,"")</f>
        <v/>
      </c>
      <c r="FF116" s="88" t="str">
        <f aca="false">IF($B116=FF$12,$O116,"")</f>
        <v/>
      </c>
      <c r="FG116" s="88" t="str">
        <f aca="false">IF($B116=FG$12,$O116,"")</f>
        <v/>
      </c>
      <c r="FH116" s="88" t="str">
        <f aca="false">IF($B116=FH$12,$O116,"")</f>
        <v/>
      </c>
      <c r="FI116" s="88" t="str">
        <f aca="false">IF($B116=FI$12,$O116,"")</f>
        <v/>
      </c>
      <c r="FJ116" s="88" t="str">
        <f aca="false">IF($B116=FJ$12,$O116,"")</f>
        <v/>
      </c>
      <c r="FK116" s="88" t="str">
        <f aca="false">IF($B116=FK$12,$O116,"")</f>
        <v/>
      </c>
      <c r="FL116" s="88" t="str">
        <f aca="false">IF($B116=FL$12,$O116,"")</f>
        <v/>
      </c>
      <c r="FM116" s="88" t="str">
        <f aca="false">IF($B116=FM$12,$O116,"")</f>
        <v/>
      </c>
      <c r="FN116" s="88" t="str">
        <f aca="false">IF($B116=FN$12,$O116,"")</f>
        <v/>
      </c>
      <c r="FO116" s="88" t="str">
        <f aca="false">IF($B116=FO$12,$O116,"")</f>
        <v/>
      </c>
      <c r="FP116" s="88" t="str">
        <f aca="false">IF($B116=FP$12,$O116,"")</f>
        <v/>
      </c>
      <c r="FQ116" s="88" t="str">
        <f aca="false">IF($B116=FQ$12,$O116,"")</f>
        <v/>
      </c>
      <c r="FR116" s="88" t="str">
        <f aca="false">IF($B116=FR$12,$O116,"")</f>
        <v/>
      </c>
      <c r="FS116" s="88" t="str">
        <f aca="false">IF($B116=FS$12,$O116,"")</f>
        <v/>
      </c>
      <c r="FT116" s="88" t="str">
        <f aca="false">IF($B116=FT$12,$O116,"")</f>
        <v/>
      </c>
      <c r="FU116" s="88" t="str">
        <f aca="false">IF($B116=FU$12,$O116,"")</f>
        <v/>
      </c>
      <c r="FV116" s="88" t="str">
        <f aca="false">IF($B116=FV$12,$O116,"")</f>
        <v/>
      </c>
      <c r="FW116" s="88" t="str">
        <f aca="false">IF($B116=FW$12,$O116,"")</f>
        <v/>
      </c>
      <c r="FX116" s="88" t="str">
        <f aca="false">IF($B116=FX$12,$O116,"")</f>
        <v/>
      </c>
      <c r="FY116" s="88" t="str">
        <f aca="false">IF($B116=FY$12,$O116,"")</f>
        <v/>
      </c>
      <c r="FZ116" s="88" t="str">
        <f aca="false">IF($B116=FZ$12,$O116,"")</f>
        <v/>
      </c>
      <c r="GA116" s="88" t="str">
        <f aca="false">IF($B116=GA$12,$O116,"")</f>
        <v/>
      </c>
      <c r="GB116" s="88" t="str">
        <f aca="false">IF($B116=GB$12,$O116,"")</f>
        <v/>
      </c>
      <c r="GC116" s="88" t="str">
        <f aca="false">IF($B116=GC$12,$O116,"")</f>
        <v/>
      </c>
      <c r="GD116" s="88" t="str">
        <f aca="false">IF($B116=GD$12,$O116,"")</f>
        <v/>
      </c>
      <c r="GE116" s="88" t="str">
        <f aca="false">IF($B116=GE$12,$O116,"")</f>
        <v/>
      </c>
      <c r="GF116" s="88" t="str">
        <f aca="false">IF($B116=GF$12,$O116,"")</f>
        <v/>
      </c>
      <c r="GG116" s="88" t="str">
        <f aca="false">IF($B116=GG$12,$O116,"")</f>
        <v/>
      </c>
      <c r="GH116" s="88" t="str">
        <f aca="false">IF($B116=GH$12,$O116,"")</f>
        <v/>
      </c>
      <c r="GI116" s="88" t="str">
        <f aca="false">IF($B116=GI$12,$O116,"")</f>
        <v/>
      </c>
      <c r="GJ116" s="88" t="str">
        <f aca="false">IF($B116=GJ$12,$O116,"")</f>
        <v/>
      </c>
      <c r="GK116" s="88" t="str">
        <f aca="false">IF($B116=GK$12,$O116,"")</f>
        <v/>
      </c>
      <c r="GL116" s="88" t="str">
        <f aca="false">IF($B116=GL$12,$O116,"")</f>
        <v/>
      </c>
      <c r="GM116" s="88" t="str">
        <f aca="false">IF($B116=GM$12,$O116,"")</f>
        <v/>
      </c>
      <c r="GN116" s="88" t="str">
        <f aca="false">IF($B116=GN$12,$O116,"")</f>
        <v/>
      </c>
      <c r="GO116" s="88" t="str">
        <f aca="false">IF($B116=GO$12,$O116,"")</f>
        <v/>
      </c>
      <c r="GP116" s="88" t="str">
        <f aca="false">IF($B116=GP$12,$O116,"")</f>
        <v/>
      </c>
      <c r="GQ116" s="88" t="str">
        <f aca="false">IF($B116=GQ$12,$O116,"")</f>
        <v/>
      </c>
      <c r="GR116" s="88" t="str">
        <f aca="false">IF($B116=GR$12,$O116,"")</f>
        <v/>
      </c>
      <c r="GS116" s="88" t="str">
        <f aca="false">IF($B116=GS$12,$O116,"")</f>
        <v/>
      </c>
      <c r="GT116" s="88" t="str">
        <f aca="false">IF($B116=GT$12,$O116,"")</f>
        <v/>
      </c>
      <c r="GU116" s="88" t="str">
        <f aca="false">IF($B116=GU$12,$O116,"")</f>
        <v/>
      </c>
      <c r="GV116" s="88" t="str">
        <f aca="false">IF($B116=GV$12,$O116,"")</f>
        <v/>
      </c>
      <c r="GW116" s="88" t="str">
        <f aca="false">IF($B116=GW$12,$O116,"")</f>
        <v/>
      </c>
      <c r="GX116" s="88" t="str">
        <f aca="false">IF($B116=GX$12,$O116,"")</f>
        <v/>
      </c>
      <c r="GY116" s="88" t="str">
        <f aca="false">IF($B116=GY$12,$O116,"")</f>
        <v/>
      </c>
      <c r="GZ116" s="88" t="str">
        <f aca="false">IF($B116=GZ$12,$O116,"")</f>
        <v/>
      </c>
      <c r="HA116" s="88" t="str">
        <f aca="false">IF($B116=HA$12,$O116,"")</f>
        <v/>
      </c>
      <c r="HB116" s="88" t="str">
        <f aca="false">IF($B116=HB$12,$O116,"")</f>
        <v/>
      </c>
      <c r="HC116" s="88" t="str">
        <f aca="false">IF($B116=HC$12,$O116,"")</f>
        <v/>
      </c>
      <c r="HD116" s="88" t="str">
        <f aca="false">IF($B116=HD$12,$O116,"")</f>
        <v/>
      </c>
      <c r="HE116" s="88" t="str">
        <f aca="false">IF($B116=HE$12,$O116,"")</f>
        <v/>
      </c>
      <c r="HF116" s="88" t="str">
        <f aca="false">IF($B116=HF$12,$O116,"")</f>
        <v/>
      </c>
      <c r="HG116" s="88" t="str">
        <f aca="false">IF($B116=HG$12,$O116,"")</f>
        <v/>
      </c>
      <c r="HH116" s="88" t="str">
        <f aca="false">IF($B116=HH$12,$O116,"")</f>
        <v/>
      </c>
      <c r="HI116" s="88" t="str">
        <f aca="false">IF($B116=HI$12,$O116,"")</f>
        <v/>
      </c>
      <c r="HJ116" s="88" t="str">
        <f aca="false">IF($B116=HJ$12,$O116,"")</f>
        <v/>
      </c>
      <c r="HK116" s="88" t="str">
        <f aca="false">IF($B116=HK$12,$O116,"")</f>
        <v/>
      </c>
      <c r="HL116" s="88" t="str">
        <f aca="false">IF($B116=HL$12,$O116,"")</f>
        <v/>
      </c>
      <c r="HM116" s="88" t="str">
        <f aca="false">IF($B116=HM$12,$O116,"")</f>
        <v/>
      </c>
      <c r="HN116" s="88" t="str">
        <f aca="false">IF($B116=HN$12,$O116,"")</f>
        <v/>
      </c>
      <c r="HO116" s="88" t="str">
        <f aca="false">IF($B116=HO$12,$O116,"")</f>
        <v/>
      </c>
      <c r="HP116" s="88" t="str">
        <f aca="false">IF($B116=HP$12,$O116,"")</f>
        <v/>
      </c>
      <c r="HQ116" s="88" t="str">
        <f aca="false">IF($B116=HQ$12,$O116,"")</f>
        <v/>
      </c>
      <c r="HR116" s="89" t="str">
        <f aca="false">IF($B116=HR$12,$O116,"")</f>
        <v/>
      </c>
    </row>
    <row r="117" customFormat="false" ht="10.5" hidden="false" customHeight="true" outlineLevel="0" collapsed="false">
      <c r="A117" s="73"/>
      <c r="B117" s="74"/>
      <c r="C117" s="75" t="str">
        <f aca="false">IF(A117=0,"",VLOOKUP(A117,[3]CO!$A$3:$F$5311,2,0))</f>
        <v/>
      </c>
      <c r="D117" s="76"/>
      <c r="E117" s="76"/>
      <c r="F117" s="76"/>
      <c r="G117" s="77" t="str">
        <f aca="false">IF(A117=0,"",VLOOKUP(A117,[3]CO!$A$3:$F$5311,3,0))</f>
        <v/>
      </c>
      <c r="H117" s="5"/>
      <c r="I117" s="78"/>
      <c r="J117" s="78"/>
      <c r="K117" s="78"/>
      <c r="L117" s="78"/>
      <c r="M117" s="79" t="str">
        <f aca="false">IF(H117&gt;0,H117*Q$107/N117,IF(AND(L117&gt;0,I117&gt;0),L117*I117,IF(L117&gt;0,L117,"")))</f>
        <v/>
      </c>
      <c r="N117" s="79" t="str">
        <f aca="false">IF(B117=0,"",IF(H117="M",HLOOKUP(B117,$Y$12:$DT$13,2),IF(A117=0,"",VLOOKUP(A117,[3]CO!$A$3:$F$5311,4,0))))</f>
        <v/>
      </c>
      <c r="O117" s="79" t="str">
        <f aca="false">IF(L117=0,"",PRODUCT(M117:N117))</f>
        <v/>
      </c>
      <c r="P117" s="80"/>
      <c r="Q117" s="81" t="str">
        <f aca="false">IF(P117=0,"",(HLOOKUP(P117,$DW$12:$HR$13,2)))</f>
        <v/>
      </c>
      <c r="R117" s="82" t="str">
        <f aca="false">IF(S117=0,"",IF(OR(G117="PEON",G117="OF",G117="JARD",G117="CARP",G117="MAESTRO",G117="SOLD",G117="BGRO",G117="CHOFER",G117="AYTE",G117="S.INTTE.",G117="ASEO",G117="P.PISOS",G117="VELADOR",G117="RESID",G117="PINTOR",G117="ELECT",G117="AZULE",G117="AUX CONT.",G117="SECRETARIA",G117="AUXILIAR ADMTVO.",G117="ARQUITECTO",G117="DIBUJANTE",G117="AUX. DE RESIDENTE",G117="TOPOGRAFIA"),VLOOKUP(B117,P$14:Q$431,2),"")*S117)</f>
        <v/>
      </c>
      <c r="S117" s="5"/>
      <c r="T117" s="65" t="str">
        <f aca="false">IF(A117=0,"",VLOOKUP(A117,[3]CO!$A$3:$F$5302,5,0))</f>
        <v/>
      </c>
      <c r="U117" s="55" t="n">
        <f aca="false">IF(T117=1,O117*0.1,)</f>
        <v>0</v>
      </c>
      <c r="V117" s="66"/>
      <c r="W117" s="83"/>
      <c r="X117" s="83"/>
      <c r="Y117" s="84" t="str">
        <f aca="false">IF($B117=Y$12,$U117,"")</f>
        <v/>
      </c>
      <c r="Z117" s="85" t="str">
        <f aca="false">IF($B117=Z$12,$U117,"")</f>
        <v/>
      </c>
      <c r="AA117" s="85" t="str">
        <f aca="false">IF($B117=AA$12,$U117,"")</f>
        <v/>
      </c>
      <c r="AB117" s="85" t="str">
        <f aca="false">IF($B117=AB$12,$U117,"")</f>
        <v/>
      </c>
      <c r="AC117" s="85" t="str">
        <f aca="false">IF($B117=AC$12,$U117,"")</f>
        <v/>
      </c>
      <c r="AD117" s="85" t="str">
        <f aca="false">IF($B117=AD$12,$U117,"")</f>
        <v/>
      </c>
      <c r="AE117" s="85" t="str">
        <f aca="false">IF($B117=AE$12,$U117,"")</f>
        <v/>
      </c>
      <c r="AF117" s="85" t="str">
        <f aca="false">IF($B117=AF$12,$U117,"")</f>
        <v/>
      </c>
      <c r="AG117" s="85" t="str">
        <f aca="false">IF($B117=AG$12,$U117,"")</f>
        <v/>
      </c>
      <c r="AH117" s="85" t="str">
        <f aca="false">IF($B117=AH$12,$U117,"")</f>
        <v/>
      </c>
      <c r="AI117" s="85" t="str">
        <f aca="false">IF($B117=AI$12,$U117,"")</f>
        <v/>
      </c>
      <c r="AJ117" s="85" t="str">
        <f aca="false">IF($B117=AJ$12,$U117,"")</f>
        <v/>
      </c>
      <c r="AK117" s="85" t="str">
        <f aca="false">IF($B117=AK$12,$U117,"")</f>
        <v/>
      </c>
      <c r="AL117" s="85" t="str">
        <f aca="false">IF($B117=AL$12,$U117,"")</f>
        <v/>
      </c>
      <c r="AM117" s="85" t="str">
        <f aca="false">IF($B117=AM$12,$U117,"")</f>
        <v/>
      </c>
      <c r="AN117" s="85" t="str">
        <f aca="false">IF($B117=AN$12,$U117,"")</f>
        <v/>
      </c>
      <c r="AO117" s="85" t="str">
        <f aca="false">IF($B117=AO$12,$U117,"")</f>
        <v/>
      </c>
      <c r="AP117" s="85" t="str">
        <f aca="false">IF($B117=AP$12,$U117,"")</f>
        <v/>
      </c>
      <c r="AQ117" s="85" t="str">
        <f aca="false">IF($B117=AQ$12,$U117,"")</f>
        <v/>
      </c>
      <c r="AR117" s="85" t="str">
        <f aca="false">IF($B117=AR$12,$U117,"")</f>
        <v/>
      </c>
      <c r="AS117" s="85" t="str">
        <f aca="false">IF($B117=AS$12,$U117,"")</f>
        <v/>
      </c>
      <c r="AT117" s="85" t="str">
        <f aca="false">IF($B117=AT$12,$U117,"")</f>
        <v/>
      </c>
      <c r="AU117" s="85" t="str">
        <f aca="false">IF($B117=AU$12,$U117,"")</f>
        <v/>
      </c>
      <c r="AV117" s="85" t="str">
        <f aca="false">IF($B117=AV$12,$U117,"")</f>
        <v/>
      </c>
      <c r="AW117" s="85" t="str">
        <f aca="false">IF($B117=AW$12,$U117,"")</f>
        <v/>
      </c>
      <c r="AX117" s="85" t="str">
        <f aca="false">IF($B117=AX$12,$U117,"")</f>
        <v/>
      </c>
      <c r="AY117" s="85" t="str">
        <f aca="false">IF($B117=AY$12,$U117,"")</f>
        <v/>
      </c>
      <c r="AZ117" s="85" t="str">
        <f aca="false">IF($B117=AZ$12,$U117,"")</f>
        <v/>
      </c>
      <c r="BA117" s="85" t="str">
        <f aca="false">IF($B117=BA$12,$U117,"")</f>
        <v/>
      </c>
      <c r="BB117" s="85" t="str">
        <f aca="false">IF($B117=BB$12,$U117,"")</f>
        <v/>
      </c>
      <c r="BC117" s="85" t="str">
        <f aca="false">IF($B117=BC$12,$U117,"")</f>
        <v/>
      </c>
      <c r="BD117" s="85" t="str">
        <f aca="false">IF($B117=BD$12,$U117,"")</f>
        <v/>
      </c>
      <c r="BE117" s="85" t="str">
        <f aca="false">IF($B117=BE$12,$U117,"")</f>
        <v/>
      </c>
      <c r="BF117" s="85" t="str">
        <f aca="false">IF($B117=BF$12,$U117,"")</f>
        <v/>
      </c>
      <c r="BG117" s="85" t="str">
        <f aca="false">IF($B117=BG$12,$U117,"")</f>
        <v/>
      </c>
      <c r="BH117" s="85" t="str">
        <f aca="false">IF($B117=BH$12,$U117,"")</f>
        <v/>
      </c>
      <c r="BI117" s="85" t="str">
        <f aca="false">IF($B117=BI$12,$U117,"")</f>
        <v/>
      </c>
      <c r="BJ117" s="85" t="str">
        <f aca="false">IF($B117=BJ$12,$U117,"")</f>
        <v/>
      </c>
      <c r="BK117" s="85" t="str">
        <f aca="false">IF($B117=BK$12,$U117,"")</f>
        <v/>
      </c>
      <c r="BL117" s="85" t="str">
        <f aca="false">IF($B117=BL$12,$U117,"")</f>
        <v/>
      </c>
      <c r="BM117" s="85" t="str">
        <f aca="false">IF($B117=BM$12,$U117,"")</f>
        <v/>
      </c>
      <c r="BN117" s="85" t="str">
        <f aca="false">IF($B117=BN$12,$U117,"")</f>
        <v/>
      </c>
      <c r="BO117" s="85" t="str">
        <f aca="false">IF($B117=BO$12,$U117,"")</f>
        <v/>
      </c>
      <c r="BP117" s="85" t="str">
        <f aca="false">IF($B117=BP$12,$U117,"")</f>
        <v/>
      </c>
      <c r="BQ117" s="85" t="str">
        <f aca="false">IF($B117=BQ$12,$U117,"")</f>
        <v/>
      </c>
      <c r="BR117" s="85" t="str">
        <f aca="false">IF($B117=BR$12,$U117,"")</f>
        <v/>
      </c>
      <c r="BS117" s="85" t="str">
        <f aca="false">IF($B117=BS$12,$U117,"")</f>
        <v/>
      </c>
      <c r="BT117" s="85" t="str">
        <f aca="false">IF($B117=BT$12,$U117,"")</f>
        <v/>
      </c>
      <c r="BU117" s="85" t="str">
        <f aca="false">IF($B117=BU$12,$U117,"")</f>
        <v/>
      </c>
      <c r="BV117" s="85" t="str">
        <f aca="false">IF($B117=BV$12,$U117,"")</f>
        <v/>
      </c>
      <c r="BW117" s="85" t="str">
        <f aca="false">IF($B117=BW$12,$U117,"")</f>
        <v/>
      </c>
      <c r="BX117" s="85" t="str">
        <f aca="false">IF($B117=BX$12,$U117,"")</f>
        <v/>
      </c>
      <c r="BY117" s="85" t="str">
        <f aca="false">IF($B117=BY$12,$U117,"")</f>
        <v/>
      </c>
      <c r="BZ117" s="85" t="str">
        <f aca="false">IF($B117=BZ$12,$U117,"")</f>
        <v/>
      </c>
      <c r="CA117" s="85" t="str">
        <f aca="false">IF($B117=CA$12,$U117,"")</f>
        <v/>
      </c>
      <c r="CB117" s="85" t="str">
        <f aca="false">IF($B117=CB$12,$U117,"")</f>
        <v/>
      </c>
      <c r="CC117" s="85" t="str">
        <f aca="false">IF($B117=CC$12,$U117,"")</f>
        <v/>
      </c>
      <c r="CD117" s="85" t="str">
        <f aca="false">IF($B117=CD$12,$U117,"")</f>
        <v/>
      </c>
      <c r="CE117" s="85" t="str">
        <f aca="false">IF($B117=CE$12,$U117,"")</f>
        <v/>
      </c>
      <c r="CF117" s="85" t="str">
        <f aca="false">IF($B117=CF$12,$U117,"")</f>
        <v/>
      </c>
      <c r="CG117" s="85" t="str">
        <f aca="false">IF($B117=CG$12,$U117,"")</f>
        <v/>
      </c>
      <c r="CH117" s="85" t="str">
        <f aca="false">IF($B117=CH$12,$U117,"")</f>
        <v/>
      </c>
      <c r="CI117" s="85" t="str">
        <f aca="false">IF($B117=CI$12,$U117,"")</f>
        <v/>
      </c>
      <c r="CJ117" s="85" t="str">
        <f aca="false">IF($B117=CJ$12,$U117,"")</f>
        <v/>
      </c>
      <c r="CK117" s="85" t="str">
        <f aca="false">IF($B117=CK$12,$U117,"")</f>
        <v/>
      </c>
      <c r="CL117" s="85" t="str">
        <f aca="false">IF($B117=CL$12,$U117,"")</f>
        <v/>
      </c>
      <c r="CM117" s="85" t="str">
        <f aca="false">IF($B117=CM$12,$U117,"")</f>
        <v/>
      </c>
      <c r="CN117" s="85" t="str">
        <f aca="false">IF($B117=CN$12,$U117,"")</f>
        <v/>
      </c>
      <c r="CO117" s="85" t="str">
        <f aca="false">IF($B117=CO$12,$U117,"")</f>
        <v/>
      </c>
      <c r="CP117" s="85" t="str">
        <f aca="false">IF($B117=CP$12,$U117,"")</f>
        <v/>
      </c>
      <c r="CQ117" s="85" t="str">
        <f aca="false">IF($B117=CQ$12,$U117,"")</f>
        <v/>
      </c>
      <c r="CR117" s="85" t="str">
        <f aca="false">IF($B117=CR$12,$U117,"")</f>
        <v/>
      </c>
      <c r="CS117" s="85" t="str">
        <f aca="false">IF($B117=CS$12,$U117,"")</f>
        <v/>
      </c>
      <c r="CT117" s="85" t="str">
        <f aca="false">IF($B117=CT$12,$U117,"")</f>
        <v/>
      </c>
      <c r="CU117" s="85" t="str">
        <f aca="false">IF($B117=CU$12,$U117,"")</f>
        <v/>
      </c>
      <c r="CV117" s="85" t="str">
        <f aca="false">IF($B117=CV$12,$U117,"")</f>
        <v/>
      </c>
      <c r="CW117" s="85" t="str">
        <f aca="false">IF($B117=CW$12,$U117,"")</f>
        <v/>
      </c>
      <c r="CX117" s="85" t="str">
        <f aca="false">IF($B117=CX$12,$U117,"")</f>
        <v/>
      </c>
      <c r="CY117" s="85" t="str">
        <f aca="false">IF($B117=CY$12,$U117,"")</f>
        <v/>
      </c>
      <c r="CZ117" s="85" t="str">
        <f aca="false">IF($B117=CZ$12,$U117,"")</f>
        <v/>
      </c>
      <c r="DA117" s="85" t="str">
        <f aca="false">IF($B117=DA$12,$U117,"")</f>
        <v/>
      </c>
      <c r="DB117" s="85" t="str">
        <f aca="false">IF($B117=DB$12,$U117,"")</f>
        <v/>
      </c>
      <c r="DC117" s="85" t="str">
        <f aca="false">IF($B117=DC$12,$U117,"")</f>
        <v/>
      </c>
      <c r="DD117" s="85" t="str">
        <f aca="false">IF($B117=DD$12,$U117,"")</f>
        <v/>
      </c>
      <c r="DE117" s="85" t="str">
        <f aca="false">IF($B117=DE$12,$U117,"")</f>
        <v/>
      </c>
      <c r="DF117" s="85" t="str">
        <f aca="false">IF($B117=DF$12,$U117,"")</f>
        <v/>
      </c>
      <c r="DG117" s="85" t="str">
        <f aca="false">IF($B117=DG$12,$U117,"")</f>
        <v/>
      </c>
      <c r="DH117" s="85" t="str">
        <f aca="false">IF($B117=DH$12,$U117,"")</f>
        <v/>
      </c>
      <c r="DI117" s="85" t="str">
        <f aca="false">IF($B117=DI$12,$U117,"")</f>
        <v/>
      </c>
      <c r="DJ117" s="85" t="str">
        <f aca="false">IF($B117=DJ$12,$U117,"")</f>
        <v/>
      </c>
      <c r="DK117" s="85" t="str">
        <f aca="false">IF($B117=DK$12,$U117,"")</f>
        <v/>
      </c>
      <c r="DL117" s="85" t="str">
        <f aca="false">IF($B117=DL$12,$U117,"")</f>
        <v/>
      </c>
      <c r="DM117" s="85" t="str">
        <f aca="false">IF($B117=DM$12,$U117,"")</f>
        <v/>
      </c>
      <c r="DN117" s="85" t="str">
        <f aca="false">IF($B117=DN$12,$U117,"")</f>
        <v/>
      </c>
      <c r="DO117" s="85" t="str">
        <f aca="false">IF($B117=DO$12,$U117,"")</f>
        <v/>
      </c>
      <c r="DP117" s="85" t="str">
        <f aca="false">IF($B117=DP$12,$U117,"")</f>
        <v/>
      </c>
      <c r="DQ117" s="85" t="str">
        <f aca="false">IF($B117=DQ$12,$U117,"")</f>
        <v/>
      </c>
      <c r="DR117" s="85" t="str">
        <f aca="false">IF($B117=DR$12,$U117,"")</f>
        <v/>
      </c>
      <c r="DS117" s="85" t="str">
        <f aca="false">IF($B117=DS$12,$U117,"")</f>
        <v/>
      </c>
      <c r="DT117" s="86" t="str">
        <f aca="false">IF($B117=DT$12,$U117,"")</f>
        <v/>
      </c>
      <c r="DU117" s="55"/>
      <c r="DV117" s="83"/>
      <c r="DW117" s="87" t="str">
        <f aca="false">IF($B117=DW$12,$O117,"")</f>
        <v/>
      </c>
      <c r="DX117" s="88" t="str">
        <f aca="false">IF($B117=DX$12,$O117,"")</f>
        <v/>
      </c>
      <c r="DY117" s="88" t="str">
        <f aca="false">IF($B117=DY$12,$O117,"")</f>
        <v/>
      </c>
      <c r="DZ117" s="88" t="str">
        <f aca="false">IF($B117=DZ$12,$O117,"")</f>
        <v/>
      </c>
      <c r="EA117" s="88" t="str">
        <f aca="false">IF($B117=EA$12,$O117,"")</f>
        <v/>
      </c>
      <c r="EB117" s="88" t="str">
        <f aca="false">IF($B117=EB$12,$O117,"")</f>
        <v/>
      </c>
      <c r="EC117" s="88" t="str">
        <f aca="false">IF($B117=EC$12,$O117,"")</f>
        <v/>
      </c>
      <c r="ED117" s="88" t="str">
        <f aca="false">IF($B117=ED$12,$O117,"")</f>
        <v/>
      </c>
      <c r="EE117" s="88" t="str">
        <f aca="false">IF($B117=EE$12,$O117,"")</f>
        <v/>
      </c>
      <c r="EF117" s="88" t="str">
        <f aca="false">IF($B117=EF$12,$O117,"")</f>
        <v/>
      </c>
      <c r="EG117" s="88" t="str">
        <f aca="false">IF($B117=EG$12,$O117,"")</f>
        <v/>
      </c>
      <c r="EH117" s="88" t="str">
        <f aca="false">IF($B117=EH$12,$O117,"")</f>
        <v/>
      </c>
      <c r="EI117" s="88" t="str">
        <f aca="false">IF($B117=EI$12,$O117,"")</f>
        <v/>
      </c>
      <c r="EJ117" s="88" t="str">
        <f aca="false">IF($B117=EJ$12,$O117,"")</f>
        <v/>
      </c>
      <c r="EK117" s="88" t="str">
        <f aca="false">IF($B117=EK$12,$O117,"")</f>
        <v/>
      </c>
      <c r="EL117" s="88" t="str">
        <f aca="false">IF($B117=EL$12,$O117,"")</f>
        <v/>
      </c>
      <c r="EM117" s="88" t="str">
        <f aca="false">IF($B117=EM$12,$O117,"")</f>
        <v/>
      </c>
      <c r="EN117" s="88" t="str">
        <f aca="false">IF($B117=EN$12,$O117,"")</f>
        <v/>
      </c>
      <c r="EO117" s="88" t="str">
        <f aca="false">IF($B117=EO$12,$O117,"")</f>
        <v/>
      </c>
      <c r="EP117" s="88" t="str">
        <f aca="false">IF($B117=EP$12,$O117,"")</f>
        <v/>
      </c>
      <c r="EQ117" s="88" t="str">
        <f aca="false">IF($B117=EQ$12,$O117,"")</f>
        <v/>
      </c>
      <c r="ER117" s="88" t="str">
        <f aca="false">IF($B117=ER$12,$O117,"")</f>
        <v/>
      </c>
      <c r="ES117" s="88" t="str">
        <f aca="false">IF($B117=ES$12,$O117,"")</f>
        <v/>
      </c>
      <c r="ET117" s="88" t="str">
        <f aca="false">IF($B117=ET$12,$O117,"")</f>
        <v/>
      </c>
      <c r="EU117" s="88" t="str">
        <f aca="false">IF($B117=EU$12,$O117,"")</f>
        <v/>
      </c>
      <c r="EV117" s="88" t="str">
        <f aca="false">IF($B117=EV$12,$O117,"")</f>
        <v/>
      </c>
      <c r="EW117" s="88" t="str">
        <f aca="false">IF($B117=EW$12,$O117,"")</f>
        <v/>
      </c>
      <c r="EX117" s="88" t="str">
        <f aca="false">IF($B117=EX$12,$O117,"")</f>
        <v/>
      </c>
      <c r="EY117" s="88" t="str">
        <f aca="false">IF($B117=EY$12,$O117,"")</f>
        <v/>
      </c>
      <c r="EZ117" s="88" t="str">
        <f aca="false">IF($B117=EZ$12,$O117,"")</f>
        <v/>
      </c>
      <c r="FA117" s="88" t="str">
        <f aca="false">IF($B117=FA$12,$O117,"")</f>
        <v/>
      </c>
      <c r="FB117" s="88" t="str">
        <f aca="false">IF($B117=FB$12,$O117,"")</f>
        <v/>
      </c>
      <c r="FC117" s="88" t="str">
        <f aca="false">IF($B117=FC$12,$O117,"")</f>
        <v/>
      </c>
      <c r="FD117" s="88" t="str">
        <f aca="false">IF($B117=FD$12,$O117,"")</f>
        <v/>
      </c>
      <c r="FE117" s="88" t="str">
        <f aca="false">IF($B117=FE$12,$O117,"")</f>
        <v/>
      </c>
      <c r="FF117" s="88" t="str">
        <f aca="false">IF($B117=FF$12,$O117,"")</f>
        <v/>
      </c>
      <c r="FG117" s="88" t="str">
        <f aca="false">IF($B117=FG$12,$O117,"")</f>
        <v/>
      </c>
      <c r="FH117" s="88" t="str">
        <f aca="false">IF($B117=FH$12,$O117,"")</f>
        <v/>
      </c>
      <c r="FI117" s="88" t="str">
        <f aca="false">IF($B117=FI$12,$O117,"")</f>
        <v/>
      </c>
      <c r="FJ117" s="88" t="str">
        <f aca="false">IF($B117=FJ$12,$O117,"")</f>
        <v/>
      </c>
      <c r="FK117" s="88" t="str">
        <f aca="false">IF($B117=FK$12,$O117,"")</f>
        <v/>
      </c>
      <c r="FL117" s="88" t="str">
        <f aca="false">IF($B117=FL$12,$O117,"")</f>
        <v/>
      </c>
      <c r="FM117" s="88" t="str">
        <f aca="false">IF($B117=FM$12,$O117,"")</f>
        <v/>
      </c>
      <c r="FN117" s="88" t="str">
        <f aca="false">IF($B117=FN$12,$O117,"")</f>
        <v/>
      </c>
      <c r="FO117" s="88" t="str">
        <f aca="false">IF($B117=FO$12,$O117,"")</f>
        <v/>
      </c>
      <c r="FP117" s="88" t="str">
        <f aca="false">IF($B117=FP$12,$O117,"")</f>
        <v/>
      </c>
      <c r="FQ117" s="88" t="str">
        <f aca="false">IF($B117=FQ$12,$O117,"")</f>
        <v/>
      </c>
      <c r="FR117" s="88" t="str">
        <f aca="false">IF($B117=FR$12,$O117,"")</f>
        <v/>
      </c>
      <c r="FS117" s="88" t="str">
        <f aca="false">IF($B117=FS$12,$O117,"")</f>
        <v/>
      </c>
      <c r="FT117" s="88" t="str">
        <f aca="false">IF($B117=FT$12,$O117,"")</f>
        <v/>
      </c>
      <c r="FU117" s="88" t="str">
        <f aca="false">IF($B117=FU$12,$O117,"")</f>
        <v/>
      </c>
      <c r="FV117" s="88" t="str">
        <f aca="false">IF($B117=FV$12,$O117,"")</f>
        <v/>
      </c>
      <c r="FW117" s="88" t="str">
        <f aca="false">IF($B117=FW$12,$O117,"")</f>
        <v/>
      </c>
      <c r="FX117" s="88" t="str">
        <f aca="false">IF($B117=FX$12,$O117,"")</f>
        <v/>
      </c>
      <c r="FY117" s="88" t="str">
        <f aca="false">IF($B117=FY$12,$O117,"")</f>
        <v/>
      </c>
      <c r="FZ117" s="88" t="str">
        <f aca="false">IF($B117=FZ$12,$O117,"")</f>
        <v/>
      </c>
      <c r="GA117" s="88" t="str">
        <f aca="false">IF($B117=GA$12,$O117,"")</f>
        <v/>
      </c>
      <c r="GB117" s="88" t="str">
        <f aca="false">IF($B117=GB$12,$O117,"")</f>
        <v/>
      </c>
      <c r="GC117" s="88" t="str">
        <f aca="false">IF($B117=GC$12,$O117,"")</f>
        <v/>
      </c>
      <c r="GD117" s="88" t="str">
        <f aca="false">IF($B117=GD$12,$O117,"")</f>
        <v/>
      </c>
      <c r="GE117" s="88" t="str">
        <f aca="false">IF($B117=GE$12,$O117,"")</f>
        <v/>
      </c>
      <c r="GF117" s="88" t="str">
        <f aca="false">IF($B117=GF$12,$O117,"")</f>
        <v/>
      </c>
      <c r="GG117" s="88" t="str">
        <f aca="false">IF($B117=GG$12,$O117,"")</f>
        <v/>
      </c>
      <c r="GH117" s="88" t="str">
        <f aca="false">IF($B117=GH$12,$O117,"")</f>
        <v/>
      </c>
      <c r="GI117" s="88" t="str">
        <f aca="false">IF($B117=GI$12,$O117,"")</f>
        <v/>
      </c>
      <c r="GJ117" s="88" t="str">
        <f aca="false">IF($B117=GJ$12,$O117,"")</f>
        <v/>
      </c>
      <c r="GK117" s="88" t="str">
        <f aca="false">IF($B117=GK$12,$O117,"")</f>
        <v/>
      </c>
      <c r="GL117" s="88" t="str">
        <f aca="false">IF($B117=GL$12,$O117,"")</f>
        <v/>
      </c>
      <c r="GM117" s="88" t="str">
        <f aca="false">IF($B117=GM$12,$O117,"")</f>
        <v/>
      </c>
      <c r="GN117" s="88" t="str">
        <f aca="false">IF($B117=GN$12,$O117,"")</f>
        <v/>
      </c>
      <c r="GO117" s="88" t="str">
        <f aca="false">IF($B117=GO$12,$O117,"")</f>
        <v/>
      </c>
      <c r="GP117" s="88" t="str">
        <f aca="false">IF($B117=GP$12,$O117,"")</f>
        <v/>
      </c>
      <c r="GQ117" s="88" t="str">
        <f aca="false">IF($B117=GQ$12,$O117,"")</f>
        <v/>
      </c>
      <c r="GR117" s="88" t="str">
        <f aca="false">IF($B117=GR$12,$O117,"")</f>
        <v/>
      </c>
      <c r="GS117" s="88" t="str">
        <f aca="false">IF($B117=GS$12,$O117,"")</f>
        <v/>
      </c>
      <c r="GT117" s="88" t="str">
        <f aca="false">IF($B117=GT$12,$O117,"")</f>
        <v/>
      </c>
      <c r="GU117" s="88" t="str">
        <f aca="false">IF($B117=GU$12,$O117,"")</f>
        <v/>
      </c>
      <c r="GV117" s="88" t="str">
        <f aca="false">IF($B117=GV$12,$O117,"")</f>
        <v/>
      </c>
      <c r="GW117" s="88" t="str">
        <f aca="false">IF($B117=GW$12,$O117,"")</f>
        <v/>
      </c>
      <c r="GX117" s="88" t="str">
        <f aca="false">IF($B117=GX$12,$O117,"")</f>
        <v/>
      </c>
      <c r="GY117" s="88" t="str">
        <f aca="false">IF($B117=GY$12,$O117,"")</f>
        <v/>
      </c>
      <c r="GZ117" s="88" t="str">
        <f aca="false">IF($B117=GZ$12,$O117,"")</f>
        <v/>
      </c>
      <c r="HA117" s="88" t="str">
        <f aca="false">IF($B117=HA$12,$O117,"")</f>
        <v/>
      </c>
      <c r="HB117" s="88" t="str">
        <f aca="false">IF($B117=HB$12,$O117,"")</f>
        <v/>
      </c>
      <c r="HC117" s="88" t="str">
        <f aca="false">IF($B117=HC$12,$O117,"")</f>
        <v/>
      </c>
      <c r="HD117" s="88" t="str">
        <f aca="false">IF($B117=HD$12,$O117,"")</f>
        <v/>
      </c>
      <c r="HE117" s="88" t="str">
        <f aca="false">IF($B117=HE$12,$O117,"")</f>
        <v/>
      </c>
      <c r="HF117" s="88" t="str">
        <f aca="false">IF($B117=HF$12,$O117,"")</f>
        <v/>
      </c>
      <c r="HG117" s="88" t="str">
        <f aca="false">IF($B117=HG$12,$O117,"")</f>
        <v/>
      </c>
      <c r="HH117" s="88" t="str">
        <f aca="false">IF($B117=HH$12,$O117,"")</f>
        <v/>
      </c>
      <c r="HI117" s="88" t="str">
        <f aca="false">IF($B117=HI$12,$O117,"")</f>
        <v/>
      </c>
      <c r="HJ117" s="88" t="str">
        <f aca="false">IF($B117=HJ$12,$O117,"")</f>
        <v/>
      </c>
      <c r="HK117" s="88" t="str">
        <f aca="false">IF($B117=HK$12,$O117,"")</f>
        <v/>
      </c>
      <c r="HL117" s="88" t="str">
        <f aca="false">IF($B117=HL$12,$O117,"")</f>
        <v/>
      </c>
      <c r="HM117" s="88" t="str">
        <f aca="false">IF($B117=HM$12,$O117,"")</f>
        <v/>
      </c>
      <c r="HN117" s="88" t="str">
        <f aca="false">IF($B117=HN$12,$O117,"")</f>
        <v/>
      </c>
      <c r="HO117" s="88" t="str">
        <f aca="false">IF($B117=HO$12,$O117,"")</f>
        <v/>
      </c>
      <c r="HP117" s="88" t="str">
        <f aca="false">IF($B117=HP$12,$O117,"")</f>
        <v/>
      </c>
      <c r="HQ117" s="88" t="str">
        <f aca="false">IF($B117=HQ$12,$O117,"")</f>
        <v/>
      </c>
      <c r="HR117" s="89" t="str">
        <f aca="false">IF($B117=HR$12,$O117,"")</f>
        <v/>
      </c>
    </row>
    <row r="118" customFormat="false" ht="10.5" hidden="false" customHeight="true" outlineLevel="0" collapsed="false">
      <c r="A118" s="73"/>
      <c r="B118" s="74"/>
      <c r="C118" s="75" t="str">
        <f aca="false">IF(A118=0,"",VLOOKUP(A118,[3]CO!$A$3:$F$5311,2,0))</f>
        <v/>
      </c>
      <c r="D118" s="76"/>
      <c r="E118" s="76"/>
      <c r="F118" s="76"/>
      <c r="G118" s="77" t="str">
        <f aca="false">IF(A118=0,"",VLOOKUP(A118,[3]CO!$A$3:$F$5311,3,0))</f>
        <v/>
      </c>
      <c r="H118" s="5"/>
      <c r="I118" s="78"/>
      <c r="J118" s="78"/>
      <c r="K118" s="78"/>
      <c r="L118" s="78"/>
      <c r="M118" s="79" t="str">
        <f aca="false">IF(H118&gt;0,H118*Q$107/N118,IF(AND(L118&gt;0,I118&gt;0),L118*I118,IF(L118&gt;0,L118,"")))</f>
        <v/>
      </c>
      <c r="N118" s="79" t="str">
        <f aca="false">IF(B118=0,"",IF(H118="M",HLOOKUP(B118,$Y$12:$DT$13,2),IF(A118=0,"",VLOOKUP(A118,[3]CO!$A$3:$F$5311,4,0))))</f>
        <v/>
      </c>
      <c r="O118" s="79" t="str">
        <f aca="false">IF(L118=0,"",PRODUCT(M118:N118))</f>
        <v/>
      </c>
      <c r="P118" s="80"/>
      <c r="Q118" s="81" t="str">
        <f aca="false">IF(P118=0,"",(HLOOKUP(P118,$DW$12:$HR$13,2)))</f>
        <v/>
      </c>
      <c r="R118" s="82" t="str">
        <f aca="false">IF(S118=0,"",IF(OR(G118="PEON",G118="OF",G118="JARD",G118="CARP",G118="MAESTRO",G118="SOLD",G118="BGRO",G118="CHOFER",G118="AYTE",G118="S.INTTE.",G118="ASEO",G118="P.PISOS",G118="VELADOR",G118="RESID",G118="PINTOR",G118="ELECT",G118="AZULE",G118="AUX CONT.",G118="SECRETARIA",G118="AUXILIAR ADMTVO.",G118="ARQUITECTO",G118="DIBUJANTE",G118="AUX. DE RESIDENTE",G118="TOPOGRAFIA"),VLOOKUP(B118,P$14:Q$431,2),"")*S118)</f>
        <v/>
      </c>
      <c r="S118" s="5"/>
      <c r="T118" s="65" t="str">
        <f aca="false">IF(A118=0,"",VLOOKUP(A118,[3]CO!$A$3:$F$5302,5,0))</f>
        <v/>
      </c>
      <c r="U118" s="55" t="n">
        <f aca="false">IF(T118=1,O118*0.1,)</f>
        <v>0</v>
      </c>
      <c r="V118" s="66"/>
      <c r="W118" s="83"/>
      <c r="X118" s="83"/>
      <c r="Y118" s="84" t="str">
        <f aca="false">IF($B118=Y$12,$U118,"")</f>
        <v/>
      </c>
      <c r="Z118" s="85" t="str">
        <f aca="false">IF($B118=Z$12,$U118,"")</f>
        <v/>
      </c>
      <c r="AA118" s="85" t="str">
        <f aca="false">IF($B118=AA$12,$U118,"")</f>
        <v/>
      </c>
      <c r="AB118" s="85" t="str">
        <f aca="false">IF($B118=AB$12,$U118,"")</f>
        <v/>
      </c>
      <c r="AC118" s="85" t="str">
        <f aca="false">IF($B118=AC$12,$U118,"")</f>
        <v/>
      </c>
      <c r="AD118" s="85" t="str">
        <f aca="false">IF($B118=AD$12,$U118,"")</f>
        <v/>
      </c>
      <c r="AE118" s="85" t="str">
        <f aca="false">IF($B118=AE$12,$U118,"")</f>
        <v/>
      </c>
      <c r="AF118" s="85" t="str">
        <f aca="false">IF($B118=AF$12,$U118,"")</f>
        <v/>
      </c>
      <c r="AG118" s="85" t="str">
        <f aca="false">IF($B118=AG$12,$U118,"")</f>
        <v/>
      </c>
      <c r="AH118" s="85" t="str">
        <f aca="false">IF($B118=AH$12,$U118,"")</f>
        <v/>
      </c>
      <c r="AI118" s="85" t="str">
        <f aca="false">IF($B118=AI$12,$U118,"")</f>
        <v/>
      </c>
      <c r="AJ118" s="85" t="str">
        <f aca="false">IF($B118=AJ$12,$U118,"")</f>
        <v/>
      </c>
      <c r="AK118" s="85" t="str">
        <f aca="false">IF($B118=AK$12,$U118,"")</f>
        <v/>
      </c>
      <c r="AL118" s="85" t="str">
        <f aca="false">IF($B118=AL$12,$U118,"")</f>
        <v/>
      </c>
      <c r="AM118" s="85" t="str">
        <f aca="false">IF($B118=AM$12,$U118,"")</f>
        <v/>
      </c>
      <c r="AN118" s="85" t="str">
        <f aca="false">IF($B118=AN$12,$U118,"")</f>
        <v/>
      </c>
      <c r="AO118" s="85" t="str">
        <f aca="false">IF($B118=AO$12,$U118,"")</f>
        <v/>
      </c>
      <c r="AP118" s="85" t="str">
        <f aca="false">IF($B118=AP$12,$U118,"")</f>
        <v/>
      </c>
      <c r="AQ118" s="85" t="str">
        <f aca="false">IF($B118=AQ$12,$U118,"")</f>
        <v/>
      </c>
      <c r="AR118" s="85" t="str">
        <f aca="false">IF($B118=AR$12,$U118,"")</f>
        <v/>
      </c>
      <c r="AS118" s="85" t="str">
        <f aca="false">IF($B118=AS$12,$U118,"")</f>
        <v/>
      </c>
      <c r="AT118" s="85" t="str">
        <f aca="false">IF($B118=AT$12,$U118,"")</f>
        <v/>
      </c>
      <c r="AU118" s="85" t="str">
        <f aca="false">IF($B118=AU$12,$U118,"")</f>
        <v/>
      </c>
      <c r="AV118" s="85" t="str">
        <f aca="false">IF($B118=AV$12,$U118,"")</f>
        <v/>
      </c>
      <c r="AW118" s="85" t="str">
        <f aca="false">IF($B118=AW$12,$U118,"")</f>
        <v/>
      </c>
      <c r="AX118" s="85" t="str">
        <f aca="false">IF($B118=AX$12,$U118,"")</f>
        <v/>
      </c>
      <c r="AY118" s="85" t="str">
        <f aca="false">IF($B118=AY$12,$U118,"")</f>
        <v/>
      </c>
      <c r="AZ118" s="85" t="str">
        <f aca="false">IF($B118=AZ$12,$U118,"")</f>
        <v/>
      </c>
      <c r="BA118" s="85" t="str">
        <f aca="false">IF($B118=BA$12,$U118,"")</f>
        <v/>
      </c>
      <c r="BB118" s="85" t="str">
        <f aca="false">IF($B118=BB$12,$U118,"")</f>
        <v/>
      </c>
      <c r="BC118" s="85" t="str">
        <f aca="false">IF($B118=BC$12,$U118,"")</f>
        <v/>
      </c>
      <c r="BD118" s="85" t="str">
        <f aca="false">IF($B118=BD$12,$U118,"")</f>
        <v/>
      </c>
      <c r="BE118" s="85" t="str">
        <f aca="false">IF($B118=BE$12,$U118,"")</f>
        <v/>
      </c>
      <c r="BF118" s="85" t="str">
        <f aca="false">IF($B118=BF$12,$U118,"")</f>
        <v/>
      </c>
      <c r="BG118" s="85" t="str">
        <f aca="false">IF($B118=BG$12,$U118,"")</f>
        <v/>
      </c>
      <c r="BH118" s="85" t="str">
        <f aca="false">IF($B118=BH$12,$U118,"")</f>
        <v/>
      </c>
      <c r="BI118" s="85" t="str">
        <f aca="false">IF($B118=BI$12,$U118,"")</f>
        <v/>
      </c>
      <c r="BJ118" s="85" t="str">
        <f aca="false">IF($B118=BJ$12,$U118,"")</f>
        <v/>
      </c>
      <c r="BK118" s="85" t="str">
        <f aca="false">IF($B118=BK$12,$U118,"")</f>
        <v/>
      </c>
      <c r="BL118" s="85" t="str">
        <f aca="false">IF($B118=BL$12,$U118,"")</f>
        <v/>
      </c>
      <c r="BM118" s="85" t="str">
        <f aca="false">IF($B118=BM$12,$U118,"")</f>
        <v/>
      </c>
      <c r="BN118" s="85" t="str">
        <f aca="false">IF($B118=BN$12,$U118,"")</f>
        <v/>
      </c>
      <c r="BO118" s="85" t="str">
        <f aca="false">IF($B118=BO$12,$U118,"")</f>
        <v/>
      </c>
      <c r="BP118" s="85" t="str">
        <f aca="false">IF($B118=BP$12,$U118,"")</f>
        <v/>
      </c>
      <c r="BQ118" s="85" t="str">
        <f aca="false">IF($B118=BQ$12,$U118,"")</f>
        <v/>
      </c>
      <c r="BR118" s="85" t="str">
        <f aca="false">IF($B118=BR$12,$U118,"")</f>
        <v/>
      </c>
      <c r="BS118" s="85" t="str">
        <f aca="false">IF($B118=BS$12,$U118,"")</f>
        <v/>
      </c>
      <c r="BT118" s="85" t="str">
        <f aca="false">IF($B118=BT$12,$U118,"")</f>
        <v/>
      </c>
      <c r="BU118" s="85" t="str">
        <f aca="false">IF($B118=BU$12,$U118,"")</f>
        <v/>
      </c>
      <c r="BV118" s="85" t="str">
        <f aca="false">IF($B118=BV$12,$U118,"")</f>
        <v/>
      </c>
      <c r="BW118" s="85" t="str">
        <f aca="false">IF($B118=BW$12,$U118,"")</f>
        <v/>
      </c>
      <c r="BX118" s="85" t="str">
        <f aca="false">IF($B118=BX$12,$U118,"")</f>
        <v/>
      </c>
      <c r="BY118" s="85" t="str">
        <f aca="false">IF($B118=BY$12,$U118,"")</f>
        <v/>
      </c>
      <c r="BZ118" s="85" t="str">
        <f aca="false">IF($B118=BZ$12,$U118,"")</f>
        <v/>
      </c>
      <c r="CA118" s="85" t="str">
        <f aca="false">IF($B118=CA$12,$U118,"")</f>
        <v/>
      </c>
      <c r="CB118" s="85" t="str">
        <f aca="false">IF($B118=CB$12,$U118,"")</f>
        <v/>
      </c>
      <c r="CC118" s="85" t="str">
        <f aca="false">IF($B118=CC$12,$U118,"")</f>
        <v/>
      </c>
      <c r="CD118" s="85" t="str">
        <f aca="false">IF($B118=CD$12,$U118,"")</f>
        <v/>
      </c>
      <c r="CE118" s="85" t="str">
        <f aca="false">IF($B118=CE$12,$U118,"")</f>
        <v/>
      </c>
      <c r="CF118" s="85" t="str">
        <f aca="false">IF($B118=CF$12,$U118,"")</f>
        <v/>
      </c>
      <c r="CG118" s="85" t="str">
        <f aca="false">IF($B118=CG$12,$U118,"")</f>
        <v/>
      </c>
      <c r="CH118" s="85" t="str">
        <f aca="false">IF($B118=CH$12,$U118,"")</f>
        <v/>
      </c>
      <c r="CI118" s="85" t="str">
        <f aca="false">IF($B118=CI$12,$U118,"")</f>
        <v/>
      </c>
      <c r="CJ118" s="85" t="str">
        <f aca="false">IF($B118=CJ$12,$U118,"")</f>
        <v/>
      </c>
      <c r="CK118" s="85" t="str">
        <f aca="false">IF($B118=CK$12,$U118,"")</f>
        <v/>
      </c>
      <c r="CL118" s="85" t="str">
        <f aca="false">IF($B118=CL$12,$U118,"")</f>
        <v/>
      </c>
      <c r="CM118" s="85" t="str">
        <f aca="false">IF($B118=CM$12,$U118,"")</f>
        <v/>
      </c>
      <c r="CN118" s="85" t="str">
        <f aca="false">IF($B118=CN$12,$U118,"")</f>
        <v/>
      </c>
      <c r="CO118" s="85" t="str">
        <f aca="false">IF($B118=CO$12,$U118,"")</f>
        <v/>
      </c>
      <c r="CP118" s="85" t="str">
        <f aca="false">IF($B118=CP$12,$U118,"")</f>
        <v/>
      </c>
      <c r="CQ118" s="85" t="str">
        <f aca="false">IF($B118=CQ$12,$U118,"")</f>
        <v/>
      </c>
      <c r="CR118" s="85" t="str">
        <f aca="false">IF($B118=CR$12,$U118,"")</f>
        <v/>
      </c>
      <c r="CS118" s="85" t="str">
        <f aca="false">IF($B118=CS$12,$U118,"")</f>
        <v/>
      </c>
      <c r="CT118" s="85" t="str">
        <f aca="false">IF($B118=CT$12,$U118,"")</f>
        <v/>
      </c>
      <c r="CU118" s="85" t="str">
        <f aca="false">IF($B118=CU$12,$U118,"")</f>
        <v/>
      </c>
      <c r="CV118" s="85" t="str">
        <f aca="false">IF($B118=CV$12,$U118,"")</f>
        <v/>
      </c>
      <c r="CW118" s="85" t="str">
        <f aca="false">IF($B118=CW$12,$U118,"")</f>
        <v/>
      </c>
      <c r="CX118" s="85" t="str">
        <f aca="false">IF($B118=CX$12,$U118,"")</f>
        <v/>
      </c>
      <c r="CY118" s="85" t="str">
        <f aca="false">IF($B118=CY$12,$U118,"")</f>
        <v/>
      </c>
      <c r="CZ118" s="85" t="str">
        <f aca="false">IF($B118=CZ$12,$U118,"")</f>
        <v/>
      </c>
      <c r="DA118" s="85" t="str">
        <f aca="false">IF($B118=DA$12,$U118,"")</f>
        <v/>
      </c>
      <c r="DB118" s="85" t="str">
        <f aca="false">IF($B118=DB$12,$U118,"")</f>
        <v/>
      </c>
      <c r="DC118" s="85" t="str">
        <f aca="false">IF($B118=DC$12,$U118,"")</f>
        <v/>
      </c>
      <c r="DD118" s="85" t="str">
        <f aca="false">IF($B118=DD$12,$U118,"")</f>
        <v/>
      </c>
      <c r="DE118" s="85" t="str">
        <f aca="false">IF($B118=DE$12,$U118,"")</f>
        <v/>
      </c>
      <c r="DF118" s="85" t="str">
        <f aca="false">IF($B118=DF$12,$U118,"")</f>
        <v/>
      </c>
      <c r="DG118" s="85" t="str">
        <f aca="false">IF($B118=DG$12,$U118,"")</f>
        <v/>
      </c>
      <c r="DH118" s="85" t="str">
        <f aca="false">IF($B118=DH$12,$U118,"")</f>
        <v/>
      </c>
      <c r="DI118" s="85" t="str">
        <f aca="false">IF($B118=DI$12,$U118,"")</f>
        <v/>
      </c>
      <c r="DJ118" s="85" t="str">
        <f aca="false">IF($B118=DJ$12,$U118,"")</f>
        <v/>
      </c>
      <c r="DK118" s="85" t="str">
        <f aca="false">IF($B118=DK$12,$U118,"")</f>
        <v/>
      </c>
      <c r="DL118" s="85" t="str">
        <f aca="false">IF($B118=DL$12,$U118,"")</f>
        <v/>
      </c>
      <c r="DM118" s="85" t="str">
        <f aca="false">IF($B118=DM$12,$U118,"")</f>
        <v/>
      </c>
      <c r="DN118" s="85" t="str">
        <f aca="false">IF($B118=DN$12,$U118,"")</f>
        <v/>
      </c>
      <c r="DO118" s="85" t="str">
        <f aca="false">IF($B118=DO$12,$U118,"")</f>
        <v/>
      </c>
      <c r="DP118" s="85" t="str">
        <f aca="false">IF($B118=DP$12,$U118,"")</f>
        <v/>
      </c>
      <c r="DQ118" s="85" t="str">
        <f aca="false">IF($B118=DQ$12,$U118,"")</f>
        <v/>
      </c>
      <c r="DR118" s="85" t="str">
        <f aca="false">IF($B118=DR$12,$U118,"")</f>
        <v/>
      </c>
      <c r="DS118" s="85" t="str">
        <f aca="false">IF($B118=DS$12,$U118,"")</f>
        <v/>
      </c>
      <c r="DT118" s="86" t="str">
        <f aca="false">IF($B118=DT$12,$U118,"")</f>
        <v/>
      </c>
      <c r="DU118" s="55"/>
      <c r="DV118" s="83"/>
      <c r="DW118" s="87" t="str">
        <f aca="false">IF($B118=DW$12,$O118,"")</f>
        <v/>
      </c>
      <c r="DX118" s="88" t="str">
        <f aca="false">IF($B118=DX$12,$O118,"")</f>
        <v/>
      </c>
      <c r="DY118" s="88" t="str">
        <f aca="false">IF($B118=DY$12,$O118,"")</f>
        <v/>
      </c>
      <c r="DZ118" s="88" t="str">
        <f aca="false">IF($B118=DZ$12,$O118,"")</f>
        <v/>
      </c>
      <c r="EA118" s="88" t="str">
        <f aca="false">IF($B118=EA$12,$O118,"")</f>
        <v/>
      </c>
      <c r="EB118" s="88" t="str">
        <f aca="false">IF($B118=EB$12,$O118,"")</f>
        <v/>
      </c>
      <c r="EC118" s="88" t="str">
        <f aca="false">IF($B118=EC$12,$O118,"")</f>
        <v/>
      </c>
      <c r="ED118" s="88" t="str">
        <f aca="false">IF($B118=ED$12,$O118,"")</f>
        <v/>
      </c>
      <c r="EE118" s="88" t="str">
        <f aca="false">IF($B118=EE$12,$O118,"")</f>
        <v/>
      </c>
      <c r="EF118" s="88" t="str">
        <f aca="false">IF($B118=EF$12,$O118,"")</f>
        <v/>
      </c>
      <c r="EG118" s="88" t="str">
        <f aca="false">IF($B118=EG$12,$O118,"")</f>
        <v/>
      </c>
      <c r="EH118" s="88" t="str">
        <f aca="false">IF($B118=EH$12,$O118,"")</f>
        <v/>
      </c>
      <c r="EI118" s="88" t="str">
        <f aca="false">IF($B118=EI$12,$O118,"")</f>
        <v/>
      </c>
      <c r="EJ118" s="88" t="str">
        <f aca="false">IF($B118=EJ$12,$O118,"")</f>
        <v/>
      </c>
      <c r="EK118" s="88" t="str">
        <f aca="false">IF($B118=EK$12,$O118,"")</f>
        <v/>
      </c>
      <c r="EL118" s="88" t="str">
        <f aca="false">IF($B118=EL$12,$O118,"")</f>
        <v/>
      </c>
      <c r="EM118" s="88" t="str">
        <f aca="false">IF($B118=EM$12,$O118,"")</f>
        <v/>
      </c>
      <c r="EN118" s="88" t="str">
        <f aca="false">IF($B118=EN$12,$O118,"")</f>
        <v/>
      </c>
      <c r="EO118" s="88" t="str">
        <f aca="false">IF($B118=EO$12,$O118,"")</f>
        <v/>
      </c>
      <c r="EP118" s="88" t="str">
        <f aca="false">IF($B118=EP$12,$O118,"")</f>
        <v/>
      </c>
      <c r="EQ118" s="88" t="str">
        <f aca="false">IF($B118=EQ$12,$O118,"")</f>
        <v/>
      </c>
      <c r="ER118" s="88" t="str">
        <f aca="false">IF($B118=ER$12,$O118,"")</f>
        <v/>
      </c>
      <c r="ES118" s="88" t="str">
        <f aca="false">IF($B118=ES$12,$O118,"")</f>
        <v/>
      </c>
      <c r="ET118" s="88" t="str">
        <f aca="false">IF($B118=ET$12,$O118,"")</f>
        <v/>
      </c>
      <c r="EU118" s="88" t="str">
        <f aca="false">IF($B118=EU$12,$O118,"")</f>
        <v/>
      </c>
      <c r="EV118" s="88" t="str">
        <f aca="false">IF($B118=EV$12,$O118,"")</f>
        <v/>
      </c>
      <c r="EW118" s="88" t="str">
        <f aca="false">IF($B118=EW$12,$O118,"")</f>
        <v/>
      </c>
      <c r="EX118" s="88" t="str">
        <f aca="false">IF($B118=EX$12,$O118,"")</f>
        <v/>
      </c>
      <c r="EY118" s="88" t="str">
        <f aca="false">IF($B118=EY$12,$O118,"")</f>
        <v/>
      </c>
      <c r="EZ118" s="88" t="str">
        <f aca="false">IF($B118=EZ$12,$O118,"")</f>
        <v/>
      </c>
      <c r="FA118" s="88" t="str">
        <f aca="false">IF($B118=FA$12,$O118,"")</f>
        <v/>
      </c>
      <c r="FB118" s="88" t="str">
        <f aca="false">IF($B118=FB$12,$O118,"")</f>
        <v/>
      </c>
      <c r="FC118" s="88" t="str">
        <f aca="false">IF($B118=FC$12,$O118,"")</f>
        <v/>
      </c>
      <c r="FD118" s="88" t="str">
        <f aca="false">IF($B118=FD$12,$O118,"")</f>
        <v/>
      </c>
      <c r="FE118" s="88" t="str">
        <f aca="false">IF($B118=FE$12,$O118,"")</f>
        <v/>
      </c>
      <c r="FF118" s="88" t="str">
        <f aca="false">IF($B118=FF$12,$O118,"")</f>
        <v/>
      </c>
      <c r="FG118" s="88" t="str">
        <f aca="false">IF($B118=FG$12,$O118,"")</f>
        <v/>
      </c>
      <c r="FH118" s="88" t="str">
        <f aca="false">IF($B118=FH$12,$O118,"")</f>
        <v/>
      </c>
      <c r="FI118" s="88" t="str">
        <f aca="false">IF($B118=FI$12,$O118,"")</f>
        <v/>
      </c>
      <c r="FJ118" s="88" t="str">
        <f aca="false">IF($B118=FJ$12,$O118,"")</f>
        <v/>
      </c>
      <c r="FK118" s="88" t="str">
        <f aca="false">IF($B118=FK$12,$O118,"")</f>
        <v/>
      </c>
      <c r="FL118" s="88" t="str">
        <f aca="false">IF($B118=FL$12,$O118,"")</f>
        <v/>
      </c>
      <c r="FM118" s="88" t="str">
        <f aca="false">IF($B118=FM$12,$O118,"")</f>
        <v/>
      </c>
      <c r="FN118" s="88" t="str">
        <f aca="false">IF($B118=FN$12,$O118,"")</f>
        <v/>
      </c>
      <c r="FO118" s="88" t="str">
        <f aca="false">IF($B118=FO$12,$O118,"")</f>
        <v/>
      </c>
      <c r="FP118" s="88" t="str">
        <f aca="false">IF($B118=FP$12,$O118,"")</f>
        <v/>
      </c>
      <c r="FQ118" s="88" t="str">
        <f aca="false">IF($B118=FQ$12,$O118,"")</f>
        <v/>
      </c>
      <c r="FR118" s="88" t="str">
        <f aca="false">IF($B118=FR$12,$O118,"")</f>
        <v/>
      </c>
      <c r="FS118" s="88" t="str">
        <f aca="false">IF($B118=FS$12,$O118,"")</f>
        <v/>
      </c>
      <c r="FT118" s="88" t="str">
        <f aca="false">IF($B118=FT$12,$O118,"")</f>
        <v/>
      </c>
      <c r="FU118" s="88" t="str">
        <f aca="false">IF($B118=FU$12,$O118,"")</f>
        <v/>
      </c>
      <c r="FV118" s="88" t="str">
        <f aca="false">IF($B118=FV$12,$O118,"")</f>
        <v/>
      </c>
      <c r="FW118" s="88" t="str">
        <f aca="false">IF($B118=FW$12,$O118,"")</f>
        <v/>
      </c>
      <c r="FX118" s="88" t="str">
        <f aca="false">IF($B118=FX$12,$O118,"")</f>
        <v/>
      </c>
      <c r="FY118" s="88" t="str">
        <f aca="false">IF($B118=FY$12,$O118,"")</f>
        <v/>
      </c>
      <c r="FZ118" s="88" t="str">
        <f aca="false">IF($B118=FZ$12,$O118,"")</f>
        <v/>
      </c>
      <c r="GA118" s="88" t="str">
        <f aca="false">IF($B118=GA$12,$O118,"")</f>
        <v/>
      </c>
      <c r="GB118" s="88" t="str">
        <f aca="false">IF($B118=GB$12,$O118,"")</f>
        <v/>
      </c>
      <c r="GC118" s="88" t="str">
        <f aca="false">IF($B118=GC$12,$O118,"")</f>
        <v/>
      </c>
      <c r="GD118" s="88" t="str">
        <f aca="false">IF($B118=GD$12,$O118,"")</f>
        <v/>
      </c>
      <c r="GE118" s="88" t="str">
        <f aca="false">IF($B118=GE$12,$O118,"")</f>
        <v/>
      </c>
      <c r="GF118" s="88" t="str">
        <f aca="false">IF($B118=GF$12,$O118,"")</f>
        <v/>
      </c>
      <c r="GG118" s="88" t="str">
        <f aca="false">IF($B118=GG$12,$O118,"")</f>
        <v/>
      </c>
      <c r="GH118" s="88" t="str">
        <f aca="false">IF($B118=GH$12,$O118,"")</f>
        <v/>
      </c>
      <c r="GI118" s="88" t="str">
        <f aca="false">IF($B118=GI$12,$O118,"")</f>
        <v/>
      </c>
      <c r="GJ118" s="88" t="str">
        <f aca="false">IF($B118=GJ$12,$O118,"")</f>
        <v/>
      </c>
      <c r="GK118" s="88" t="str">
        <f aca="false">IF($B118=GK$12,$O118,"")</f>
        <v/>
      </c>
      <c r="GL118" s="88" t="str">
        <f aca="false">IF($B118=GL$12,$O118,"")</f>
        <v/>
      </c>
      <c r="GM118" s="88" t="str">
        <f aca="false">IF($B118=GM$12,$O118,"")</f>
        <v/>
      </c>
      <c r="GN118" s="88" t="str">
        <f aca="false">IF($B118=GN$12,$O118,"")</f>
        <v/>
      </c>
      <c r="GO118" s="88" t="str">
        <f aca="false">IF($B118=GO$12,$O118,"")</f>
        <v/>
      </c>
      <c r="GP118" s="88" t="str">
        <f aca="false">IF($B118=GP$12,$O118,"")</f>
        <v/>
      </c>
      <c r="GQ118" s="88" t="str">
        <f aca="false">IF($B118=GQ$12,$O118,"")</f>
        <v/>
      </c>
      <c r="GR118" s="88" t="str">
        <f aca="false">IF($B118=GR$12,$O118,"")</f>
        <v/>
      </c>
      <c r="GS118" s="88" t="str">
        <f aca="false">IF($B118=GS$12,$O118,"")</f>
        <v/>
      </c>
      <c r="GT118" s="88" t="str">
        <f aca="false">IF($B118=GT$12,$O118,"")</f>
        <v/>
      </c>
      <c r="GU118" s="88" t="str">
        <f aca="false">IF($B118=GU$12,$O118,"")</f>
        <v/>
      </c>
      <c r="GV118" s="88" t="str">
        <f aca="false">IF($B118=GV$12,$O118,"")</f>
        <v/>
      </c>
      <c r="GW118" s="88" t="str">
        <f aca="false">IF($B118=GW$12,$O118,"")</f>
        <v/>
      </c>
      <c r="GX118" s="88" t="str">
        <f aca="false">IF($B118=GX$12,$O118,"")</f>
        <v/>
      </c>
      <c r="GY118" s="88" t="str">
        <f aca="false">IF($B118=GY$12,$O118,"")</f>
        <v/>
      </c>
      <c r="GZ118" s="88" t="str">
        <f aca="false">IF($B118=GZ$12,$O118,"")</f>
        <v/>
      </c>
      <c r="HA118" s="88" t="str">
        <f aca="false">IF($B118=HA$12,$O118,"")</f>
        <v/>
      </c>
      <c r="HB118" s="88" t="str">
        <f aca="false">IF($B118=HB$12,$O118,"")</f>
        <v/>
      </c>
      <c r="HC118" s="88" t="str">
        <f aca="false">IF($B118=HC$12,$O118,"")</f>
        <v/>
      </c>
      <c r="HD118" s="88" t="str">
        <f aca="false">IF($B118=HD$12,$O118,"")</f>
        <v/>
      </c>
      <c r="HE118" s="88" t="str">
        <f aca="false">IF($B118=HE$12,$O118,"")</f>
        <v/>
      </c>
      <c r="HF118" s="88" t="str">
        <f aca="false">IF($B118=HF$12,$O118,"")</f>
        <v/>
      </c>
      <c r="HG118" s="88" t="str">
        <f aca="false">IF($B118=HG$12,$O118,"")</f>
        <v/>
      </c>
      <c r="HH118" s="88" t="str">
        <f aca="false">IF($B118=HH$12,$O118,"")</f>
        <v/>
      </c>
      <c r="HI118" s="88" t="str">
        <f aca="false">IF($B118=HI$12,$O118,"")</f>
        <v/>
      </c>
      <c r="HJ118" s="88" t="str">
        <f aca="false">IF($B118=HJ$12,$O118,"")</f>
        <v/>
      </c>
      <c r="HK118" s="88" t="str">
        <f aca="false">IF($B118=HK$12,$O118,"")</f>
        <v/>
      </c>
      <c r="HL118" s="88" t="str">
        <f aca="false">IF($B118=HL$12,$O118,"")</f>
        <v/>
      </c>
      <c r="HM118" s="88" t="str">
        <f aca="false">IF($B118=HM$12,$O118,"")</f>
        <v/>
      </c>
      <c r="HN118" s="88" t="str">
        <f aca="false">IF($B118=HN$12,$O118,"")</f>
        <v/>
      </c>
      <c r="HO118" s="88" t="str">
        <f aca="false">IF($B118=HO$12,$O118,"")</f>
        <v/>
      </c>
      <c r="HP118" s="88" t="str">
        <f aca="false">IF($B118=HP$12,$O118,"")</f>
        <v/>
      </c>
      <c r="HQ118" s="88" t="str">
        <f aca="false">IF($B118=HQ$12,$O118,"")</f>
        <v/>
      </c>
      <c r="HR118" s="89" t="str">
        <f aca="false">IF($B118=HR$12,$O118,"")</f>
        <v/>
      </c>
    </row>
    <row r="119" customFormat="false" ht="10.5" hidden="false" customHeight="true" outlineLevel="0" collapsed="false">
      <c r="A119" s="90"/>
      <c r="B119" s="91"/>
      <c r="C119" s="92" t="str">
        <f aca="false">IF(A119=0,"",VLOOKUP(A119,[3]CO!$A$3:$F$5311,2,0))</f>
        <v/>
      </c>
      <c r="D119" s="93"/>
      <c r="E119" s="93"/>
      <c r="F119" s="93"/>
      <c r="G119" s="94" t="str">
        <f aca="false">IF(A119=0,"",VLOOKUP(A119,[3]CO!$A$3:$F$5311,3,0))</f>
        <v/>
      </c>
      <c r="H119" s="5"/>
      <c r="I119" s="95"/>
      <c r="J119" s="95"/>
      <c r="K119" s="95"/>
      <c r="L119" s="95"/>
      <c r="M119" s="96" t="str">
        <f aca="false">IF(H119&gt;0,H119*Q$107/N119,IF(AND(L119&gt;0,I119&gt;0),L119*I119,IF(L119&gt;0,L119,"")))</f>
        <v/>
      </c>
      <c r="N119" s="96" t="str">
        <f aca="false">IF(B119=0,"",IF(H119="M",HLOOKUP(B119,$Y$12:$DT$13,2),IF(A119=0,"",VLOOKUP(A119,[3]CO!$A$3:$F$5311,4,0))))</f>
        <v/>
      </c>
      <c r="O119" s="96" t="str">
        <f aca="false">IF(L119=0,"",PRODUCT(M119:N119))</f>
        <v/>
      </c>
      <c r="P119" s="97"/>
      <c r="Q119" s="98" t="str">
        <f aca="false">IF(P119=0,"",(HLOOKUP(P119,$DW$12:$HR$13,2)))</f>
        <v/>
      </c>
      <c r="R119" s="99" t="str">
        <f aca="false">IF(S119=0,"",IF(OR(G119="PEON",G119="OF",G119="JARD",G119="CARP",G119="MAESTRO",G119="SOLD",G119="BGRO",G119="CHOFER",G119="AYTE",G119="S.INTTE.",G119="ASEO",G119="P.PISOS",G119="VELADOR",G119="RESID",G119="PINTOR",G119="ELECT",G119="AZULE",G119="AUX CONT.",G119="SECRETARIA",G119="AUXILIAR ADMTVO.",G119="ARQUITECTO",G119="DIBUJANTE",G119="AUX. DE RESIDENTE",G119="TOPOGRAFIA"),VLOOKUP(B119,P$14:Q$431,2),"")*S119)</f>
        <v/>
      </c>
      <c r="S119" s="5"/>
      <c r="T119" s="65" t="str">
        <f aca="false">IF(A119=0,"",VLOOKUP(A119,[3]CO!$A$3:$F$5302,5,0))</f>
        <v/>
      </c>
      <c r="U119" s="55" t="n">
        <f aca="false">IF(T119=1,O119*0.1,)</f>
        <v>0</v>
      </c>
      <c r="V119" s="66"/>
      <c r="W119" s="83"/>
      <c r="X119" s="83"/>
      <c r="Y119" s="100" t="str">
        <f aca="false">IF($B119=Y$12,$U119,"")</f>
        <v/>
      </c>
      <c r="Z119" s="101" t="str">
        <f aca="false">IF($B119=Z$12,$U119,"")</f>
        <v/>
      </c>
      <c r="AA119" s="101" t="str">
        <f aca="false">IF($B119=AA$12,$U119,"")</f>
        <v/>
      </c>
      <c r="AB119" s="101" t="str">
        <f aca="false">IF($B119=AB$12,$U119,"")</f>
        <v/>
      </c>
      <c r="AC119" s="101" t="str">
        <f aca="false">IF($B119=AC$12,$U119,"")</f>
        <v/>
      </c>
      <c r="AD119" s="101" t="str">
        <f aca="false">IF($B119=AD$12,$U119,"")</f>
        <v/>
      </c>
      <c r="AE119" s="101" t="str">
        <f aca="false">IF($B119=AE$12,$U119,"")</f>
        <v/>
      </c>
      <c r="AF119" s="101" t="str">
        <f aca="false">IF($B119=AF$12,$U119,"")</f>
        <v/>
      </c>
      <c r="AG119" s="101" t="str">
        <f aca="false">IF($B119=AG$12,$U119,"")</f>
        <v/>
      </c>
      <c r="AH119" s="101" t="str">
        <f aca="false">IF($B119=AH$12,$U119,"")</f>
        <v/>
      </c>
      <c r="AI119" s="101" t="str">
        <f aca="false">IF($B119=AI$12,$U119,"")</f>
        <v/>
      </c>
      <c r="AJ119" s="101" t="str">
        <f aca="false">IF($B119=AJ$12,$U119,"")</f>
        <v/>
      </c>
      <c r="AK119" s="101" t="str">
        <f aca="false">IF($B119=AK$12,$U119,"")</f>
        <v/>
      </c>
      <c r="AL119" s="101" t="str">
        <f aca="false">IF($B119=AL$12,$U119,"")</f>
        <v/>
      </c>
      <c r="AM119" s="101" t="str">
        <f aca="false">IF($B119=AM$12,$U119,"")</f>
        <v/>
      </c>
      <c r="AN119" s="101" t="str">
        <f aca="false">IF($B119=AN$12,$U119,"")</f>
        <v/>
      </c>
      <c r="AO119" s="101" t="str">
        <f aca="false">IF($B119=AO$12,$U119,"")</f>
        <v/>
      </c>
      <c r="AP119" s="101" t="str">
        <f aca="false">IF($B119=AP$12,$U119,"")</f>
        <v/>
      </c>
      <c r="AQ119" s="101" t="str">
        <f aca="false">IF($B119=AQ$12,$U119,"")</f>
        <v/>
      </c>
      <c r="AR119" s="101" t="str">
        <f aca="false">IF($B119=AR$12,$U119,"")</f>
        <v/>
      </c>
      <c r="AS119" s="101" t="str">
        <f aca="false">IF($B119=AS$12,$U119,"")</f>
        <v/>
      </c>
      <c r="AT119" s="101" t="str">
        <f aca="false">IF($B119=AT$12,$U119,"")</f>
        <v/>
      </c>
      <c r="AU119" s="101" t="str">
        <f aca="false">IF($B119=AU$12,$U119,"")</f>
        <v/>
      </c>
      <c r="AV119" s="101" t="str">
        <f aca="false">IF($B119=AV$12,$U119,"")</f>
        <v/>
      </c>
      <c r="AW119" s="101" t="str">
        <f aca="false">IF($B119=AW$12,$U119,"")</f>
        <v/>
      </c>
      <c r="AX119" s="101" t="str">
        <f aca="false">IF($B119=AX$12,$U119,"")</f>
        <v/>
      </c>
      <c r="AY119" s="101" t="str">
        <f aca="false">IF($B119=AY$12,$U119,"")</f>
        <v/>
      </c>
      <c r="AZ119" s="101" t="str">
        <f aca="false">IF($B119=AZ$12,$U119,"")</f>
        <v/>
      </c>
      <c r="BA119" s="101" t="str">
        <f aca="false">IF($B119=BA$12,$U119,"")</f>
        <v/>
      </c>
      <c r="BB119" s="101" t="str">
        <f aca="false">IF($B119=BB$12,$U119,"")</f>
        <v/>
      </c>
      <c r="BC119" s="101" t="str">
        <f aca="false">IF($B119=BC$12,$U119,"")</f>
        <v/>
      </c>
      <c r="BD119" s="101" t="str">
        <f aca="false">IF($B119=BD$12,$U119,"")</f>
        <v/>
      </c>
      <c r="BE119" s="101" t="str">
        <f aca="false">IF($B119=BE$12,$U119,"")</f>
        <v/>
      </c>
      <c r="BF119" s="101" t="str">
        <f aca="false">IF($B119=BF$12,$U119,"")</f>
        <v/>
      </c>
      <c r="BG119" s="101" t="str">
        <f aca="false">IF($B119=BG$12,$U119,"")</f>
        <v/>
      </c>
      <c r="BH119" s="101" t="str">
        <f aca="false">IF($B119=BH$12,$U119,"")</f>
        <v/>
      </c>
      <c r="BI119" s="101" t="str">
        <f aca="false">IF($B119=BI$12,$U119,"")</f>
        <v/>
      </c>
      <c r="BJ119" s="101" t="str">
        <f aca="false">IF($B119=BJ$12,$U119,"")</f>
        <v/>
      </c>
      <c r="BK119" s="101" t="str">
        <f aca="false">IF($B119=BK$12,$U119,"")</f>
        <v/>
      </c>
      <c r="BL119" s="101" t="str">
        <f aca="false">IF($B119=BL$12,$U119,"")</f>
        <v/>
      </c>
      <c r="BM119" s="101" t="str">
        <f aca="false">IF($B119=BM$12,$U119,"")</f>
        <v/>
      </c>
      <c r="BN119" s="101" t="str">
        <f aca="false">IF($B119=BN$12,$U119,"")</f>
        <v/>
      </c>
      <c r="BO119" s="101" t="str">
        <f aca="false">IF($B119=BO$12,$U119,"")</f>
        <v/>
      </c>
      <c r="BP119" s="101" t="str">
        <f aca="false">IF($B119=BP$12,$U119,"")</f>
        <v/>
      </c>
      <c r="BQ119" s="101" t="str">
        <f aca="false">IF($B119=BQ$12,$U119,"")</f>
        <v/>
      </c>
      <c r="BR119" s="101" t="str">
        <f aca="false">IF($B119=BR$12,$U119,"")</f>
        <v/>
      </c>
      <c r="BS119" s="101" t="str">
        <f aca="false">IF($B119=BS$12,$U119,"")</f>
        <v/>
      </c>
      <c r="BT119" s="101" t="str">
        <f aca="false">IF($B119=BT$12,$U119,"")</f>
        <v/>
      </c>
      <c r="BU119" s="101" t="str">
        <f aca="false">IF($B119=BU$12,$U119,"")</f>
        <v/>
      </c>
      <c r="BV119" s="101" t="str">
        <f aca="false">IF($B119=BV$12,$U119,"")</f>
        <v/>
      </c>
      <c r="BW119" s="101" t="str">
        <f aca="false">IF($B119=BW$12,$U119,"")</f>
        <v/>
      </c>
      <c r="BX119" s="101" t="str">
        <f aca="false">IF($B119=BX$12,$U119,"")</f>
        <v/>
      </c>
      <c r="BY119" s="101" t="str">
        <f aca="false">IF($B119=BY$12,$U119,"")</f>
        <v/>
      </c>
      <c r="BZ119" s="101" t="str">
        <f aca="false">IF($B119=BZ$12,$U119,"")</f>
        <v/>
      </c>
      <c r="CA119" s="101" t="str">
        <f aca="false">IF($B119=CA$12,$U119,"")</f>
        <v/>
      </c>
      <c r="CB119" s="101" t="str">
        <f aca="false">IF($B119=CB$12,$U119,"")</f>
        <v/>
      </c>
      <c r="CC119" s="101" t="str">
        <f aca="false">IF($B119=CC$12,$U119,"")</f>
        <v/>
      </c>
      <c r="CD119" s="101" t="str">
        <f aca="false">IF($B119=CD$12,$U119,"")</f>
        <v/>
      </c>
      <c r="CE119" s="101" t="str">
        <f aca="false">IF($B119=CE$12,$U119,"")</f>
        <v/>
      </c>
      <c r="CF119" s="101" t="str">
        <f aca="false">IF($B119=CF$12,$U119,"")</f>
        <v/>
      </c>
      <c r="CG119" s="101" t="str">
        <f aca="false">IF($B119=CG$12,$U119,"")</f>
        <v/>
      </c>
      <c r="CH119" s="101" t="str">
        <f aca="false">IF($B119=CH$12,$U119,"")</f>
        <v/>
      </c>
      <c r="CI119" s="101" t="str">
        <f aca="false">IF($B119=CI$12,$U119,"")</f>
        <v/>
      </c>
      <c r="CJ119" s="101" t="str">
        <f aca="false">IF($B119=CJ$12,$U119,"")</f>
        <v/>
      </c>
      <c r="CK119" s="101" t="str">
        <f aca="false">IF($B119=CK$12,$U119,"")</f>
        <v/>
      </c>
      <c r="CL119" s="101" t="str">
        <f aca="false">IF($B119=CL$12,$U119,"")</f>
        <v/>
      </c>
      <c r="CM119" s="101" t="str">
        <f aca="false">IF($B119=CM$12,$U119,"")</f>
        <v/>
      </c>
      <c r="CN119" s="101" t="str">
        <f aca="false">IF($B119=CN$12,$U119,"")</f>
        <v/>
      </c>
      <c r="CO119" s="101" t="str">
        <f aca="false">IF($B119=CO$12,$U119,"")</f>
        <v/>
      </c>
      <c r="CP119" s="101" t="str">
        <f aca="false">IF($B119=CP$12,$U119,"")</f>
        <v/>
      </c>
      <c r="CQ119" s="101" t="str">
        <f aca="false">IF($B119=CQ$12,$U119,"")</f>
        <v/>
      </c>
      <c r="CR119" s="101" t="str">
        <f aca="false">IF($B119=CR$12,$U119,"")</f>
        <v/>
      </c>
      <c r="CS119" s="101" t="str">
        <f aca="false">IF($B119=CS$12,$U119,"")</f>
        <v/>
      </c>
      <c r="CT119" s="101" t="str">
        <f aca="false">IF($B119=CT$12,$U119,"")</f>
        <v/>
      </c>
      <c r="CU119" s="101" t="str">
        <f aca="false">IF($B119=CU$12,$U119,"")</f>
        <v/>
      </c>
      <c r="CV119" s="101" t="str">
        <f aca="false">IF($B119=CV$12,$U119,"")</f>
        <v/>
      </c>
      <c r="CW119" s="101" t="str">
        <f aca="false">IF($B119=CW$12,$U119,"")</f>
        <v/>
      </c>
      <c r="CX119" s="101" t="str">
        <f aca="false">IF($B119=CX$12,$U119,"")</f>
        <v/>
      </c>
      <c r="CY119" s="101" t="str">
        <f aca="false">IF($B119=CY$12,$U119,"")</f>
        <v/>
      </c>
      <c r="CZ119" s="101" t="str">
        <f aca="false">IF($B119=CZ$12,$U119,"")</f>
        <v/>
      </c>
      <c r="DA119" s="101" t="str">
        <f aca="false">IF($B119=DA$12,$U119,"")</f>
        <v/>
      </c>
      <c r="DB119" s="101" t="str">
        <f aca="false">IF($B119=DB$12,$U119,"")</f>
        <v/>
      </c>
      <c r="DC119" s="101" t="str">
        <f aca="false">IF($B119=DC$12,$U119,"")</f>
        <v/>
      </c>
      <c r="DD119" s="101" t="str">
        <f aca="false">IF($B119=DD$12,$U119,"")</f>
        <v/>
      </c>
      <c r="DE119" s="101" t="str">
        <f aca="false">IF($B119=DE$12,$U119,"")</f>
        <v/>
      </c>
      <c r="DF119" s="101" t="str">
        <f aca="false">IF($B119=DF$12,$U119,"")</f>
        <v/>
      </c>
      <c r="DG119" s="101" t="str">
        <f aca="false">IF($B119=DG$12,$U119,"")</f>
        <v/>
      </c>
      <c r="DH119" s="101" t="str">
        <f aca="false">IF($B119=DH$12,$U119,"")</f>
        <v/>
      </c>
      <c r="DI119" s="101" t="str">
        <f aca="false">IF($B119=DI$12,$U119,"")</f>
        <v/>
      </c>
      <c r="DJ119" s="101" t="str">
        <f aca="false">IF($B119=DJ$12,$U119,"")</f>
        <v/>
      </c>
      <c r="DK119" s="101" t="str">
        <f aca="false">IF($B119=DK$12,$U119,"")</f>
        <v/>
      </c>
      <c r="DL119" s="101" t="str">
        <f aca="false">IF($B119=DL$12,$U119,"")</f>
        <v/>
      </c>
      <c r="DM119" s="101" t="str">
        <f aca="false">IF($B119=DM$12,$U119,"")</f>
        <v/>
      </c>
      <c r="DN119" s="101" t="str">
        <f aca="false">IF($B119=DN$12,$U119,"")</f>
        <v/>
      </c>
      <c r="DO119" s="101" t="str">
        <f aca="false">IF($B119=DO$12,$U119,"")</f>
        <v/>
      </c>
      <c r="DP119" s="101" t="str">
        <f aca="false">IF($B119=DP$12,$U119,"")</f>
        <v/>
      </c>
      <c r="DQ119" s="101" t="str">
        <f aca="false">IF($B119=DQ$12,$U119,"")</f>
        <v/>
      </c>
      <c r="DR119" s="101" t="str">
        <f aca="false">IF($B119=DR$12,$U119,"")</f>
        <v/>
      </c>
      <c r="DS119" s="101" t="str">
        <f aca="false">IF($B119=DS$12,$U119,"")</f>
        <v/>
      </c>
      <c r="DT119" s="102" t="str">
        <f aca="false">IF($B119=DT$12,$U119,"")</f>
        <v/>
      </c>
      <c r="DU119" s="55"/>
      <c r="DV119" s="83"/>
      <c r="DW119" s="103" t="str">
        <f aca="false">IF($B119=DW$12,$O119,"")</f>
        <v/>
      </c>
      <c r="DX119" s="104" t="str">
        <f aca="false">IF($B119=DX$12,$O119,"")</f>
        <v/>
      </c>
      <c r="DY119" s="104" t="str">
        <f aca="false">IF($B119=DY$12,$O119,"")</f>
        <v/>
      </c>
      <c r="DZ119" s="104" t="str">
        <f aca="false">IF($B119=DZ$12,$O119,"")</f>
        <v/>
      </c>
      <c r="EA119" s="104" t="str">
        <f aca="false">IF($B119=EA$12,$O119,"")</f>
        <v/>
      </c>
      <c r="EB119" s="104" t="str">
        <f aca="false">IF($B119=EB$12,$O119,"")</f>
        <v/>
      </c>
      <c r="EC119" s="104" t="str">
        <f aca="false">IF($B119=EC$12,$O119,"")</f>
        <v/>
      </c>
      <c r="ED119" s="104" t="str">
        <f aca="false">IF($B119=ED$12,$O119,"")</f>
        <v/>
      </c>
      <c r="EE119" s="104" t="str">
        <f aca="false">IF($B119=EE$12,$O119,"")</f>
        <v/>
      </c>
      <c r="EF119" s="104" t="str">
        <f aca="false">IF($B119=EF$12,$O119,"")</f>
        <v/>
      </c>
      <c r="EG119" s="104" t="str">
        <f aca="false">IF($B119=EG$12,$O119,"")</f>
        <v/>
      </c>
      <c r="EH119" s="104" t="str">
        <f aca="false">IF($B119=EH$12,$O119,"")</f>
        <v/>
      </c>
      <c r="EI119" s="104" t="str">
        <f aca="false">IF($B119=EI$12,$O119,"")</f>
        <v/>
      </c>
      <c r="EJ119" s="104" t="str">
        <f aca="false">IF($B119=EJ$12,$O119,"")</f>
        <v/>
      </c>
      <c r="EK119" s="104" t="str">
        <f aca="false">IF($B119=EK$12,$O119,"")</f>
        <v/>
      </c>
      <c r="EL119" s="104" t="str">
        <f aca="false">IF($B119=EL$12,$O119,"")</f>
        <v/>
      </c>
      <c r="EM119" s="104" t="str">
        <f aca="false">IF($B119=EM$12,$O119,"")</f>
        <v/>
      </c>
      <c r="EN119" s="104" t="str">
        <f aca="false">IF($B119=EN$12,$O119,"")</f>
        <v/>
      </c>
      <c r="EO119" s="104" t="str">
        <f aca="false">IF($B119=EO$12,$O119,"")</f>
        <v/>
      </c>
      <c r="EP119" s="104" t="str">
        <f aca="false">IF($B119=EP$12,$O119,"")</f>
        <v/>
      </c>
      <c r="EQ119" s="104" t="str">
        <f aca="false">IF($B119=EQ$12,$O119,"")</f>
        <v/>
      </c>
      <c r="ER119" s="104" t="str">
        <f aca="false">IF($B119=ER$12,$O119,"")</f>
        <v/>
      </c>
      <c r="ES119" s="104" t="str">
        <f aca="false">IF($B119=ES$12,$O119,"")</f>
        <v/>
      </c>
      <c r="ET119" s="104" t="str">
        <f aca="false">IF($B119=ET$12,$O119,"")</f>
        <v/>
      </c>
      <c r="EU119" s="104" t="str">
        <f aca="false">IF($B119=EU$12,$O119,"")</f>
        <v/>
      </c>
      <c r="EV119" s="104" t="str">
        <f aca="false">IF($B119=EV$12,$O119,"")</f>
        <v/>
      </c>
      <c r="EW119" s="104" t="str">
        <f aca="false">IF($B119=EW$12,$O119,"")</f>
        <v/>
      </c>
      <c r="EX119" s="104" t="str">
        <f aca="false">IF($B119=EX$12,$O119,"")</f>
        <v/>
      </c>
      <c r="EY119" s="104" t="str">
        <f aca="false">IF($B119=EY$12,$O119,"")</f>
        <v/>
      </c>
      <c r="EZ119" s="104" t="str">
        <f aca="false">IF($B119=EZ$12,$O119,"")</f>
        <v/>
      </c>
      <c r="FA119" s="104" t="str">
        <f aca="false">IF($B119=FA$12,$O119,"")</f>
        <v/>
      </c>
      <c r="FB119" s="104" t="str">
        <f aca="false">IF($B119=FB$12,$O119,"")</f>
        <v/>
      </c>
      <c r="FC119" s="104" t="str">
        <f aca="false">IF($B119=FC$12,$O119,"")</f>
        <v/>
      </c>
      <c r="FD119" s="104" t="str">
        <f aca="false">IF($B119=FD$12,$O119,"")</f>
        <v/>
      </c>
      <c r="FE119" s="104" t="str">
        <f aca="false">IF($B119=FE$12,$O119,"")</f>
        <v/>
      </c>
      <c r="FF119" s="104" t="str">
        <f aca="false">IF($B119=FF$12,$O119,"")</f>
        <v/>
      </c>
      <c r="FG119" s="104" t="str">
        <f aca="false">IF($B119=FG$12,$O119,"")</f>
        <v/>
      </c>
      <c r="FH119" s="104" t="str">
        <f aca="false">IF($B119=FH$12,$O119,"")</f>
        <v/>
      </c>
      <c r="FI119" s="104" t="str">
        <f aca="false">IF($B119=FI$12,$O119,"")</f>
        <v/>
      </c>
      <c r="FJ119" s="104" t="str">
        <f aca="false">IF($B119=FJ$12,$O119,"")</f>
        <v/>
      </c>
      <c r="FK119" s="104" t="str">
        <f aca="false">IF($B119=FK$12,$O119,"")</f>
        <v/>
      </c>
      <c r="FL119" s="104" t="str">
        <f aca="false">IF($B119=FL$12,$O119,"")</f>
        <v/>
      </c>
      <c r="FM119" s="104" t="str">
        <f aca="false">IF($B119=FM$12,$O119,"")</f>
        <v/>
      </c>
      <c r="FN119" s="104" t="str">
        <f aca="false">IF($B119=FN$12,$O119,"")</f>
        <v/>
      </c>
      <c r="FO119" s="104" t="str">
        <f aca="false">IF($B119=FO$12,$O119,"")</f>
        <v/>
      </c>
      <c r="FP119" s="104" t="str">
        <f aca="false">IF($B119=FP$12,$O119,"")</f>
        <v/>
      </c>
      <c r="FQ119" s="104" t="str">
        <f aca="false">IF($B119=FQ$12,$O119,"")</f>
        <v/>
      </c>
      <c r="FR119" s="104" t="str">
        <f aca="false">IF($B119=FR$12,$O119,"")</f>
        <v/>
      </c>
      <c r="FS119" s="104" t="str">
        <f aca="false">IF($B119=FS$12,$O119,"")</f>
        <v/>
      </c>
      <c r="FT119" s="104" t="str">
        <f aca="false">IF($B119=FT$12,$O119,"")</f>
        <v/>
      </c>
      <c r="FU119" s="104" t="str">
        <f aca="false">IF($B119=FU$12,$O119,"")</f>
        <v/>
      </c>
      <c r="FV119" s="104" t="str">
        <f aca="false">IF($B119=FV$12,$O119,"")</f>
        <v/>
      </c>
      <c r="FW119" s="104" t="str">
        <f aca="false">IF($B119=FW$12,$O119,"")</f>
        <v/>
      </c>
      <c r="FX119" s="104" t="str">
        <f aca="false">IF($B119=FX$12,$O119,"")</f>
        <v/>
      </c>
      <c r="FY119" s="104" t="str">
        <f aca="false">IF($B119=FY$12,$O119,"")</f>
        <v/>
      </c>
      <c r="FZ119" s="104" t="str">
        <f aca="false">IF($B119=FZ$12,$O119,"")</f>
        <v/>
      </c>
      <c r="GA119" s="104" t="str">
        <f aca="false">IF($B119=GA$12,$O119,"")</f>
        <v/>
      </c>
      <c r="GB119" s="104" t="str">
        <f aca="false">IF($B119=GB$12,$O119,"")</f>
        <v/>
      </c>
      <c r="GC119" s="104" t="str">
        <f aca="false">IF($B119=GC$12,$O119,"")</f>
        <v/>
      </c>
      <c r="GD119" s="104" t="str">
        <f aca="false">IF($B119=GD$12,$O119,"")</f>
        <v/>
      </c>
      <c r="GE119" s="104" t="str">
        <f aca="false">IF($B119=GE$12,$O119,"")</f>
        <v/>
      </c>
      <c r="GF119" s="104" t="str">
        <f aca="false">IF($B119=GF$12,$O119,"")</f>
        <v/>
      </c>
      <c r="GG119" s="104" t="str">
        <f aca="false">IF($B119=GG$12,$O119,"")</f>
        <v/>
      </c>
      <c r="GH119" s="104" t="str">
        <f aca="false">IF($B119=GH$12,$O119,"")</f>
        <v/>
      </c>
      <c r="GI119" s="104" t="str">
        <f aca="false">IF($B119=GI$12,$O119,"")</f>
        <v/>
      </c>
      <c r="GJ119" s="104" t="str">
        <f aca="false">IF($B119=GJ$12,$O119,"")</f>
        <v/>
      </c>
      <c r="GK119" s="104" t="str">
        <f aca="false">IF($B119=GK$12,$O119,"")</f>
        <v/>
      </c>
      <c r="GL119" s="104" t="str">
        <f aca="false">IF($B119=GL$12,$O119,"")</f>
        <v/>
      </c>
      <c r="GM119" s="104" t="str">
        <f aca="false">IF($B119=GM$12,$O119,"")</f>
        <v/>
      </c>
      <c r="GN119" s="104" t="str">
        <f aca="false">IF($B119=GN$12,$O119,"")</f>
        <v/>
      </c>
      <c r="GO119" s="104" t="str">
        <f aca="false">IF($B119=GO$12,$O119,"")</f>
        <v/>
      </c>
      <c r="GP119" s="104" t="str">
        <f aca="false">IF($B119=GP$12,$O119,"")</f>
        <v/>
      </c>
      <c r="GQ119" s="104" t="str">
        <f aca="false">IF($B119=GQ$12,$O119,"")</f>
        <v/>
      </c>
      <c r="GR119" s="104" t="str">
        <f aca="false">IF($B119=GR$12,$O119,"")</f>
        <v/>
      </c>
      <c r="GS119" s="104" t="str">
        <f aca="false">IF($B119=GS$12,$O119,"")</f>
        <v/>
      </c>
      <c r="GT119" s="104" t="str">
        <f aca="false">IF($B119=GT$12,$O119,"")</f>
        <v/>
      </c>
      <c r="GU119" s="104" t="str">
        <f aca="false">IF($B119=GU$12,$O119,"")</f>
        <v/>
      </c>
      <c r="GV119" s="104" t="str">
        <f aca="false">IF($B119=GV$12,$O119,"")</f>
        <v/>
      </c>
      <c r="GW119" s="104" t="str">
        <f aca="false">IF($B119=GW$12,$O119,"")</f>
        <v/>
      </c>
      <c r="GX119" s="104" t="str">
        <f aca="false">IF($B119=GX$12,$O119,"")</f>
        <v/>
      </c>
      <c r="GY119" s="104" t="str">
        <f aca="false">IF($B119=GY$12,$O119,"")</f>
        <v/>
      </c>
      <c r="GZ119" s="104" t="str">
        <f aca="false">IF($B119=GZ$12,$O119,"")</f>
        <v/>
      </c>
      <c r="HA119" s="104" t="str">
        <f aca="false">IF($B119=HA$12,$O119,"")</f>
        <v/>
      </c>
      <c r="HB119" s="104" t="str">
        <f aca="false">IF($B119=HB$12,$O119,"")</f>
        <v/>
      </c>
      <c r="HC119" s="104" t="str">
        <f aca="false">IF($B119=HC$12,$O119,"")</f>
        <v/>
      </c>
      <c r="HD119" s="104" t="str">
        <f aca="false">IF($B119=HD$12,$O119,"")</f>
        <v/>
      </c>
      <c r="HE119" s="104" t="str">
        <f aca="false">IF($B119=HE$12,$O119,"")</f>
        <v/>
      </c>
      <c r="HF119" s="104" t="str">
        <f aca="false">IF($B119=HF$12,$O119,"")</f>
        <v/>
      </c>
      <c r="HG119" s="104" t="str">
        <f aca="false">IF($B119=HG$12,$O119,"")</f>
        <v/>
      </c>
      <c r="HH119" s="104" t="str">
        <f aca="false">IF($B119=HH$12,$O119,"")</f>
        <v/>
      </c>
      <c r="HI119" s="104" t="str">
        <f aca="false">IF($B119=HI$12,$O119,"")</f>
        <v/>
      </c>
      <c r="HJ119" s="104" t="str">
        <f aca="false">IF($B119=HJ$12,$O119,"")</f>
        <v/>
      </c>
      <c r="HK119" s="104" t="str">
        <f aca="false">IF($B119=HK$12,$O119,"")</f>
        <v/>
      </c>
      <c r="HL119" s="104" t="str">
        <f aca="false">IF($B119=HL$12,$O119,"")</f>
        <v/>
      </c>
      <c r="HM119" s="104" t="str">
        <f aca="false">IF($B119=HM$12,$O119,"")</f>
        <v/>
      </c>
      <c r="HN119" s="104" t="str">
        <f aca="false">IF($B119=HN$12,$O119,"")</f>
        <v/>
      </c>
      <c r="HO119" s="104" t="str">
        <f aca="false">IF($B119=HO$12,$O119,"")</f>
        <v/>
      </c>
      <c r="HP119" s="104" t="str">
        <f aca="false">IF($B119=HP$12,$O119,"")</f>
        <v/>
      </c>
      <c r="HQ119" s="104" t="str">
        <f aca="false">IF($B119=HQ$12,$O119,"")</f>
        <v/>
      </c>
      <c r="HR119" s="105" t="str">
        <f aca="false">IF($B119=HR$12,$O119,"")</f>
        <v/>
      </c>
    </row>
    <row r="120" customFormat="false" ht="10.5" hidden="false" customHeight="true" outlineLevel="0" collapsed="false"/>
    <row r="121" customFormat="false" ht="12.75" hidden="false" customHeight="true" outlineLevel="0" collapsed="false">
      <c r="L121" s="124"/>
      <c r="O121" s="106" t="s">
        <v>25</v>
      </c>
      <c r="P121" s="107"/>
      <c r="Q121" s="1" t="n">
        <f aca="false">SUM(Q111:Q119)</f>
        <v>0</v>
      </c>
      <c r="R121" s="1" t="n">
        <f aca="false">SUM(R111:R119)</f>
        <v>0</v>
      </c>
    </row>
    <row r="122" customFormat="false" ht="10.5" hidden="false" customHeight="true" outlineLevel="0" collapsed="false"/>
    <row r="123" customFormat="false" ht="15.75" hidden="false" customHeight="true" outlineLevel="0" collapsed="false">
      <c r="A123" s="108"/>
      <c r="B123" s="109"/>
      <c r="C123" s="109"/>
      <c r="D123" s="109"/>
      <c r="E123" s="109"/>
      <c r="F123" s="109"/>
      <c r="G123" s="109" t="s">
        <v>27</v>
      </c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11"/>
    </row>
    <row r="124" customFormat="false" ht="10.5" hidden="false" customHeight="true" outlineLevel="0" collapsed="false"/>
    <row r="125" customFormat="false" ht="10.5" hidden="false" customHeight="true" outlineLevel="0" collapsed="false">
      <c r="A125" s="56"/>
      <c r="B125" s="112"/>
      <c r="C125" s="113" t="str">
        <f aca="false">IF(A125=0,"",VLOOKUP(A125,[3]CO!$A$3:$F$5311,2,0))</f>
        <v/>
      </c>
      <c r="D125" s="114"/>
      <c r="E125" s="114"/>
      <c r="F125" s="125" t="str">
        <f aca="false">IF(AND(B125&gt;0,H125&gt;0),(H125*100) &amp; "% DE $" &amp;$Q$107,"")</f>
        <v/>
      </c>
      <c r="G125" s="115" t="str">
        <f aca="false">IF(A125=0,"",VLOOKUP(A125,[3]CO!$A$3:$F$5311,3,0))</f>
        <v/>
      </c>
      <c r="H125" s="5"/>
      <c r="I125" s="116"/>
      <c r="J125" s="116"/>
      <c r="K125" s="116"/>
      <c r="L125" s="116"/>
      <c r="M125" s="117" t="str">
        <f aca="false">IF(L125=0,"",H125*Q$107/N125)</f>
        <v/>
      </c>
      <c r="N125" s="117" t="str">
        <f aca="false">IF(B125=0,"",IF(H125="M",HLOOKUP(B125,$Y$12:$DT$13,2),IF(A125=0,"",VLOOKUP(A125,[3]CO!$A$3:$F$5311,4,0))))</f>
        <v/>
      </c>
      <c r="O125" s="117" t="str">
        <f aca="false">IF(L125=0,"",PRODUCT(M125:N125))</f>
        <v/>
      </c>
      <c r="P125" s="57"/>
      <c r="Q125" s="63" t="str">
        <f aca="false">IF(P125=0,"",(HLOOKUP(P125,$DW$12:$HR$13,2)))</f>
        <v/>
      </c>
      <c r="R125" s="64"/>
      <c r="S125" s="5"/>
      <c r="T125" s="65" t="str">
        <f aca="false">IF(A125=0,"",VLOOKUP(A125,[3]CO!$A$3:$F$5302,5,0))</f>
        <v/>
      </c>
      <c r="U125" s="55" t="n">
        <f aca="false">IF(T125=1,O125*0.1,)</f>
        <v>0</v>
      </c>
      <c r="V125" s="66"/>
      <c r="W125" s="83"/>
      <c r="X125" s="83"/>
      <c r="Y125" s="118" t="str">
        <f aca="false">IF($B125=Y$12,$U125,"")</f>
        <v/>
      </c>
      <c r="Z125" s="119" t="str">
        <f aca="false">IF($B125=Z$12,$U125,"")</f>
        <v/>
      </c>
      <c r="AA125" s="119" t="str">
        <f aca="false">IF($B125=AA$12,$U125,"")</f>
        <v/>
      </c>
      <c r="AB125" s="119" t="str">
        <f aca="false">IF($B125=AB$12,$U125,"")</f>
        <v/>
      </c>
      <c r="AC125" s="119" t="str">
        <f aca="false">IF($B125=AC$12,$U125,"")</f>
        <v/>
      </c>
      <c r="AD125" s="119" t="str">
        <f aca="false">IF($B125=AD$12,$U125,"")</f>
        <v/>
      </c>
      <c r="AE125" s="119" t="str">
        <f aca="false">IF($B125=AE$12,$U125,"")</f>
        <v/>
      </c>
      <c r="AF125" s="119" t="str">
        <f aca="false">IF($B125=AF$12,$U125,"")</f>
        <v/>
      </c>
      <c r="AG125" s="119" t="str">
        <f aca="false">IF($B125=AG$12,$U125,"")</f>
        <v/>
      </c>
      <c r="AH125" s="119" t="str">
        <f aca="false">IF($B125=AH$12,$U125,"")</f>
        <v/>
      </c>
      <c r="AI125" s="119" t="str">
        <f aca="false">IF($B125=AI$12,$U125,"")</f>
        <v/>
      </c>
      <c r="AJ125" s="119" t="str">
        <f aca="false">IF($B125=AJ$12,$U125,"")</f>
        <v/>
      </c>
      <c r="AK125" s="119" t="str">
        <f aca="false">IF($B125=AK$12,$U125,"")</f>
        <v/>
      </c>
      <c r="AL125" s="119" t="str">
        <f aca="false">IF($B125=AL$12,$U125,"")</f>
        <v/>
      </c>
      <c r="AM125" s="119" t="str">
        <f aca="false">IF($B125=AM$12,$U125,"")</f>
        <v/>
      </c>
      <c r="AN125" s="119" t="str">
        <f aca="false">IF($B125=AN$12,$U125,"")</f>
        <v/>
      </c>
      <c r="AO125" s="119" t="str">
        <f aca="false">IF($B125=AO$12,$U125,"")</f>
        <v/>
      </c>
      <c r="AP125" s="119" t="str">
        <f aca="false">IF($B125=AP$12,$U125,"")</f>
        <v/>
      </c>
      <c r="AQ125" s="119" t="str">
        <f aca="false">IF($B125=AQ$12,$U125,"")</f>
        <v/>
      </c>
      <c r="AR125" s="119" t="str">
        <f aca="false">IF($B125=AR$12,$U125,"")</f>
        <v/>
      </c>
      <c r="AS125" s="119" t="str">
        <f aca="false">IF($B125=AS$12,$U125,"")</f>
        <v/>
      </c>
      <c r="AT125" s="119" t="str">
        <f aca="false">IF($B125=AT$12,$U125,"")</f>
        <v/>
      </c>
      <c r="AU125" s="119" t="str">
        <f aca="false">IF($B125=AU$12,$U125,"")</f>
        <v/>
      </c>
      <c r="AV125" s="119" t="str">
        <f aca="false">IF($B125=AV$12,$U125,"")</f>
        <v/>
      </c>
      <c r="AW125" s="119" t="str">
        <f aca="false">IF($B125=AW$12,$U125,"")</f>
        <v/>
      </c>
      <c r="AX125" s="119" t="str">
        <f aca="false">IF($B125=AX$12,$U125,"")</f>
        <v/>
      </c>
      <c r="AY125" s="119" t="str">
        <f aca="false">IF($B125=AY$12,$U125,"")</f>
        <v/>
      </c>
      <c r="AZ125" s="119" t="str">
        <f aca="false">IF($B125=AZ$12,$U125,"")</f>
        <v/>
      </c>
      <c r="BA125" s="119" t="str">
        <f aca="false">IF($B125=BA$12,$U125,"")</f>
        <v/>
      </c>
      <c r="BB125" s="119" t="str">
        <f aca="false">IF($B125=BB$12,$U125,"")</f>
        <v/>
      </c>
      <c r="BC125" s="119" t="str">
        <f aca="false">IF($B125=BC$12,$U125,"")</f>
        <v/>
      </c>
      <c r="BD125" s="119" t="str">
        <f aca="false">IF($B125=BD$12,$U125,"")</f>
        <v/>
      </c>
      <c r="BE125" s="119" t="str">
        <f aca="false">IF($B125=BE$12,$U125,"")</f>
        <v/>
      </c>
      <c r="BF125" s="119" t="str">
        <f aca="false">IF($B125=BF$12,$U125,"")</f>
        <v/>
      </c>
      <c r="BG125" s="119" t="str">
        <f aca="false">IF($B125=BG$12,$U125,"")</f>
        <v/>
      </c>
      <c r="BH125" s="119" t="str">
        <f aca="false">IF($B125=BH$12,$U125,"")</f>
        <v/>
      </c>
      <c r="BI125" s="119" t="str">
        <f aca="false">IF($B125=BI$12,$U125,"")</f>
        <v/>
      </c>
      <c r="BJ125" s="119" t="str">
        <f aca="false">IF($B125=BJ$12,$U125,"")</f>
        <v/>
      </c>
      <c r="BK125" s="119" t="str">
        <f aca="false">IF($B125=BK$12,$U125,"")</f>
        <v/>
      </c>
      <c r="BL125" s="119" t="str">
        <f aca="false">IF($B125=BL$12,$U125,"")</f>
        <v/>
      </c>
      <c r="BM125" s="119" t="str">
        <f aca="false">IF($B125=BM$12,$U125,"")</f>
        <v/>
      </c>
      <c r="BN125" s="119" t="str">
        <f aca="false">IF($B125=BN$12,$U125,"")</f>
        <v/>
      </c>
      <c r="BO125" s="119" t="str">
        <f aca="false">IF($B125=BO$12,$U125,"")</f>
        <v/>
      </c>
      <c r="BP125" s="119" t="str">
        <f aca="false">IF($B125=BP$12,$U125,"")</f>
        <v/>
      </c>
      <c r="BQ125" s="119" t="str">
        <f aca="false">IF($B125=BQ$12,$U125,"")</f>
        <v/>
      </c>
      <c r="BR125" s="119" t="str">
        <f aca="false">IF($B125=BR$12,$U125,"")</f>
        <v/>
      </c>
      <c r="BS125" s="119" t="str">
        <f aca="false">IF($B125=BS$12,$U125,"")</f>
        <v/>
      </c>
      <c r="BT125" s="119" t="str">
        <f aca="false">IF($B125=BT$12,$U125,"")</f>
        <v/>
      </c>
      <c r="BU125" s="119" t="str">
        <f aca="false">IF($B125=BU$12,$U125,"")</f>
        <v/>
      </c>
      <c r="BV125" s="119" t="str">
        <f aca="false">IF($B125=BV$12,$U125,"")</f>
        <v/>
      </c>
      <c r="BW125" s="119" t="str">
        <f aca="false">IF($B125=BW$12,$U125,"")</f>
        <v/>
      </c>
      <c r="BX125" s="119" t="str">
        <f aca="false">IF($B125=BX$12,$U125,"")</f>
        <v/>
      </c>
      <c r="BY125" s="119" t="str">
        <f aca="false">IF($B125=BY$12,$U125,"")</f>
        <v/>
      </c>
      <c r="BZ125" s="119" t="str">
        <f aca="false">IF($B125=BZ$12,$U125,"")</f>
        <v/>
      </c>
      <c r="CA125" s="119" t="str">
        <f aca="false">IF($B125=CA$12,$U125,"")</f>
        <v/>
      </c>
      <c r="CB125" s="119" t="str">
        <f aca="false">IF($B125=CB$12,$U125,"")</f>
        <v/>
      </c>
      <c r="CC125" s="119" t="str">
        <f aca="false">IF($B125=CC$12,$U125,"")</f>
        <v/>
      </c>
      <c r="CD125" s="119" t="str">
        <f aca="false">IF($B125=CD$12,$U125,"")</f>
        <v/>
      </c>
      <c r="CE125" s="119" t="str">
        <f aca="false">IF($B125=CE$12,$U125,"")</f>
        <v/>
      </c>
      <c r="CF125" s="119" t="str">
        <f aca="false">IF($B125=CF$12,$U125,"")</f>
        <v/>
      </c>
      <c r="CG125" s="119" t="str">
        <f aca="false">IF($B125=CG$12,$U125,"")</f>
        <v/>
      </c>
      <c r="CH125" s="119" t="str">
        <f aca="false">IF($B125=CH$12,$U125,"")</f>
        <v/>
      </c>
      <c r="CI125" s="119" t="str">
        <f aca="false">IF($B125=CI$12,$U125,"")</f>
        <v/>
      </c>
      <c r="CJ125" s="119" t="str">
        <f aca="false">IF($B125=CJ$12,$U125,"")</f>
        <v/>
      </c>
      <c r="CK125" s="119" t="str">
        <f aca="false">IF($B125=CK$12,$U125,"")</f>
        <v/>
      </c>
      <c r="CL125" s="119" t="str">
        <f aca="false">IF($B125=CL$12,$U125,"")</f>
        <v/>
      </c>
      <c r="CM125" s="119" t="str">
        <f aca="false">IF($B125=CM$12,$U125,"")</f>
        <v/>
      </c>
      <c r="CN125" s="119" t="str">
        <f aca="false">IF($B125=CN$12,$U125,"")</f>
        <v/>
      </c>
      <c r="CO125" s="119" t="str">
        <f aca="false">IF($B125=CO$12,$U125,"")</f>
        <v/>
      </c>
      <c r="CP125" s="119" t="str">
        <f aca="false">IF($B125=CP$12,$U125,"")</f>
        <v/>
      </c>
      <c r="CQ125" s="119" t="str">
        <f aca="false">IF($B125=CQ$12,$U125,"")</f>
        <v/>
      </c>
      <c r="CR125" s="119" t="str">
        <f aca="false">IF($B125=CR$12,$U125,"")</f>
        <v/>
      </c>
      <c r="CS125" s="119" t="str">
        <f aca="false">IF($B125=CS$12,$U125,"")</f>
        <v/>
      </c>
      <c r="CT125" s="119" t="str">
        <f aca="false">IF($B125=CT$12,$U125,"")</f>
        <v/>
      </c>
      <c r="CU125" s="119" t="str">
        <f aca="false">IF($B125=CU$12,$U125,"")</f>
        <v/>
      </c>
      <c r="CV125" s="119" t="str">
        <f aca="false">IF($B125=CV$12,$U125,"")</f>
        <v/>
      </c>
      <c r="CW125" s="119" t="str">
        <f aca="false">IF($B125=CW$12,$U125,"")</f>
        <v/>
      </c>
      <c r="CX125" s="119" t="str">
        <f aca="false">IF($B125=CX$12,$U125,"")</f>
        <v/>
      </c>
      <c r="CY125" s="119" t="str">
        <f aca="false">IF($B125=CY$12,$U125,"")</f>
        <v/>
      </c>
      <c r="CZ125" s="119" t="str">
        <f aca="false">IF($B125=CZ$12,$U125,"")</f>
        <v/>
      </c>
      <c r="DA125" s="119" t="str">
        <f aca="false">IF($B125=DA$12,$U125,"")</f>
        <v/>
      </c>
      <c r="DB125" s="119" t="str">
        <f aca="false">IF($B125=DB$12,$U125,"")</f>
        <v/>
      </c>
      <c r="DC125" s="119" t="str">
        <f aca="false">IF($B125=DC$12,$U125,"")</f>
        <v/>
      </c>
      <c r="DD125" s="119" t="str">
        <f aca="false">IF($B125=DD$12,$U125,"")</f>
        <v/>
      </c>
      <c r="DE125" s="119" t="str">
        <f aca="false">IF($B125=DE$12,$U125,"")</f>
        <v/>
      </c>
      <c r="DF125" s="119" t="str">
        <f aca="false">IF($B125=DF$12,$U125,"")</f>
        <v/>
      </c>
      <c r="DG125" s="119" t="str">
        <f aca="false">IF($B125=DG$12,$U125,"")</f>
        <v/>
      </c>
      <c r="DH125" s="119" t="str">
        <f aca="false">IF($B125=DH$12,$U125,"")</f>
        <v/>
      </c>
      <c r="DI125" s="119" t="str">
        <f aca="false">IF($B125=DI$12,$U125,"")</f>
        <v/>
      </c>
      <c r="DJ125" s="119" t="str">
        <f aca="false">IF($B125=DJ$12,$U125,"")</f>
        <v/>
      </c>
      <c r="DK125" s="119" t="str">
        <f aca="false">IF($B125=DK$12,$U125,"")</f>
        <v/>
      </c>
      <c r="DL125" s="119" t="str">
        <f aca="false">IF($B125=DL$12,$U125,"")</f>
        <v/>
      </c>
      <c r="DM125" s="119" t="str">
        <f aca="false">IF($B125=DM$12,$U125,"")</f>
        <v/>
      </c>
      <c r="DN125" s="119" t="str">
        <f aca="false">IF($B125=DN$12,$U125,"")</f>
        <v/>
      </c>
      <c r="DO125" s="119" t="str">
        <f aca="false">IF($B125=DO$12,$U125,"")</f>
        <v/>
      </c>
      <c r="DP125" s="119" t="str">
        <f aca="false">IF($B125=DP$12,$U125,"")</f>
        <v/>
      </c>
      <c r="DQ125" s="119" t="str">
        <f aca="false">IF($B125=DQ$12,$U125,"")</f>
        <v/>
      </c>
      <c r="DR125" s="119" t="str">
        <f aca="false">IF($B125=DR$12,$U125,"")</f>
        <v/>
      </c>
      <c r="DS125" s="119" t="str">
        <f aca="false">IF($B125=DS$12,$U125,"")</f>
        <v/>
      </c>
      <c r="DT125" s="120" t="str">
        <f aca="false">IF($B125=DT$12,$U125,"")</f>
        <v/>
      </c>
      <c r="DU125" s="55"/>
      <c r="DV125" s="83"/>
      <c r="DW125" s="121" t="str">
        <f aca="false">IF($B125=DW$12,$O125,"")</f>
        <v/>
      </c>
      <c r="DX125" s="122" t="str">
        <f aca="false">IF($B125=DX$12,$O125,"")</f>
        <v/>
      </c>
      <c r="DY125" s="122" t="str">
        <f aca="false">IF($B125=DY$12,$O125,"")</f>
        <v/>
      </c>
      <c r="DZ125" s="122" t="str">
        <f aca="false">IF($B125=DZ$12,$O125,"")</f>
        <v/>
      </c>
      <c r="EA125" s="122" t="str">
        <f aca="false">IF($B125=EA$12,$O125,"")</f>
        <v/>
      </c>
      <c r="EB125" s="122" t="str">
        <f aca="false">IF($B125=EB$12,$O125,"")</f>
        <v/>
      </c>
      <c r="EC125" s="122" t="str">
        <f aca="false">IF($B125=EC$12,$O125,"")</f>
        <v/>
      </c>
      <c r="ED125" s="122" t="str">
        <f aca="false">IF($B125=ED$12,$O125,"")</f>
        <v/>
      </c>
      <c r="EE125" s="122" t="str">
        <f aca="false">IF($B125=EE$12,$O125,"")</f>
        <v/>
      </c>
      <c r="EF125" s="122" t="str">
        <f aca="false">IF($B125=EF$12,$O125,"")</f>
        <v/>
      </c>
      <c r="EG125" s="122" t="str">
        <f aca="false">IF($B125=EG$12,$O125,"")</f>
        <v/>
      </c>
      <c r="EH125" s="122" t="str">
        <f aca="false">IF($B125=EH$12,$O125,"")</f>
        <v/>
      </c>
      <c r="EI125" s="122" t="str">
        <f aca="false">IF($B125=EI$12,$O125,"")</f>
        <v/>
      </c>
      <c r="EJ125" s="122" t="str">
        <f aca="false">IF($B125=EJ$12,$O125,"")</f>
        <v/>
      </c>
      <c r="EK125" s="122" t="str">
        <f aca="false">IF($B125=EK$12,$O125,"")</f>
        <v/>
      </c>
      <c r="EL125" s="122" t="str">
        <f aca="false">IF($B125=EL$12,$O125,"")</f>
        <v/>
      </c>
      <c r="EM125" s="122" t="str">
        <f aca="false">IF($B125=EM$12,$O125,"")</f>
        <v/>
      </c>
      <c r="EN125" s="122" t="str">
        <f aca="false">IF($B125=EN$12,$O125,"")</f>
        <v/>
      </c>
      <c r="EO125" s="122" t="str">
        <f aca="false">IF($B125=EO$12,$O125,"")</f>
        <v/>
      </c>
      <c r="EP125" s="122" t="str">
        <f aca="false">IF($B125=EP$12,$O125,"")</f>
        <v/>
      </c>
      <c r="EQ125" s="122" t="str">
        <f aca="false">IF($B125=EQ$12,$O125,"")</f>
        <v/>
      </c>
      <c r="ER125" s="122" t="str">
        <f aca="false">IF($B125=ER$12,$O125,"")</f>
        <v/>
      </c>
      <c r="ES125" s="122" t="str">
        <f aca="false">IF($B125=ES$12,$O125,"")</f>
        <v/>
      </c>
      <c r="ET125" s="122" t="str">
        <f aca="false">IF($B125=ET$12,$O125,"")</f>
        <v/>
      </c>
      <c r="EU125" s="122" t="str">
        <f aca="false">IF($B125=EU$12,$O125,"")</f>
        <v/>
      </c>
      <c r="EV125" s="122" t="str">
        <f aca="false">IF($B125=EV$12,$O125,"")</f>
        <v/>
      </c>
      <c r="EW125" s="122" t="str">
        <f aca="false">IF($B125=EW$12,$O125,"")</f>
        <v/>
      </c>
      <c r="EX125" s="122" t="str">
        <f aca="false">IF($B125=EX$12,$O125,"")</f>
        <v/>
      </c>
      <c r="EY125" s="122" t="str">
        <f aca="false">IF($B125=EY$12,$O125,"")</f>
        <v/>
      </c>
      <c r="EZ125" s="122" t="str">
        <f aca="false">IF($B125=EZ$12,$O125,"")</f>
        <v/>
      </c>
      <c r="FA125" s="122" t="str">
        <f aca="false">IF($B125=FA$12,$O125,"")</f>
        <v/>
      </c>
      <c r="FB125" s="122" t="str">
        <f aca="false">IF($B125=FB$12,$O125,"")</f>
        <v/>
      </c>
      <c r="FC125" s="122" t="str">
        <f aca="false">IF($B125=FC$12,$O125,"")</f>
        <v/>
      </c>
      <c r="FD125" s="122" t="str">
        <f aca="false">IF($B125=FD$12,$O125,"")</f>
        <v/>
      </c>
      <c r="FE125" s="122" t="str">
        <f aca="false">IF($B125=FE$12,$O125,"")</f>
        <v/>
      </c>
      <c r="FF125" s="122" t="str">
        <f aca="false">IF($B125=FF$12,$O125,"")</f>
        <v/>
      </c>
      <c r="FG125" s="122" t="str">
        <f aca="false">IF($B125=FG$12,$O125,"")</f>
        <v/>
      </c>
      <c r="FH125" s="122" t="str">
        <f aca="false">IF($B125=FH$12,$O125,"")</f>
        <v/>
      </c>
      <c r="FI125" s="122" t="str">
        <f aca="false">IF($B125=FI$12,$O125,"")</f>
        <v/>
      </c>
      <c r="FJ125" s="122" t="str">
        <f aca="false">IF($B125=FJ$12,$O125,"")</f>
        <v/>
      </c>
      <c r="FK125" s="122" t="str">
        <f aca="false">IF($B125=FK$12,$O125,"")</f>
        <v/>
      </c>
      <c r="FL125" s="122" t="str">
        <f aca="false">IF($B125=FL$12,$O125,"")</f>
        <v/>
      </c>
      <c r="FM125" s="122" t="str">
        <f aca="false">IF($B125=FM$12,$O125,"")</f>
        <v/>
      </c>
      <c r="FN125" s="122" t="str">
        <f aca="false">IF($B125=FN$12,$O125,"")</f>
        <v/>
      </c>
      <c r="FO125" s="122" t="str">
        <f aca="false">IF($B125=FO$12,$O125,"")</f>
        <v/>
      </c>
      <c r="FP125" s="122" t="str">
        <f aca="false">IF($B125=FP$12,$O125,"")</f>
        <v/>
      </c>
      <c r="FQ125" s="122" t="str">
        <f aca="false">IF($B125=FQ$12,$O125,"")</f>
        <v/>
      </c>
      <c r="FR125" s="122" t="str">
        <f aca="false">IF($B125=FR$12,$O125,"")</f>
        <v/>
      </c>
      <c r="FS125" s="122" t="str">
        <f aca="false">IF($B125=FS$12,$O125,"")</f>
        <v/>
      </c>
      <c r="FT125" s="122" t="str">
        <f aca="false">IF($B125=FT$12,$O125,"")</f>
        <v/>
      </c>
      <c r="FU125" s="122" t="str">
        <f aca="false">IF($B125=FU$12,$O125,"")</f>
        <v/>
      </c>
      <c r="FV125" s="122" t="str">
        <f aca="false">IF($B125=FV$12,$O125,"")</f>
        <v/>
      </c>
      <c r="FW125" s="122" t="str">
        <f aca="false">IF($B125=FW$12,$O125,"")</f>
        <v/>
      </c>
      <c r="FX125" s="122" t="str">
        <f aca="false">IF($B125=FX$12,$O125,"")</f>
        <v/>
      </c>
      <c r="FY125" s="122" t="str">
        <f aca="false">IF($B125=FY$12,$O125,"")</f>
        <v/>
      </c>
      <c r="FZ125" s="122" t="str">
        <f aca="false">IF($B125=FZ$12,$O125,"")</f>
        <v/>
      </c>
      <c r="GA125" s="122" t="str">
        <f aca="false">IF($B125=GA$12,$O125,"")</f>
        <v/>
      </c>
      <c r="GB125" s="122" t="str">
        <f aca="false">IF($B125=GB$12,$O125,"")</f>
        <v/>
      </c>
      <c r="GC125" s="122" t="str">
        <f aca="false">IF($B125=GC$12,$O125,"")</f>
        <v/>
      </c>
      <c r="GD125" s="122" t="str">
        <f aca="false">IF($B125=GD$12,$O125,"")</f>
        <v/>
      </c>
      <c r="GE125" s="122" t="str">
        <f aca="false">IF($B125=GE$12,$O125,"")</f>
        <v/>
      </c>
      <c r="GF125" s="122" t="str">
        <f aca="false">IF($B125=GF$12,$O125,"")</f>
        <v/>
      </c>
      <c r="GG125" s="122" t="str">
        <f aca="false">IF($B125=GG$12,$O125,"")</f>
        <v/>
      </c>
      <c r="GH125" s="122" t="str">
        <f aca="false">IF($B125=GH$12,$O125,"")</f>
        <v/>
      </c>
      <c r="GI125" s="122" t="str">
        <f aca="false">IF($B125=GI$12,$O125,"")</f>
        <v/>
      </c>
      <c r="GJ125" s="122" t="str">
        <f aca="false">IF($B125=GJ$12,$O125,"")</f>
        <v/>
      </c>
      <c r="GK125" s="122" t="str">
        <f aca="false">IF($B125=GK$12,$O125,"")</f>
        <v/>
      </c>
      <c r="GL125" s="122" t="str">
        <f aca="false">IF($B125=GL$12,$O125,"")</f>
        <v/>
      </c>
      <c r="GM125" s="122" t="str">
        <f aca="false">IF($B125=GM$12,$O125,"")</f>
        <v/>
      </c>
      <c r="GN125" s="122" t="str">
        <f aca="false">IF($B125=GN$12,$O125,"")</f>
        <v/>
      </c>
      <c r="GO125" s="122" t="str">
        <f aca="false">IF($B125=GO$12,$O125,"")</f>
        <v/>
      </c>
      <c r="GP125" s="122" t="str">
        <f aca="false">IF($B125=GP$12,$O125,"")</f>
        <v/>
      </c>
      <c r="GQ125" s="122" t="str">
        <f aca="false">IF($B125=GQ$12,$O125,"")</f>
        <v/>
      </c>
      <c r="GR125" s="122" t="str">
        <f aca="false">IF($B125=GR$12,$O125,"")</f>
        <v/>
      </c>
      <c r="GS125" s="122" t="str">
        <f aca="false">IF($B125=GS$12,$O125,"")</f>
        <v/>
      </c>
      <c r="GT125" s="122" t="str">
        <f aca="false">IF($B125=GT$12,$O125,"")</f>
        <v/>
      </c>
      <c r="GU125" s="122" t="str">
        <f aca="false">IF($B125=GU$12,$O125,"")</f>
        <v/>
      </c>
      <c r="GV125" s="122" t="str">
        <f aca="false">IF($B125=GV$12,$O125,"")</f>
        <v/>
      </c>
      <c r="GW125" s="122" t="str">
        <f aca="false">IF($B125=GW$12,$O125,"")</f>
        <v/>
      </c>
      <c r="GX125" s="122" t="str">
        <f aca="false">IF($B125=GX$12,$O125,"")</f>
        <v/>
      </c>
      <c r="GY125" s="122" t="str">
        <f aca="false">IF($B125=GY$12,$O125,"")</f>
        <v/>
      </c>
      <c r="GZ125" s="122" t="str">
        <f aca="false">IF($B125=GZ$12,$O125,"")</f>
        <v/>
      </c>
      <c r="HA125" s="122" t="str">
        <f aca="false">IF($B125=HA$12,$O125,"")</f>
        <v/>
      </c>
      <c r="HB125" s="122" t="str">
        <f aca="false">IF($B125=HB$12,$O125,"")</f>
        <v/>
      </c>
      <c r="HC125" s="122" t="str">
        <f aca="false">IF($B125=HC$12,$O125,"")</f>
        <v/>
      </c>
      <c r="HD125" s="122" t="str">
        <f aca="false">IF($B125=HD$12,$O125,"")</f>
        <v/>
      </c>
      <c r="HE125" s="122" t="str">
        <f aca="false">IF($B125=HE$12,$O125,"")</f>
        <v/>
      </c>
      <c r="HF125" s="122" t="str">
        <f aca="false">IF($B125=HF$12,$O125,"")</f>
        <v/>
      </c>
      <c r="HG125" s="122" t="str">
        <f aca="false">IF($B125=HG$12,$O125,"")</f>
        <v/>
      </c>
      <c r="HH125" s="122" t="str">
        <f aca="false">IF($B125=HH$12,$O125,"")</f>
        <v/>
      </c>
      <c r="HI125" s="122" t="str">
        <f aca="false">IF($B125=HI$12,$O125,"")</f>
        <v/>
      </c>
      <c r="HJ125" s="122" t="str">
        <f aca="false">IF($B125=HJ$12,$O125,"")</f>
        <v/>
      </c>
      <c r="HK125" s="122" t="str">
        <f aca="false">IF($B125=HK$12,$O125,"")</f>
        <v/>
      </c>
      <c r="HL125" s="122" t="str">
        <f aca="false">IF($B125=HL$12,$O125,"")</f>
        <v/>
      </c>
      <c r="HM125" s="122" t="str">
        <f aca="false">IF($B125=HM$12,$O125,"")</f>
        <v/>
      </c>
      <c r="HN125" s="122" t="str">
        <f aca="false">IF($B125=HN$12,$O125,"")</f>
        <v/>
      </c>
      <c r="HO125" s="122" t="str">
        <f aca="false">IF($B125=HO$12,$O125,"")</f>
        <v/>
      </c>
      <c r="HP125" s="122" t="str">
        <f aca="false">IF($B125=HP$12,$O125,"")</f>
        <v/>
      </c>
      <c r="HQ125" s="122" t="str">
        <f aca="false">IF($B125=HQ$12,$O125,"")</f>
        <v/>
      </c>
      <c r="HR125" s="123" t="str">
        <f aca="false">IF($B125=HR$12,$O125,"")</f>
        <v/>
      </c>
    </row>
    <row r="126" customFormat="false" ht="10.5" hidden="false" customHeight="true" outlineLevel="0" collapsed="false">
      <c r="A126" s="73"/>
      <c r="B126" s="74"/>
      <c r="C126" s="75" t="str">
        <f aca="false">IF(A126=0,"",VLOOKUP(A126,[3]CO!$A$3:$F$5311,2,0))</f>
        <v/>
      </c>
      <c r="D126" s="5"/>
      <c r="E126" s="76"/>
      <c r="F126" s="126" t="str">
        <f aca="false">IF(AND(B126&gt;0,H126&gt;0),(H126*100) &amp; "% DE $" &amp;$Q$107,"")</f>
        <v/>
      </c>
      <c r="G126" s="77" t="str">
        <f aca="false">IF(A126=0,"",VLOOKUP(A126,[3]CO!$A$3:$F$5311,3,0))</f>
        <v/>
      </c>
      <c r="H126" s="5"/>
      <c r="I126" s="78"/>
      <c r="J126" s="78"/>
      <c r="K126" s="78"/>
      <c r="L126" s="78"/>
      <c r="M126" s="79" t="str">
        <f aca="false">IF(L126=0,"",H126*Q$107/N126)</f>
        <v/>
      </c>
      <c r="N126" s="79" t="str">
        <f aca="false">IF(B126=0,"",IF(H126="M",HLOOKUP(B126,$Y$12:$DT$13,2),IF(A126=0,"",VLOOKUP(A126,[3]CO!$A$3:$F$5311,4,0))))</f>
        <v/>
      </c>
      <c r="O126" s="79" t="str">
        <f aca="false">IF(L126=0,"",PRODUCT(M126:N126))</f>
        <v/>
      </c>
      <c r="P126" s="80"/>
      <c r="Q126" s="81" t="str">
        <f aca="false">IF(P126=0,"",(HLOOKUP(P126,$DW$12:$HR$13,2)))</f>
        <v/>
      </c>
      <c r="R126" s="82"/>
      <c r="S126" s="5"/>
      <c r="T126" s="65" t="str">
        <f aca="false">IF(A126=0,"",VLOOKUP(A126,[3]CO!$A$3:$F$5302,5,0))</f>
        <v/>
      </c>
      <c r="U126" s="55" t="n">
        <f aca="false">IF(T126=1,O126*0.1,)</f>
        <v>0</v>
      </c>
      <c r="V126" s="66"/>
      <c r="W126" s="83"/>
      <c r="X126" s="83"/>
      <c r="Y126" s="84" t="str">
        <f aca="false">IF($B126=Y$12,$U126,"")</f>
        <v/>
      </c>
      <c r="Z126" s="85" t="str">
        <f aca="false">IF($B126=Z$12,$U126,"")</f>
        <v/>
      </c>
      <c r="AA126" s="85" t="str">
        <f aca="false">IF($B126=AA$12,$U126,"")</f>
        <v/>
      </c>
      <c r="AB126" s="85" t="str">
        <f aca="false">IF($B126=AB$12,$U126,"")</f>
        <v/>
      </c>
      <c r="AC126" s="85" t="str">
        <f aca="false">IF($B126=AC$12,$U126,"")</f>
        <v/>
      </c>
      <c r="AD126" s="85" t="str">
        <f aca="false">IF($B126=AD$12,$U126,"")</f>
        <v/>
      </c>
      <c r="AE126" s="85" t="str">
        <f aca="false">IF($B126=AE$12,$U126,"")</f>
        <v/>
      </c>
      <c r="AF126" s="85" t="str">
        <f aca="false">IF($B126=AF$12,$U126,"")</f>
        <v/>
      </c>
      <c r="AG126" s="85" t="str">
        <f aca="false">IF($B126=AG$12,$U126,"")</f>
        <v/>
      </c>
      <c r="AH126" s="85" t="str">
        <f aca="false">IF($B126=AH$12,$U126,"")</f>
        <v/>
      </c>
      <c r="AI126" s="85" t="str">
        <f aca="false">IF($B126=AI$12,$U126,"")</f>
        <v/>
      </c>
      <c r="AJ126" s="85" t="str">
        <f aca="false">IF($B126=AJ$12,$U126,"")</f>
        <v/>
      </c>
      <c r="AK126" s="85" t="str">
        <f aca="false">IF($B126=AK$12,$U126,"")</f>
        <v/>
      </c>
      <c r="AL126" s="85" t="str">
        <f aca="false">IF($B126=AL$12,$U126,"")</f>
        <v/>
      </c>
      <c r="AM126" s="85" t="str">
        <f aca="false">IF($B126=AM$12,$U126,"")</f>
        <v/>
      </c>
      <c r="AN126" s="85" t="str">
        <f aca="false">IF($B126=AN$12,$U126,"")</f>
        <v/>
      </c>
      <c r="AO126" s="85" t="str">
        <f aca="false">IF($B126=AO$12,$U126,"")</f>
        <v/>
      </c>
      <c r="AP126" s="85" t="str">
        <f aca="false">IF($B126=AP$12,$U126,"")</f>
        <v/>
      </c>
      <c r="AQ126" s="85" t="str">
        <f aca="false">IF($B126=AQ$12,$U126,"")</f>
        <v/>
      </c>
      <c r="AR126" s="85" t="str">
        <f aca="false">IF($B126=AR$12,$U126,"")</f>
        <v/>
      </c>
      <c r="AS126" s="85" t="str">
        <f aca="false">IF($B126=AS$12,$U126,"")</f>
        <v/>
      </c>
      <c r="AT126" s="85" t="str">
        <f aca="false">IF($B126=AT$12,$U126,"")</f>
        <v/>
      </c>
      <c r="AU126" s="85" t="str">
        <f aca="false">IF($B126=AU$12,$U126,"")</f>
        <v/>
      </c>
      <c r="AV126" s="85" t="str">
        <f aca="false">IF($B126=AV$12,$U126,"")</f>
        <v/>
      </c>
      <c r="AW126" s="85" t="str">
        <f aca="false">IF($B126=AW$12,$U126,"")</f>
        <v/>
      </c>
      <c r="AX126" s="85" t="str">
        <f aca="false">IF($B126=AX$12,$U126,"")</f>
        <v/>
      </c>
      <c r="AY126" s="85" t="str">
        <f aca="false">IF($B126=AY$12,$U126,"")</f>
        <v/>
      </c>
      <c r="AZ126" s="85" t="str">
        <f aca="false">IF($B126=AZ$12,$U126,"")</f>
        <v/>
      </c>
      <c r="BA126" s="85" t="str">
        <f aca="false">IF($B126=BA$12,$U126,"")</f>
        <v/>
      </c>
      <c r="BB126" s="85" t="str">
        <f aca="false">IF($B126=BB$12,$U126,"")</f>
        <v/>
      </c>
      <c r="BC126" s="85" t="str">
        <f aca="false">IF($B126=BC$12,$U126,"")</f>
        <v/>
      </c>
      <c r="BD126" s="85" t="str">
        <f aca="false">IF($B126=BD$12,$U126,"")</f>
        <v/>
      </c>
      <c r="BE126" s="85" t="str">
        <f aca="false">IF($B126=BE$12,$U126,"")</f>
        <v/>
      </c>
      <c r="BF126" s="85" t="str">
        <f aca="false">IF($B126=BF$12,$U126,"")</f>
        <v/>
      </c>
      <c r="BG126" s="85" t="str">
        <f aca="false">IF($B126=BG$12,$U126,"")</f>
        <v/>
      </c>
      <c r="BH126" s="85" t="str">
        <f aca="false">IF($B126=BH$12,$U126,"")</f>
        <v/>
      </c>
      <c r="BI126" s="85" t="str">
        <f aca="false">IF($B126=BI$12,$U126,"")</f>
        <v/>
      </c>
      <c r="BJ126" s="85" t="str">
        <f aca="false">IF($B126=BJ$12,$U126,"")</f>
        <v/>
      </c>
      <c r="BK126" s="85" t="str">
        <f aca="false">IF($B126=BK$12,$U126,"")</f>
        <v/>
      </c>
      <c r="BL126" s="85" t="str">
        <f aca="false">IF($B126=BL$12,$U126,"")</f>
        <v/>
      </c>
      <c r="BM126" s="85" t="str">
        <f aca="false">IF($B126=BM$12,$U126,"")</f>
        <v/>
      </c>
      <c r="BN126" s="85" t="str">
        <f aca="false">IF($B126=BN$12,$U126,"")</f>
        <v/>
      </c>
      <c r="BO126" s="85" t="str">
        <f aca="false">IF($B126=BO$12,$U126,"")</f>
        <v/>
      </c>
      <c r="BP126" s="85" t="str">
        <f aca="false">IF($B126=BP$12,$U126,"")</f>
        <v/>
      </c>
      <c r="BQ126" s="85" t="str">
        <f aca="false">IF($B126=BQ$12,$U126,"")</f>
        <v/>
      </c>
      <c r="BR126" s="85" t="str">
        <f aca="false">IF($B126=BR$12,$U126,"")</f>
        <v/>
      </c>
      <c r="BS126" s="85" t="str">
        <f aca="false">IF($B126=BS$12,$U126,"")</f>
        <v/>
      </c>
      <c r="BT126" s="85" t="str">
        <f aca="false">IF($B126=BT$12,$U126,"")</f>
        <v/>
      </c>
      <c r="BU126" s="85" t="str">
        <f aca="false">IF($B126=BU$12,$U126,"")</f>
        <v/>
      </c>
      <c r="BV126" s="85" t="str">
        <f aca="false">IF($B126=BV$12,$U126,"")</f>
        <v/>
      </c>
      <c r="BW126" s="85" t="str">
        <f aca="false">IF($B126=BW$12,$U126,"")</f>
        <v/>
      </c>
      <c r="BX126" s="85" t="str">
        <f aca="false">IF($B126=BX$12,$U126,"")</f>
        <v/>
      </c>
      <c r="BY126" s="85" t="str">
        <f aca="false">IF($B126=BY$12,$U126,"")</f>
        <v/>
      </c>
      <c r="BZ126" s="85" t="str">
        <f aca="false">IF($B126=BZ$12,$U126,"")</f>
        <v/>
      </c>
      <c r="CA126" s="85" t="str">
        <f aca="false">IF($B126=CA$12,$U126,"")</f>
        <v/>
      </c>
      <c r="CB126" s="85" t="str">
        <f aca="false">IF($B126=CB$12,$U126,"")</f>
        <v/>
      </c>
      <c r="CC126" s="85" t="str">
        <f aca="false">IF($B126=CC$12,$U126,"")</f>
        <v/>
      </c>
      <c r="CD126" s="85" t="str">
        <f aca="false">IF($B126=CD$12,$U126,"")</f>
        <v/>
      </c>
      <c r="CE126" s="85" t="str">
        <f aca="false">IF($B126=CE$12,$U126,"")</f>
        <v/>
      </c>
      <c r="CF126" s="85" t="str">
        <f aca="false">IF($B126=CF$12,$U126,"")</f>
        <v/>
      </c>
      <c r="CG126" s="85" t="str">
        <f aca="false">IF($B126=CG$12,$U126,"")</f>
        <v/>
      </c>
      <c r="CH126" s="85" t="str">
        <f aca="false">IF($B126=CH$12,$U126,"")</f>
        <v/>
      </c>
      <c r="CI126" s="85" t="str">
        <f aca="false">IF($B126=CI$12,$U126,"")</f>
        <v/>
      </c>
      <c r="CJ126" s="85" t="str">
        <f aca="false">IF($B126=CJ$12,$U126,"")</f>
        <v/>
      </c>
      <c r="CK126" s="85" t="str">
        <f aca="false">IF($B126=CK$12,$U126,"")</f>
        <v/>
      </c>
      <c r="CL126" s="85" t="str">
        <f aca="false">IF($B126=CL$12,$U126,"")</f>
        <v/>
      </c>
      <c r="CM126" s="85" t="str">
        <f aca="false">IF($B126=CM$12,$U126,"")</f>
        <v/>
      </c>
      <c r="CN126" s="85" t="str">
        <f aca="false">IF($B126=CN$12,$U126,"")</f>
        <v/>
      </c>
      <c r="CO126" s="85" t="str">
        <f aca="false">IF($B126=CO$12,$U126,"")</f>
        <v/>
      </c>
      <c r="CP126" s="85" t="str">
        <f aca="false">IF($B126=CP$12,$U126,"")</f>
        <v/>
      </c>
      <c r="CQ126" s="85" t="str">
        <f aca="false">IF($B126=CQ$12,$U126,"")</f>
        <v/>
      </c>
      <c r="CR126" s="85" t="str">
        <f aca="false">IF($B126=CR$12,$U126,"")</f>
        <v/>
      </c>
      <c r="CS126" s="85" t="str">
        <f aca="false">IF($B126=CS$12,$U126,"")</f>
        <v/>
      </c>
      <c r="CT126" s="85" t="str">
        <f aca="false">IF($B126=CT$12,$U126,"")</f>
        <v/>
      </c>
      <c r="CU126" s="85" t="str">
        <f aca="false">IF($B126=CU$12,$U126,"")</f>
        <v/>
      </c>
      <c r="CV126" s="85" t="str">
        <f aca="false">IF($B126=CV$12,$U126,"")</f>
        <v/>
      </c>
      <c r="CW126" s="85" t="str">
        <f aca="false">IF($B126=CW$12,$U126,"")</f>
        <v/>
      </c>
      <c r="CX126" s="85" t="str">
        <f aca="false">IF($B126=CX$12,$U126,"")</f>
        <v/>
      </c>
      <c r="CY126" s="85" t="str">
        <f aca="false">IF($B126=CY$12,$U126,"")</f>
        <v/>
      </c>
      <c r="CZ126" s="85" t="str">
        <f aca="false">IF($B126=CZ$12,$U126,"")</f>
        <v/>
      </c>
      <c r="DA126" s="85" t="str">
        <f aca="false">IF($B126=DA$12,$U126,"")</f>
        <v/>
      </c>
      <c r="DB126" s="85" t="str">
        <f aca="false">IF($B126=DB$12,$U126,"")</f>
        <v/>
      </c>
      <c r="DC126" s="85" t="str">
        <f aca="false">IF($B126=DC$12,$U126,"")</f>
        <v/>
      </c>
      <c r="DD126" s="85" t="str">
        <f aca="false">IF($B126=DD$12,$U126,"")</f>
        <v/>
      </c>
      <c r="DE126" s="85" t="str">
        <f aca="false">IF($B126=DE$12,$U126,"")</f>
        <v/>
      </c>
      <c r="DF126" s="85" t="str">
        <f aca="false">IF($B126=DF$12,$U126,"")</f>
        <v/>
      </c>
      <c r="DG126" s="85" t="str">
        <f aca="false">IF($B126=DG$12,$U126,"")</f>
        <v/>
      </c>
      <c r="DH126" s="85" t="str">
        <f aca="false">IF($B126=DH$12,$U126,"")</f>
        <v/>
      </c>
      <c r="DI126" s="85" t="str">
        <f aca="false">IF($B126=DI$12,$U126,"")</f>
        <v/>
      </c>
      <c r="DJ126" s="85" t="str">
        <f aca="false">IF($B126=DJ$12,$U126,"")</f>
        <v/>
      </c>
      <c r="DK126" s="85" t="str">
        <f aca="false">IF($B126=DK$12,$U126,"")</f>
        <v/>
      </c>
      <c r="DL126" s="85" t="str">
        <f aca="false">IF($B126=DL$12,$U126,"")</f>
        <v/>
      </c>
      <c r="DM126" s="85" t="str">
        <f aca="false">IF($B126=DM$12,$U126,"")</f>
        <v/>
      </c>
      <c r="DN126" s="85" t="str">
        <f aca="false">IF($B126=DN$12,$U126,"")</f>
        <v/>
      </c>
      <c r="DO126" s="85" t="str">
        <f aca="false">IF($B126=DO$12,$U126,"")</f>
        <v/>
      </c>
      <c r="DP126" s="85" t="str">
        <f aca="false">IF($B126=DP$12,$U126,"")</f>
        <v/>
      </c>
      <c r="DQ126" s="85" t="str">
        <f aca="false">IF($B126=DQ$12,$U126,"")</f>
        <v/>
      </c>
      <c r="DR126" s="85" t="str">
        <f aca="false">IF($B126=DR$12,$U126,"")</f>
        <v/>
      </c>
      <c r="DS126" s="85" t="str">
        <f aca="false">IF($B126=DS$12,$U126,"")</f>
        <v/>
      </c>
      <c r="DT126" s="86" t="str">
        <f aca="false">IF($B126=DT$12,$U126,"")</f>
        <v/>
      </c>
      <c r="DU126" s="55"/>
      <c r="DV126" s="83"/>
      <c r="DW126" s="87" t="str">
        <f aca="false">IF($B126=DW$12,$O126,"")</f>
        <v/>
      </c>
      <c r="DX126" s="88" t="str">
        <f aca="false">IF($B126=DX$12,$O126,"")</f>
        <v/>
      </c>
      <c r="DY126" s="88" t="str">
        <f aca="false">IF($B126=DY$12,$O126,"")</f>
        <v/>
      </c>
      <c r="DZ126" s="88" t="str">
        <f aca="false">IF($B126=DZ$12,$O126,"")</f>
        <v/>
      </c>
      <c r="EA126" s="88" t="str">
        <f aca="false">IF($B126=EA$12,$O126,"")</f>
        <v/>
      </c>
      <c r="EB126" s="88" t="str">
        <f aca="false">IF($B126=EB$12,$O126,"")</f>
        <v/>
      </c>
      <c r="EC126" s="88" t="str">
        <f aca="false">IF($B126=EC$12,$O126,"")</f>
        <v/>
      </c>
      <c r="ED126" s="88" t="str">
        <f aca="false">IF($B126=ED$12,$O126,"")</f>
        <v/>
      </c>
      <c r="EE126" s="88" t="str">
        <f aca="false">IF($B126=EE$12,$O126,"")</f>
        <v/>
      </c>
      <c r="EF126" s="88" t="str">
        <f aca="false">IF($B126=EF$12,$O126,"")</f>
        <v/>
      </c>
      <c r="EG126" s="88" t="str">
        <f aca="false">IF($B126=EG$12,$O126,"")</f>
        <v/>
      </c>
      <c r="EH126" s="88" t="str">
        <f aca="false">IF($B126=EH$12,$O126,"")</f>
        <v/>
      </c>
      <c r="EI126" s="88" t="str">
        <f aca="false">IF($B126=EI$12,$O126,"")</f>
        <v/>
      </c>
      <c r="EJ126" s="88" t="str">
        <f aca="false">IF($B126=EJ$12,$O126,"")</f>
        <v/>
      </c>
      <c r="EK126" s="88" t="str">
        <f aca="false">IF($B126=EK$12,$O126,"")</f>
        <v/>
      </c>
      <c r="EL126" s="88" t="str">
        <f aca="false">IF($B126=EL$12,$O126,"")</f>
        <v/>
      </c>
      <c r="EM126" s="88" t="str">
        <f aca="false">IF($B126=EM$12,$O126,"")</f>
        <v/>
      </c>
      <c r="EN126" s="88" t="str">
        <f aca="false">IF($B126=EN$12,$O126,"")</f>
        <v/>
      </c>
      <c r="EO126" s="88" t="str">
        <f aca="false">IF($B126=EO$12,$O126,"")</f>
        <v/>
      </c>
      <c r="EP126" s="88" t="str">
        <f aca="false">IF($B126=EP$12,$O126,"")</f>
        <v/>
      </c>
      <c r="EQ126" s="88" t="str">
        <f aca="false">IF($B126=EQ$12,$O126,"")</f>
        <v/>
      </c>
      <c r="ER126" s="88" t="str">
        <f aca="false">IF($B126=ER$12,$O126,"")</f>
        <v/>
      </c>
      <c r="ES126" s="88" t="str">
        <f aca="false">IF($B126=ES$12,$O126,"")</f>
        <v/>
      </c>
      <c r="ET126" s="88" t="str">
        <f aca="false">IF($B126=ET$12,$O126,"")</f>
        <v/>
      </c>
      <c r="EU126" s="88" t="str">
        <f aca="false">IF($B126=EU$12,$O126,"")</f>
        <v/>
      </c>
      <c r="EV126" s="88" t="str">
        <f aca="false">IF($B126=EV$12,$O126,"")</f>
        <v/>
      </c>
      <c r="EW126" s="88" t="str">
        <f aca="false">IF($B126=EW$12,$O126,"")</f>
        <v/>
      </c>
      <c r="EX126" s="88" t="str">
        <f aca="false">IF($B126=EX$12,$O126,"")</f>
        <v/>
      </c>
      <c r="EY126" s="88" t="str">
        <f aca="false">IF($B126=EY$12,$O126,"")</f>
        <v/>
      </c>
      <c r="EZ126" s="88" t="str">
        <f aca="false">IF($B126=EZ$12,$O126,"")</f>
        <v/>
      </c>
      <c r="FA126" s="88" t="str">
        <f aca="false">IF($B126=FA$12,$O126,"")</f>
        <v/>
      </c>
      <c r="FB126" s="88" t="str">
        <f aca="false">IF($B126=FB$12,$O126,"")</f>
        <v/>
      </c>
      <c r="FC126" s="88" t="str">
        <f aca="false">IF($B126=FC$12,$O126,"")</f>
        <v/>
      </c>
      <c r="FD126" s="88" t="str">
        <f aca="false">IF($B126=FD$12,$O126,"")</f>
        <v/>
      </c>
      <c r="FE126" s="88" t="str">
        <f aca="false">IF($B126=FE$12,$O126,"")</f>
        <v/>
      </c>
      <c r="FF126" s="88" t="str">
        <f aca="false">IF($B126=FF$12,$O126,"")</f>
        <v/>
      </c>
      <c r="FG126" s="88" t="str">
        <f aca="false">IF($B126=FG$12,$O126,"")</f>
        <v/>
      </c>
      <c r="FH126" s="88" t="str">
        <f aca="false">IF($B126=FH$12,$O126,"")</f>
        <v/>
      </c>
      <c r="FI126" s="88" t="str">
        <f aca="false">IF($B126=FI$12,$O126,"")</f>
        <v/>
      </c>
      <c r="FJ126" s="88" t="str">
        <f aca="false">IF($B126=FJ$12,$O126,"")</f>
        <v/>
      </c>
      <c r="FK126" s="88" t="str">
        <f aca="false">IF($B126=FK$12,$O126,"")</f>
        <v/>
      </c>
      <c r="FL126" s="88" t="str">
        <f aca="false">IF($B126=FL$12,$O126,"")</f>
        <v/>
      </c>
      <c r="FM126" s="88" t="str">
        <f aca="false">IF($B126=FM$12,$O126,"")</f>
        <v/>
      </c>
      <c r="FN126" s="88" t="str">
        <f aca="false">IF($B126=FN$12,$O126,"")</f>
        <v/>
      </c>
      <c r="FO126" s="88" t="str">
        <f aca="false">IF($B126=FO$12,$O126,"")</f>
        <v/>
      </c>
      <c r="FP126" s="88" t="str">
        <f aca="false">IF($B126=FP$12,$O126,"")</f>
        <v/>
      </c>
      <c r="FQ126" s="88" t="str">
        <f aca="false">IF($B126=FQ$12,$O126,"")</f>
        <v/>
      </c>
      <c r="FR126" s="88" t="str">
        <f aca="false">IF($B126=FR$12,$O126,"")</f>
        <v/>
      </c>
      <c r="FS126" s="88" t="str">
        <f aca="false">IF($B126=FS$12,$O126,"")</f>
        <v/>
      </c>
      <c r="FT126" s="88" t="str">
        <f aca="false">IF($B126=FT$12,$O126,"")</f>
        <v/>
      </c>
      <c r="FU126" s="88" t="str">
        <f aca="false">IF($B126=FU$12,$O126,"")</f>
        <v/>
      </c>
      <c r="FV126" s="88" t="str">
        <f aca="false">IF($B126=FV$12,$O126,"")</f>
        <v/>
      </c>
      <c r="FW126" s="88" t="str">
        <f aca="false">IF($B126=FW$12,$O126,"")</f>
        <v/>
      </c>
      <c r="FX126" s="88" t="str">
        <f aca="false">IF($B126=FX$12,$O126,"")</f>
        <v/>
      </c>
      <c r="FY126" s="88" t="str">
        <f aca="false">IF($B126=FY$12,$O126,"")</f>
        <v/>
      </c>
      <c r="FZ126" s="88" t="str">
        <f aca="false">IF($B126=FZ$12,$O126,"")</f>
        <v/>
      </c>
      <c r="GA126" s="88" t="str">
        <f aca="false">IF($B126=GA$12,$O126,"")</f>
        <v/>
      </c>
      <c r="GB126" s="88" t="str">
        <f aca="false">IF($B126=GB$12,$O126,"")</f>
        <v/>
      </c>
      <c r="GC126" s="88" t="str">
        <f aca="false">IF($B126=GC$12,$O126,"")</f>
        <v/>
      </c>
      <c r="GD126" s="88" t="str">
        <f aca="false">IF($B126=GD$12,$O126,"")</f>
        <v/>
      </c>
      <c r="GE126" s="88" t="str">
        <f aca="false">IF($B126=GE$12,$O126,"")</f>
        <v/>
      </c>
      <c r="GF126" s="88" t="str">
        <f aca="false">IF($B126=GF$12,$O126,"")</f>
        <v/>
      </c>
      <c r="GG126" s="88" t="str">
        <f aca="false">IF($B126=GG$12,$O126,"")</f>
        <v/>
      </c>
      <c r="GH126" s="88" t="str">
        <f aca="false">IF($B126=GH$12,$O126,"")</f>
        <v/>
      </c>
      <c r="GI126" s="88" t="str">
        <f aca="false">IF($B126=GI$12,$O126,"")</f>
        <v/>
      </c>
      <c r="GJ126" s="88" t="str">
        <f aca="false">IF($B126=GJ$12,$O126,"")</f>
        <v/>
      </c>
      <c r="GK126" s="88" t="str">
        <f aca="false">IF($B126=GK$12,$O126,"")</f>
        <v/>
      </c>
      <c r="GL126" s="88" t="str">
        <f aca="false">IF($B126=GL$12,$O126,"")</f>
        <v/>
      </c>
      <c r="GM126" s="88" t="str">
        <f aca="false">IF($B126=GM$12,$O126,"")</f>
        <v/>
      </c>
      <c r="GN126" s="88" t="str">
        <f aca="false">IF($B126=GN$12,$O126,"")</f>
        <v/>
      </c>
      <c r="GO126" s="88" t="str">
        <f aca="false">IF($B126=GO$12,$O126,"")</f>
        <v/>
      </c>
      <c r="GP126" s="88" t="str">
        <f aca="false">IF($B126=GP$12,$O126,"")</f>
        <v/>
      </c>
      <c r="GQ126" s="88" t="str">
        <f aca="false">IF($B126=GQ$12,$O126,"")</f>
        <v/>
      </c>
      <c r="GR126" s="88" t="str">
        <f aca="false">IF($B126=GR$12,$O126,"")</f>
        <v/>
      </c>
      <c r="GS126" s="88" t="str">
        <f aca="false">IF($B126=GS$12,$O126,"")</f>
        <v/>
      </c>
      <c r="GT126" s="88" t="str">
        <f aca="false">IF($B126=GT$12,$O126,"")</f>
        <v/>
      </c>
      <c r="GU126" s="88" t="str">
        <f aca="false">IF($B126=GU$12,$O126,"")</f>
        <v/>
      </c>
      <c r="GV126" s="88" t="str">
        <f aca="false">IF($B126=GV$12,$O126,"")</f>
        <v/>
      </c>
      <c r="GW126" s="88" t="str">
        <f aca="false">IF($B126=GW$12,$O126,"")</f>
        <v/>
      </c>
      <c r="GX126" s="88" t="str">
        <f aca="false">IF($B126=GX$12,$O126,"")</f>
        <v/>
      </c>
      <c r="GY126" s="88" t="str">
        <f aca="false">IF($B126=GY$12,$O126,"")</f>
        <v/>
      </c>
      <c r="GZ126" s="88" t="str">
        <f aca="false">IF($B126=GZ$12,$O126,"")</f>
        <v/>
      </c>
      <c r="HA126" s="88" t="str">
        <f aca="false">IF($B126=HA$12,$O126,"")</f>
        <v/>
      </c>
      <c r="HB126" s="88" t="str">
        <f aca="false">IF($B126=HB$12,$O126,"")</f>
        <v/>
      </c>
      <c r="HC126" s="88" t="str">
        <f aca="false">IF($B126=HC$12,$O126,"")</f>
        <v/>
      </c>
      <c r="HD126" s="88" t="str">
        <f aca="false">IF($B126=HD$12,$O126,"")</f>
        <v/>
      </c>
      <c r="HE126" s="88" t="str">
        <f aca="false">IF($B126=HE$12,$O126,"")</f>
        <v/>
      </c>
      <c r="HF126" s="88" t="str">
        <f aca="false">IF($B126=HF$12,$O126,"")</f>
        <v/>
      </c>
      <c r="HG126" s="88" t="str">
        <f aca="false">IF($B126=HG$12,$O126,"")</f>
        <v/>
      </c>
      <c r="HH126" s="88" t="str">
        <f aca="false">IF($B126=HH$12,$O126,"")</f>
        <v/>
      </c>
      <c r="HI126" s="88" t="str">
        <f aca="false">IF($B126=HI$12,$O126,"")</f>
        <v/>
      </c>
      <c r="HJ126" s="88" t="str">
        <f aca="false">IF($B126=HJ$12,$O126,"")</f>
        <v/>
      </c>
      <c r="HK126" s="88" t="str">
        <f aca="false">IF($B126=HK$12,$O126,"")</f>
        <v/>
      </c>
      <c r="HL126" s="88" t="str">
        <f aca="false">IF($B126=HL$12,$O126,"")</f>
        <v/>
      </c>
      <c r="HM126" s="88" t="str">
        <f aca="false">IF($B126=HM$12,$O126,"")</f>
        <v/>
      </c>
      <c r="HN126" s="88" t="str">
        <f aca="false">IF($B126=HN$12,$O126,"")</f>
        <v/>
      </c>
      <c r="HO126" s="88" t="str">
        <f aca="false">IF($B126=HO$12,$O126,"")</f>
        <v/>
      </c>
      <c r="HP126" s="88" t="str">
        <f aca="false">IF($B126=HP$12,$O126,"")</f>
        <v/>
      </c>
      <c r="HQ126" s="88" t="str">
        <f aca="false">IF($B126=HQ$12,$O126,"")</f>
        <v/>
      </c>
      <c r="HR126" s="89" t="str">
        <f aca="false">IF($B126=HR$12,$O126,"")</f>
        <v/>
      </c>
    </row>
    <row r="127" customFormat="false" ht="10.5" hidden="false" customHeight="true" outlineLevel="0" collapsed="false">
      <c r="A127" s="73"/>
      <c r="B127" s="74"/>
      <c r="C127" s="75" t="str">
        <f aca="false">IF(A127=0,"",VLOOKUP(A127,[3]CO!$A$3:$F$5311,2,0))</f>
        <v/>
      </c>
      <c r="D127" s="76"/>
      <c r="E127" s="76"/>
      <c r="F127" s="126" t="str">
        <f aca="false">IF(AND(B127&gt;0,H127&gt;0),(H127*100) &amp; "% DE $" &amp;$Q$107,"")</f>
        <v/>
      </c>
      <c r="G127" s="77" t="str">
        <f aca="false">IF(A127=0,"",VLOOKUP(A127,[3]CO!$A$3:$F$5311,3,0))</f>
        <v/>
      </c>
      <c r="H127" s="5"/>
      <c r="I127" s="78"/>
      <c r="J127" s="78"/>
      <c r="K127" s="78"/>
      <c r="L127" s="78"/>
      <c r="M127" s="79" t="str">
        <f aca="false">IF(L127=0,"",H127*Q$107/N127)</f>
        <v/>
      </c>
      <c r="N127" s="79" t="str">
        <f aca="false">IF(B127=0,"",IF(H127="M",HLOOKUP(B127,$Y$12:$DT$13,2),IF(A127=0,"",VLOOKUP(A127,[3]CO!$A$3:$F$5311,4,0))))</f>
        <v/>
      </c>
      <c r="O127" s="79" t="str">
        <f aca="false">IF(L127=0,"",PRODUCT(M127:N127))</f>
        <v/>
      </c>
      <c r="P127" s="80"/>
      <c r="Q127" s="81" t="str">
        <f aca="false">IF(P127=0,"",(HLOOKUP(P127,$DW$12:$HR$13,2)))</f>
        <v/>
      </c>
      <c r="R127" s="82"/>
      <c r="S127" s="5"/>
      <c r="T127" s="65" t="str">
        <f aca="false">IF(A127=0,"",VLOOKUP(A127,[3]CO!$A$3:$F$5302,5,0))</f>
        <v/>
      </c>
      <c r="U127" s="55" t="n">
        <f aca="false">IF(T127=1,O127*0.1,)</f>
        <v>0</v>
      </c>
      <c r="V127" s="66"/>
      <c r="W127" s="83"/>
      <c r="X127" s="83"/>
      <c r="Y127" s="84" t="str">
        <f aca="false">IF($B127=Y$12,$U127,"")</f>
        <v/>
      </c>
      <c r="Z127" s="85" t="str">
        <f aca="false">IF($B127=Z$12,$U127,"")</f>
        <v/>
      </c>
      <c r="AA127" s="85" t="str">
        <f aca="false">IF($B127=AA$12,$U127,"")</f>
        <v/>
      </c>
      <c r="AB127" s="85" t="str">
        <f aca="false">IF($B127=AB$12,$U127,"")</f>
        <v/>
      </c>
      <c r="AC127" s="85" t="str">
        <f aca="false">IF($B127=AC$12,$U127,"")</f>
        <v/>
      </c>
      <c r="AD127" s="85" t="str">
        <f aca="false">IF($B127=AD$12,$U127,"")</f>
        <v/>
      </c>
      <c r="AE127" s="85" t="str">
        <f aca="false">IF($B127=AE$12,$U127,"")</f>
        <v/>
      </c>
      <c r="AF127" s="85" t="str">
        <f aca="false">IF($B127=AF$12,$U127,"")</f>
        <v/>
      </c>
      <c r="AG127" s="85" t="str">
        <f aca="false">IF($B127=AG$12,$U127,"")</f>
        <v/>
      </c>
      <c r="AH127" s="85" t="str">
        <f aca="false">IF($B127=AH$12,$U127,"")</f>
        <v/>
      </c>
      <c r="AI127" s="85" t="str">
        <f aca="false">IF($B127=AI$12,$U127,"")</f>
        <v/>
      </c>
      <c r="AJ127" s="85" t="str">
        <f aca="false">IF($B127=AJ$12,$U127,"")</f>
        <v/>
      </c>
      <c r="AK127" s="85" t="str">
        <f aca="false">IF($B127=AK$12,$U127,"")</f>
        <v/>
      </c>
      <c r="AL127" s="85" t="str">
        <f aca="false">IF($B127=AL$12,$U127,"")</f>
        <v/>
      </c>
      <c r="AM127" s="85" t="str">
        <f aca="false">IF($B127=AM$12,$U127,"")</f>
        <v/>
      </c>
      <c r="AN127" s="85" t="str">
        <f aca="false">IF($B127=AN$12,$U127,"")</f>
        <v/>
      </c>
      <c r="AO127" s="85" t="str">
        <f aca="false">IF($B127=AO$12,$U127,"")</f>
        <v/>
      </c>
      <c r="AP127" s="85" t="str">
        <f aca="false">IF($B127=AP$12,$U127,"")</f>
        <v/>
      </c>
      <c r="AQ127" s="85" t="str">
        <f aca="false">IF($B127=AQ$12,$U127,"")</f>
        <v/>
      </c>
      <c r="AR127" s="85" t="str">
        <f aca="false">IF($B127=AR$12,$U127,"")</f>
        <v/>
      </c>
      <c r="AS127" s="85" t="str">
        <f aca="false">IF($B127=AS$12,$U127,"")</f>
        <v/>
      </c>
      <c r="AT127" s="85" t="str">
        <f aca="false">IF($B127=AT$12,$U127,"")</f>
        <v/>
      </c>
      <c r="AU127" s="85" t="str">
        <f aca="false">IF($B127=AU$12,$U127,"")</f>
        <v/>
      </c>
      <c r="AV127" s="85" t="str">
        <f aca="false">IF($B127=AV$12,$U127,"")</f>
        <v/>
      </c>
      <c r="AW127" s="85" t="str">
        <f aca="false">IF($B127=AW$12,$U127,"")</f>
        <v/>
      </c>
      <c r="AX127" s="85" t="str">
        <f aca="false">IF($B127=AX$12,$U127,"")</f>
        <v/>
      </c>
      <c r="AY127" s="85" t="str">
        <f aca="false">IF($B127=AY$12,$U127,"")</f>
        <v/>
      </c>
      <c r="AZ127" s="85" t="str">
        <f aca="false">IF($B127=AZ$12,$U127,"")</f>
        <v/>
      </c>
      <c r="BA127" s="85" t="str">
        <f aca="false">IF($B127=BA$12,$U127,"")</f>
        <v/>
      </c>
      <c r="BB127" s="85" t="str">
        <f aca="false">IF($B127=BB$12,$U127,"")</f>
        <v/>
      </c>
      <c r="BC127" s="85" t="str">
        <f aca="false">IF($B127=BC$12,$U127,"")</f>
        <v/>
      </c>
      <c r="BD127" s="85" t="str">
        <f aca="false">IF($B127=BD$12,$U127,"")</f>
        <v/>
      </c>
      <c r="BE127" s="85" t="str">
        <f aca="false">IF($B127=BE$12,$U127,"")</f>
        <v/>
      </c>
      <c r="BF127" s="85" t="str">
        <f aca="false">IF($B127=BF$12,$U127,"")</f>
        <v/>
      </c>
      <c r="BG127" s="85" t="str">
        <f aca="false">IF($B127=BG$12,$U127,"")</f>
        <v/>
      </c>
      <c r="BH127" s="85" t="str">
        <f aca="false">IF($B127=BH$12,$U127,"")</f>
        <v/>
      </c>
      <c r="BI127" s="85" t="str">
        <f aca="false">IF($B127=BI$12,$U127,"")</f>
        <v/>
      </c>
      <c r="BJ127" s="85" t="str">
        <f aca="false">IF($B127=BJ$12,$U127,"")</f>
        <v/>
      </c>
      <c r="BK127" s="85" t="str">
        <f aca="false">IF($B127=BK$12,$U127,"")</f>
        <v/>
      </c>
      <c r="BL127" s="85" t="str">
        <f aca="false">IF($B127=BL$12,$U127,"")</f>
        <v/>
      </c>
      <c r="BM127" s="85" t="str">
        <f aca="false">IF($B127=BM$12,$U127,"")</f>
        <v/>
      </c>
      <c r="BN127" s="85" t="str">
        <f aca="false">IF($B127=BN$12,$U127,"")</f>
        <v/>
      </c>
      <c r="BO127" s="85" t="str">
        <f aca="false">IF($B127=BO$12,$U127,"")</f>
        <v/>
      </c>
      <c r="BP127" s="85" t="str">
        <f aca="false">IF($B127=BP$12,$U127,"")</f>
        <v/>
      </c>
      <c r="BQ127" s="85" t="str">
        <f aca="false">IF($B127=BQ$12,$U127,"")</f>
        <v/>
      </c>
      <c r="BR127" s="85" t="str">
        <f aca="false">IF($B127=BR$12,$U127,"")</f>
        <v/>
      </c>
      <c r="BS127" s="85" t="str">
        <f aca="false">IF($B127=BS$12,$U127,"")</f>
        <v/>
      </c>
      <c r="BT127" s="85" t="str">
        <f aca="false">IF($B127=BT$12,$U127,"")</f>
        <v/>
      </c>
      <c r="BU127" s="85" t="str">
        <f aca="false">IF($B127=BU$12,$U127,"")</f>
        <v/>
      </c>
      <c r="BV127" s="85" t="str">
        <f aca="false">IF($B127=BV$12,$U127,"")</f>
        <v/>
      </c>
      <c r="BW127" s="85" t="str">
        <f aca="false">IF($B127=BW$12,$U127,"")</f>
        <v/>
      </c>
      <c r="BX127" s="85" t="str">
        <f aca="false">IF($B127=BX$12,$U127,"")</f>
        <v/>
      </c>
      <c r="BY127" s="85" t="str">
        <f aca="false">IF($B127=BY$12,$U127,"")</f>
        <v/>
      </c>
      <c r="BZ127" s="85" t="str">
        <f aca="false">IF($B127=BZ$12,$U127,"")</f>
        <v/>
      </c>
      <c r="CA127" s="85" t="str">
        <f aca="false">IF($B127=CA$12,$U127,"")</f>
        <v/>
      </c>
      <c r="CB127" s="85" t="str">
        <f aca="false">IF($B127=CB$12,$U127,"")</f>
        <v/>
      </c>
      <c r="CC127" s="85" t="str">
        <f aca="false">IF($B127=CC$12,$U127,"")</f>
        <v/>
      </c>
      <c r="CD127" s="85" t="str">
        <f aca="false">IF($B127=CD$12,$U127,"")</f>
        <v/>
      </c>
      <c r="CE127" s="85" t="str">
        <f aca="false">IF($B127=CE$12,$U127,"")</f>
        <v/>
      </c>
      <c r="CF127" s="85" t="str">
        <f aca="false">IF($B127=CF$12,$U127,"")</f>
        <v/>
      </c>
      <c r="CG127" s="85" t="str">
        <f aca="false">IF($B127=CG$12,$U127,"")</f>
        <v/>
      </c>
      <c r="CH127" s="85" t="str">
        <f aca="false">IF($B127=CH$12,$U127,"")</f>
        <v/>
      </c>
      <c r="CI127" s="85" t="str">
        <f aca="false">IF($B127=CI$12,$U127,"")</f>
        <v/>
      </c>
      <c r="CJ127" s="85" t="str">
        <f aca="false">IF($B127=CJ$12,$U127,"")</f>
        <v/>
      </c>
      <c r="CK127" s="85" t="str">
        <f aca="false">IF($B127=CK$12,$U127,"")</f>
        <v/>
      </c>
      <c r="CL127" s="85" t="str">
        <f aca="false">IF($B127=CL$12,$U127,"")</f>
        <v/>
      </c>
      <c r="CM127" s="85" t="str">
        <f aca="false">IF($B127=CM$12,$U127,"")</f>
        <v/>
      </c>
      <c r="CN127" s="85" t="str">
        <f aca="false">IF($B127=CN$12,$U127,"")</f>
        <v/>
      </c>
      <c r="CO127" s="85" t="str">
        <f aca="false">IF($B127=CO$12,$U127,"")</f>
        <v/>
      </c>
      <c r="CP127" s="85" t="str">
        <f aca="false">IF($B127=CP$12,$U127,"")</f>
        <v/>
      </c>
      <c r="CQ127" s="85" t="str">
        <f aca="false">IF($B127=CQ$12,$U127,"")</f>
        <v/>
      </c>
      <c r="CR127" s="85" t="str">
        <f aca="false">IF($B127=CR$12,$U127,"")</f>
        <v/>
      </c>
      <c r="CS127" s="85" t="str">
        <f aca="false">IF($B127=CS$12,$U127,"")</f>
        <v/>
      </c>
      <c r="CT127" s="85" t="str">
        <f aca="false">IF($B127=CT$12,$U127,"")</f>
        <v/>
      </c>
      <c r="CU127" s="85" t="str">
        <f aca="false">IF($B127=CU$12,$U127,"")</f>
        <v/>
      </c>
      <c r="CV127" s="85" t="str">
        <f aca="false">IF($B127=CV$12,$U127,"")</f>
        <v/>
      </c>
      <c r="CW127" s="85" t="str">
        <f aca="false">IF($B127=CW$12,$U127,"")</f>
        <v/>
      </c>
      <c r="CX127" s="85" t="str">
        <f aca="false">IF($B127=CX$12,$U127,"")</f>
        <v/>
      </c>
      <c r="CY127" s="85" t="str">
        <f aca="false">IF($B127=CY$12,$U127,"")</f>
        <v/>
      </c>
      <c r="CZ127" s="85" t="str">
        <f aca="false">IF($B127=CZ$12,$U127,"")</f>
        <v/>
      </c>
      <c r="DA127" s="85" t="str">
        <f aca="false">IF($B127=DA$12,$U127,"")</f>
        <v/>
      </c>
      <c r="DB127" s="85" t="str">
        <f aca="false">IF($B127=DB$12,$U127,"")</f>
        <v/>
      </c>
      <c r="DC127" s="85" t="str">
        <f aca="false">IF($B127=DC$12,$U127,"")</f>
        <v/>
      </c>
      <c r="DD127" s="85" t="str">
        <f aca="false">IF($B127=DD$12,$U127,"")</f>
        <v/>
      </c>
      <c r="DE127" s="85" t="str">
        <f aca="false">IF($B127=DE$12,$U127,"")</f>
        <v/>
      </c>
      <c r="DF127" s="85" t="str">
        <f aca="false">IF($B127=DF$12,$U127,"")</f>
        <v/>
      </c>
      <c r="DG127" s="85" t="str">
        <f aca="false">IF($B127=DG$12,$U127,"")</f>
        <v/>
      </c>
      <c r="DH127" s="85" t="str">
        <f aca="false">IF($B127=DH$12,$U127,"")</f>
        <v/>
      </c>
      <c r="DI127" s="85" t="str">
        <f aca="false">IF($B127=DI$12,$U127,"")</f>
        <v/>
      </c>
      <c r="DJ127" s="85" t="str">
        <f aca="false">IF($B127=DJ$12,$U127,"")</f>
        <v/>
      </c>
      <c r="DK127" s="85" t="str">
        <f aca="false">IF($B127=DK$12,$U127,"")</f>
        <v/>
      </c>
      <c r="DL127" s="85" t="str">
        <f aca="false">IF($B127=DL$12,$U127,"")</f>
        <v/>
      </c>
      <c r="DM127" s="85" t="str">
        <f aca="false">IF($B127=DM$12,$U127,"")</f>
        <v/>
      </c>
      <c r="DN127" s="85" t="str">
        <f aca="false">IF($B127=DN$12,$U127,"")</f>
        <v/>
      </c>
      <c r="DO127" s="85" t="str">
        <f aca="false">IF($B127=DO$12,$U127,"")</f>
        <v/>
      </c>
      <c r="DP127" s="85" t="str">
        <f aca="false">IF($B127=DP$12,$U127,"")</f>
        <v/>
      </c>
      <c r="DQ127" s="85" t="str">
        <f aca="false">IF($B127=DQ$12,$U127,"")</f>
        <v/>
      </c>
      <c r="DR127" s="85" t="str">
        <f aca="false">IF($B127=DR$12,$U127,"")</f>
        <v/>
      </c>
      <c r="DS127" s="85" t="str">
        <f aca="false">IF($B127=DS$12,$U127,"")</f>
        <v/>
      </c>
      <c r="DT127" s="86" t="str">
        <f aca="false">IF($B127=DT$12,$U127,"")</f>
        <v/>
      </c>
      <c r="DU127" s="55"/>
      <c r="DV127" s="83"/>
      <c r="DW127" s="87" t="str">
        <f aca="false">IF($B127=DW$12,$O127,"")</f>
        <v/>
      </c>
      <c r="DX127" s="88" t="str">
        <f aca="false">IF($B127=DX$12,$O127,"")</f>
        <v/>
      </c>
      <c r="DY127" s="88" t="str">
        <f aca="false">IF($B127=DY$12,$O127,"")</f>
        <v/>
      </c>
      <c r="DZ127" s="88" t="str">
        <f aca="false">IF($B127=DZ$12,$O127,"")</f>
        <v/>
      </c>
      <c r="EA127" s="88" t="str">
        <f aca="false">IF($B127=EA$12,$O127,"")</f>
        <v/>
      </c>
      <c r="EB127" s="88" t="str">
        <f aca="false">IF($B127=EB$12,$O127,"")</f>
        <v/>
      </c>
      <c r="EC127" s="88" t="str">
        <f aca="false">IF($B127=EC$12,$O127,"")</f>
        <v/>
      </c>
      <c r="ED127" s="88" t="str">
        <f aca="false">IF($B127=ED$12,$O127,"")</f>
        <v/>
      </c>
      <c r="EE127" s="88" t="str">
        <f aca="false">IF($B127=EE$12,$O127,"")</f>
        <v/>
      </c>
      <c r="EF127" s="88" t="str">
        <f aca="false">IF($B127=EF$12,$O127,"")</f>
        <v/>
      </c>
      <c r="EG127" s="88" t="str">
        <f aca="false">IF($B127=EG$12,$O127,"")</f>
        <v/>
      </c>
      <c r="EH127" s="88" t="str">
        <f aca="false">IF($B127=EH$12,$O127,"")</f>
        <v/>
      </c>
      <c r="EI127" s="88" t="str">
        <f aca="false">IF($B127=EI$12,$O127,"")</f>
        <v/>
      </c>
      <c r="EJ127" s="88" t="str">
        <f aca="false">IF($B127=EJ$12,$O127,"")</f>
        <v/>
      </c>
      <c r="EK127" s="88" t="str">
        <f aca="false">IF($B127=EK$12,$O127,"")</f>
        <v/>
      </c>
      <c r="EL127" s="88" t="str">
        <f aca="false">IF($B127=EL$12,$O127,"")</f>
        <v/>
      </c>
      <c r="EM127" s="88" t="str">
        <f aca="false">IF($B127=EM$12,$O127,"")</f>
        <v/>
      </c>
      <c r="EN127" s="88" t="str">
        <f aca="false">IF($B127=EN$12,$O127,"")</f>
        <v/>
      </c>
      <c r="EO127" s="88" t="str">
        <f aca="false">IF($B127=EO$12,$O127,"")</f>
        <v/>
      </c>
      <c r="EP127" s="88" t="str">
        <f aca="false">IF($B127=EP$12,$O127,"")</f>
        <v/>
      </c>
      <c r="EQ127" s="88" t="str">
        <f aca="false">IF($B127=EQ$12,$O127,"")</f>
        <v/>
      </c>
      <c r="ER127" s="88" t="str">
        <f aca="false">IF($B127=ER$12,$O127,"")</f>
        <v/>
      </c>
      <c r="ES127" s="88" t="str">
        <f aca="false">IF($B127=ES$12,$O127,"")</f>
        <v/>
      </c>
      <c r="ET127" s="88" t="str">
        <f aca="false">IF($B127=ET$12,$O127,"")</f>
        <v/>
      </c>
      <c r="EU127" s="88" t="str">
        <f aca="false">IF($B127=EU$12,$O127,"")</f>
        <v/>
      </c>
      <c r="EV127" s="88" t="str">
        <f aca="false">IF($B127=EV$12,$O127,"")</f>
        <v/>
      </c>
      <c r="EW127" s="88" t="str">
        <f aca="false">IF($B127=EW$12,$O127,"")</f>
        <v/>
      </c>
      <c r="EX127" s="88" t="str">
        <f aca="false">IF($B127=EX$12,$O127,"")</f>
        <v/>
      </c>
      <c r="EY127" s="88" t="str">
        <f aca="false">IF($B127=EY$12,$O127,"")</f>
        <v/>
      </c>
      <c r="EZ127" s="88" t="str">
        <f aca="false">IF($B127=EZ$12,$O127,"")</f>
        <v/>
      </c>
      <c r="FA127" s="88" t="str">
        <f aca="false">IF($B127=FA$12,$O127,"")</f>
        <v/>
      </c>
      <c r="FB127" s="88" t="str">
        <f aca="false">IF($B127=FB$12,$O127,"")</f>
        <v/>
      </c>
      <c r="FC127" s="88" t="str">
        <f aca="false">IF($B127=FC$12,$O127,"")</f>
        <v/>
      </c>
      <c r="FD127" s="88" t="str">
        <f aca="false">IF($B127=FD$12,$O127,"")</f>
        <v/>
      </c>
      <c r="FE127" s="88" t="str">
        <f aca="false">IF($B127=FE$12,$O127,"")</f>
        <v/>
      </c>
      <c r="FF127" s="88" t="str">
        <f aca="false">IF($B127=FF$12,$O127,"")</f>
        <v/>
      </c>
      <c r="FG127" s="88" t="str">
        <f aca="false">IF($B127=FG$12,$O127,"")</f>
        <v/>
      </c>
      <c r="FH127" s="88" t="str">
        <f aca="false">IF($B127=FH$12,$O127,"")</f>
        <v/>
      </c>
      <c r="FI127" s="88" t="str">
        <f aca="false">IF($B127=FI$12,$O127,"")</f>
        <v/>
      </c>
      <c r="FJ127" s="88" t="str">
        <f aca="false">IF($B127=FJ$12,$O127,"")</f>
        <v/>
      </c>
      <c r="FK127" s="88" t="str">
        <f aca="false">IF($B127=FK$12,$O127,"")</f>
        <v/>
      </c>
      <c r="FL127" s="88" t="str">
        <f aca="false">IF($B127=FL$12,$O127,"")</f>
        <v/>
      </c>
      <c r="FM127" s="88" t="str">
        <f aca="false">IF($B127=FM$12,$O127,"")</f>
        <v/>
      </c>
      <c r="FN127" s="88" t="str">
        <f aca="false">IF($B127=FN$12,$O127,"")</f>
        <v/>
      </c>
      <c r="FO127" s="88" t="str">
        <f aca="false">IF($B127=FO$12,$O127,"")</f>
        <v/>
      </c>
      <c r="FP127" s="88" t="str">
        <f aca="false">IF($B127=FP$12,$O127,"")</f>
        <v/>
      </c>
      <c r="FQ127" s="88" t="str">
        <f aca="false">IF($B127=FQ$12,$O127,"")</f>
        <v/>
      </c>
      <c r="FR127" s="88" t="str">
        <f aca="false">IF($B127=FR$12,$O127,"")</f>
        <v/>
      </c>
      <c r="FS127" s="88" t="str">
        <f aca="false">IF($B127=FS$12,$O127,"")</f>
        <v/>
      </c>
      <c r="FT127" s="88" t="str">
        <f aca="false">IF($B127=FT$12,$O127,"")</f>
        <v/>
      </c>
      <c r="FU127" s="88" t="str">
        <f aca="false">IF($B127=FU$12,$O127,"")</f>
        <v/>
      </c>
      <c r="FV127" s="88" t="str">
        <f aca="false">IF($B127=FV$12,$O127,"")</f>
        <v/>
      </c>
      <c r="FW127" s="88" t="str">
        <f aca="false">IF($B127=FW$12,$O127,"")</f>
        <v/>
      </c>
      <c r="FX127" s="88" t="str">
        <f aca="false">IF($B127=FX$12,$O127,"")</f>
        <v/>
      </c>
      <c r="FY127" s="88" t="str">
        <f aca="false">IF($B127=FY$12,$O127,"")</f>
        <v/>
      </c>
      <c r="FZ127" s="88" t="str">
        <f aca="false">IF($B127=FZ$12,$O127,"")</f>
        <v/>
      </c>
      <c r="GA127" s="88" t="str">
        <f aca="false">IF($B127=GA$12,$O127,"")</f>
        <v/>
      </c>
      <c r="GB127" s="88" t="str">
        <f aca="false">IF($B127=GB$12,$O127,"")</f>
        <v/>
      </c>
      <c r="GC127" s="88" t="str">
        <f aca="false">IF($B127=GC$12,$O127,"")</f>
        <v/>
      </c>
      <c r="GD127" s="88" t="str">
        <f aca="false">IF($B127=GD$12,$O127,"")</f>
        <v/>
      </c>
      <c r="GE127" s="88" t="str">
        <f aca="false">IF($B127=GE$12,$O127,"")</f>
        <v/>
      </c>
      <c r="GF127" s="88" t="str">
        <f aca="false">IF($B127=GF$12,$O127,"")</f>
        <v/>
      </c>
      <c r="GG127" s="88" t="str">
        <f aca="false">IF($B127=GG$12,$O127,"")</f>
        <v/>
      </c>
      <c r="GH127" s="88" t="str">
        <f aca="false">IF($B127=GH$12,$O127,"")</f>
        <v/>
      </c>
      <c r="GI127" s="88" t="str">
        <f aca="false">IF($B127=GI$12,$O127,"")</f>
        <v/>
      </c>
      <c r="GJ127" s="88" t="str">
        <f aca="false">IF($B127=GJ$12,$O127,"")</f>
        <v/>
      </c>
      <c r="GK127" s="88" t="str">
        <f aca="false">IF($B127=GK$12,$O127,"")</f>
        <v/>
      </c>
      <c r="GL127" s="88" t="str">
        <f aca="false">IF($B127=GL$12,$O127,"")</f>
        <v/>
      </c>
      <c r="GM127" s="88" t="str">
        <f aca="false">IF($B127=GM$12,$O127,"")</f>
        <v/>
      </c>
      <c r="GN127" s="88" t="str">
        <f aca="false">IF($B127=GN$12,$O127,"")</f>
        <v/>
      </c>
      <c r="GO127" s="88" t="str">
        <f aca="false">IF($B127=GO$12,$O127,"")</f>
        <v/>
      </c>
      <c r="GP127" s="88" t="str">
        <f aca="false">IF($B127=GP$12,$O127,"")</f>
        <v/>
      </c>
      <c r="GQ127" s="88" t="str">
        <f aca="false">IF($B127=GQ$12,$O127,"")</f>
        <v/>
      </c>
      <c r="GR127" s="88" t="str">
        <f aca="false">IF($B127=GR$12,$O127,"")</f>
        <v/>
      </c>
      <c r="GS127" s="88" t="str">
        <f aca="false">IF($B127=GS$12,$O127,"")</f>
        <v/>
      </c>
      <c r="GT127" s="88" t="str">
        <f aca="false">IF($B127=GT$12,$O127,"")</f>
        <v/>
      </c>
      <c r="GU127" s="88" t="str">
        <f aca="false">IF($B127=GU$12,$O127,"")</f>
        <v/>
      </c>
      <c r="GV127" s="88" t="str">
        <f aca="false">IF($B127=GV$12,$O127,"")</f>
        <v/>
      </c>
      <c r="GW127" s="88" t="str">
        <f aca="false">IF($B127=GW$12,$O127,"")</f>
        <v/>
      </c>
      <c r="GX127" s="88" t="str">
        <f aca="false">IF($B127=GX$12,$O127,"")</f>
        <v/>
      </c>
      <c r="GY127" s="88" t="str">
        <f aca="false">IF($B127=GY$12,$O127,"")</f>
        <v/>
      </c>
      <c r="GZ127" s="88" t="str">
        <f aca="false">IF($B127=GZ$12,$O127,"")</f>
        <v/>
      </c>
      <c r="HA127" s="88" t="str">
        <f aca="false">IF($B127=HA$12,$O127,"")</f>
        <v/>
      </c>
      <c r="HB127" s="88" t="str">
        <f aca="false">IF($B127=HB$12,$O127,"")</f>
        <v/>
      </c>
      <c r="HC127" s="88" t="str">
        <f aca="false">IF($B127=HC$12,$O127,"")</f>
        <v/>
      </c>
      <c r="HD127" s="88" t="str">
        <f aca="false">IF($B127=HD$12,$O127,"")</f>
        <v/>
      </c>
      <c r="HE127" s="88" t="str">
        <f aca="false">IF($B127=HE$12,$O127,"")</f>
        <v/>
      </c>
      <c r="HF127" s="88" t="str">
        <f aca="false">IF($B127=HF$12,$O127,"")</f>
        <v/>
      </c>
      <c r="HG127" s="88" t="str">
        <f aca="false">IF($B127=HG$12,$O127,"")</f>
        <v/>
      </c>
      <c r="HH127" s="88" t="str">
        <f aca="false">IF($B127=HH$12,$O127,"")</f>
        <v/>
      </c>
      <c r="HI127" s="88" t="str">
        <f aca="false">IF($B127=HI$12,$O127,"")</f>
        <v/>
      </c>
      <c r="HJ127" s="88" t="str">
        <f aca="false">IF($B127=HJ$12,$O127,"")</f>
        <v/>
      </c>
      <c r="HK127" s="88" t="str">
        <f aca="false">IF($B127=HK$12,$O127,"")</f>
        <v/>
      </c>
      <c r="HL127" s="88" t="str">
        <f aca="false">IF($B127=HL$12,$O127,"")</f>
        <v/>
      </c>
      <c r="HM127" s="88" t="str">
        <f aca="false">IF($B127=HM$12,$O127,"")</f>
        <v/>
      </c>
      <c r="HN127" s="88" t="str">
        <f aca="false">IF($B127=HN$12,$O127,"")</f>
        <v/>
      </c>
      <c r="HO127" s="88" t="str">
        <f aca="false">IF($B127=HO$12,$O127,"")</f>
        <v/>
      </c>
      <c r="HP127" s="88" t="str">
        <f aca="false">IF($B127=HP$12,$O127,"")</f>
        <v/>
      </c>
      <c r="HQ127" s="88" t="str">
        <f aca="false">IF($B127=HQ$12,$O127,"")</f>
        <v/>
      </c>
      <c r="HR127" s="89" t="str">
        <f aca="false">IF($B127=HR$12,$O127,"")</f>
        <v/>
      </c>
    </row>
    <row r="128" customFormat="false" ht="10.5" hidden="false" customHeight="true" outlineLevel="0" collapsed="false">
      <c r="A128" s="73"/>
      <c r="B128" s="74"/>
      <c r="C128" s="75" t="str">
        <f aca="false">IF(A128=0,"",VLOOKUP(A128,[3]CO!$A$3:$F$5311,2,0))</f>
        <v/>
      </c>
      <c r="D128" s="76"/>
      <c r="E128" s="76"/>
      <c r="F128" s="126" t="str">
        <f aca="false">IF(AND(B128&gt;0,H128&gt;0),(H128*100) &amp; "% DE $" &amp;$Q$107,"")</f>
        <v/>
      </c>
      <c r="G128" s="77" t="str">
        <f aca="false">IF(A128=0,"",VLOOKUP(A128,[3]CO!$A$3:$F$5311,3,0))</f>
        <v/>
      </c>
      <c r="H128" s="5"/>
      <c r="I128" s="78"/>
      <c r="J128" s="78"/>
      <c r="K128" s="78"/>
      <c r="L128" s="78"/>
      <c r="M128" s="79" t="str">
        <f aca="false">IF(L128=0,"",H128*Q$107/N128)</f>
        <v/>
      </c>
      <c r="N128" s="79" t="str">
        <f aca="false">IF(B128=0,"",IF(H128="M",HLOOKUP(B128,$Y$12:$DT$13,2),IF(A128=0,"",VLOOKUP(A128,[3]CO!$A$3:$F$5311,4,0))))</f>
        <v/>
      </c>
      <c r="O128" s="79" t="str">
        <f aca="false">IF(L128=0,"",PRODUCT(M128:N128))</f>
        <v/>
      </c>
      <c r="P128" s="80"/>
      <c r="Q128" s="81" t="str">
        <f aca="false">IF(P128=0,"",(HLOOKUP(P128,$DW$12:$HR$13,2)))</f>
        <v/>
      </c>
      <c r="R128" s="82"/>
      <c r="S128" s="5"/>
      <c r="T128" s="65" t="str">
        <f aca="false">IF(A128=0,"",VLOOKUP(A128,[3]CO!$A$3:$F$5302,5,0))</f>
        <v/>
      </c>
      <c r="U128" s="55" t="n">
        <f aca="false">IF(T128=1,O128*0.1,)</f>
        <v>0</v>
      </c>
      <c r="V128" s="66"/>
      <c r="W128" s="83"/>
      <c r="X128" s="83"/>
      <c r="Y128" s="84" t="str">
        <f aca="false">IF($B128=Y$12,$U128,"")</f>
        <v/>
      </c>
      <c r="Z128" s="85" t="str">
        <f aca="false">IF($B128=Z$12,$U128,"")</f>
        <v/>
      </c>
      <c r="AA128" s="85" t="str">
        <f aca="false">IF($B128=AA$12,$U128,"")</f>
        <v/>
      </c>
      <c r="AB128" s="85" t="str">
        <f aca="false">IF($B128=AB$12,$U128,"")</f>
        <v/>
      </c>
      <c r="AC128" s="85" t="str">
        <f aca="false">IF($B128=AC$12,$U128,"")</f>
        <v/>
      </c>
      <c r="AD128" s="85" t="str">
        <f aca="false">IF($B128=AD$12,$U128,"")</f>
        <v/>
      </c>
      <c r="AE128" s="85" t="str">
        <f aca="false">IF($B128=AE$12,$U128,"")</f>
        <v/>
      </c>
      <c r="AF128" s="85" t="str">
        <f aca="false">IF($B128=AF$12,$U128,"")</f>
        <v/>
      </c>
      <c r="AG128" s="85" t="str">
        <f aca="false">IF($B128=AG$12,$U128,"")</f>
        <v/>
      </c>
      <c r="AH128" s="85" t="str">
        <f aca="false">IF($B128=AH$12,$U128,"")</f>
        <v/>
      </c>
      <c r="AI128" s="85" t="str">
        <f aca="false">IF($B128=AI$12,$U128,"")</f>
        <v/>
      </c>
      <c r="AJ128" s="85" t="str">
        <f aca="false">IF($B128=AJ$12,$U128,"")</f>
        <v/>
      </c>
      <c r="AK128" s="85" t="str">
        <f aca="false">IF($B128=AK$12,$U128,"")</f>
        <v/>
      </c>
      <c r="AL128" s="85" t="str">
        <f aca="false">IF($B128=AL$12,$U128,"")</f>
        <v/>
      </c>
      <c r="AM128" s="85" t="str">
        <f aca="false">IF($B128=AM$12,$U128,"")</f>
        <v/>
      </c>
      <c r="AN128" s="85" t="str">
        <f aca="false">IF($B128=AN$12,$U128,"")</f>
        <v/>
      </c>
      <c r="AO128" s="85" t="str">
        <f aca="false">IF($B128=AO$12,$U128,"")</f>
        <v/>
      </c>
      <c r="AP128" s="85" t="str">
        <f aca="false">IF($B128=AP$12,$U128,"")</f>
        <v/>
      </c>
      <c r="AQ128" s="85" t="str">
        <f aca="false">IF($B128=AQ$12,$U128,"")</f>
        <v/>
      </c>
      <c r="AR128" s="85" t="str">
        <f aca="false">IF($B128=AR$12,$U128,"")</f>
        <v/>
      </c>
      <c r="AS128" s="85" t="str">
        <f aca="false">IF($B128=AS$12,$U128,"")</f>
        <v/>
      </c>
      <c r="AT128" s="85" t="str">
        <f aca="false">IF($B128=AT$12,$U128,"")</f>
        <v/>
      </c>
      <c r="AU128" s="85" t="str">
        <f aca="false">IF($B128=AU$12,$U128,"")</f>
        <v/>
      </c>
      <c r="AV128" s="85" t="str">
        <f aca="false">IF($B128=AV$12,$U128,"")</f>
        <v/>
      </c>
      <c r="AW128" s="85" t="str">
        <f aca="false">IF($B128=AW$12,$U128,"")</f>
        <v/>
      </c>
      <c r="AX128" s="85" t="str">
        <f aca="false">IF($B128=AX$12,$U128,"")</f>
        <v/>
      </c>
      <c r="AY128" s="85" t="str">
        <f aca="false">IF($B128=AY$12,$U128,"")</f>
        <v/>
      </c>
      <c r="AZ128" s="85" t="str">
        <f aca="false">IF($B128=AZ$12,$U128,"")</f>
        <v/>
      </c>
      <c r="BA128" s="85" t="str">
        <f aca="false">IF($B128=BA$12,$U128,"")</f>
        <v/>
      </c>
      <c r="BB128" s="85" t="str">
        <f aca="false">IF($B128=BB$12,$U128,"")</f>
        <v/>
      </c>
      <c r="BC128" s="85" t="str">
        <f aca="false">IF($B128=BC$12,$U128,"")</f>
        <v/>
      </c>
      <c r="BD128" s="85" t="str">
        <f aca="false">IF($B128=BD$12,$U128,"")</f>
        <v/>
      </c>
      <c r="BE128" s="85" t="str">
        <f aca="false">IF($B128=BE$12,$U128,"")</f>
        <v/>
      </c>
      <c r="BF128" s="85" t="str">
        <f aca="false">IF($B128=BF$12,$U128,"")</f>
        <v/>
      </c>
      <c r="BG128" s="85" t="str">
        <f aca="false">IF($B128=BG$12,$U128,"")</f>
        <v/>
      </c>
      <c r="BH128" s="85" t="str">
        <f aca="false">IF($B128=BH$12,$U128,"")</f>
        <v/>
      </c>
      <c r="BI128" s="85" t="str">
        <f aca="false">IF($B128=BI$12,$U128,"")</f>
        <v/>
      </c>
      <c r="BJ128" s="85" t="str">
        <f aca="false">IF($B128=BJ$12,$U128,"")</f>
        <v/>
      </c>
      <c r="BK128" s="85" t="str">
        <f aca="false">IF($B128=BK$12,$U128,"")</f>
        <v/>
      </c>
      <c r="BL128" s="85" t="str">
        <f aca="false">IF($B128=BL$12,$U128,"")</f>
        <v/>
      </c>
      <c r="BM128" s="85" t="str">
        <f aca="false">IF($B128=BM$12,$U128,"")</f>
        <v/>
      </c>
      <c r="BN128" s="85" t="str">
        <f aca="false">IF($B128=BN$12,$U128,"")</f>
        <v/>
      </c>
      <c r="BO128" s="85" t="str">
        <f aca="false">IF($B128=BO$12,$U128,"")</f>
        <v/>
      </c>
      <c r="BP128" s="85" t="str">
        <f aca="false">IF($B128=BP$12,$U128,"")</f>
        <v/>
      </c>
      <c r="BQ128" s="85" t="str">
        <f aca="false">IF($B128=BQ$12,$U128,"")</f>
        <v/>
      </c>
      <c r="BR128" s="85" t="str">
        <f aca="false">IF($B128=BR$12,$U128,"")</f>
        <v/>
      </c>
      <c r="BS128" s="85" t="str">
        <f aca="false">IF($B128=BS$12,$U128,"")</f>
        <v/>
      </c>
      <c r="BT128" s="85" t="str">
        <f aca="false">IF($B128=BT$12,$U128,"")</f>
        <v/>
      </c>
      <c r="BU128" s="85" t="str">
        <f aca="false">IF($B128=BU$12,$U128,"")</f>
        <v/>
      </c>
      <c r="BV128" s="85" t="str">
        <f aca="false">IF($B128=BV$12,$U128,"")</f>
        <v/>
      </c>
      <c r="BW128" s="85" t="str">
        <f aca="false">IF($B128=BW$12,$U128,"")</f>
        <v/>
      </c>
      <c r="BX128" s="85" t="str">
        <f aca="false">IF($B128=BX$12,$U128,"")</f>
        <v/>
      </c>
      <c r="BY128" s="85" t="str">
        <f aca="false">IF($B128=BY$12,$U128,"")</f>
        <v/>
      </c>
      <c r="BZ128" s="85" t="str">
        <f aca="false">IF($B128=BZ$12,$U128,"")</f>
        <v/>
      </c>
      <c r="CA128" s="85" t="str">
        <f aca="false">IF($B128=CA$12,$U128,"")</f>
        <v/>
      </c>
      <c r="CB128" s="85" t="str">
        <f aca="false">IF($B128=CB$12,$U128,"")</f>
        <v/>
      </c>
      <c r="CC128" s="85" t="str">
        <f aca="false">IF($B128=CC$12,$U128,"")</f>
        <v/>
      </c>
      <c r="CD128" s="85" t="str">
        <f aca="false">IF($B128=CD$12,$U128,"")</f>
        <v/>
      </c>
      <c r="CE128" s="85" t="str">
        <f aca="false">IF($B128=CE$12,$U128,"")</f>
        <v/>
      </c>
      <c r="CF128" s="85" t="str">
        <f aca="false">IF($B128=CF$12,$U128,"")</f>
        <v/>
      </c>
      <c r="CG128" s="85" t="str">
        <f aca="false">IF($B128=CG$12,$U128,"")</f>
        <v/>
      </c>
      <c r="CH128" s="85" t="str">
        <f aca="false">IF($B128=CH$12,$U128,"")</f>
        <v/>
      </c>
      <c r="CI128" s="85" t="str">
        <f aca="false">IF($B128=CI$12,$U128,"")</f>
        <v/>
      </c>
      <c r="CJ128" s="85" t="str">
        <f aca="false">IF($B128=CJ$12,$U128,"")</f>
        <v/>
      </c>
      <c r="CK128" s="85" t="str">
        <f aca="false">IF($B128=CK$12,$U128,"")</f>
        <v/>
      </c>
      <c r="CL128" s="85" t="str">
        <f aca="false">IF($B128=CL$12,$U128,"")</f>
        <v/>
      </c>
      <c r="CM128" s="85" t="str">
        <f aca="false">IF($B128=CM$12,$U128,"")</f>
        <v/>
      </c>
      <c r="CN128" s="85" t="str">
        <f aca="false">IF($B128=CN$12,$U128,"")</f>
        <v/>
      </c>
      <c r="CO128" s="85" t="str">
        <f aca="false">IF($B128=CO$12,$U128,"")</f>
        <v/>
      </c>
      <c r="CP128" s="85" t="str">
        <f aca="false">IF($B128=CP$12,$U128,"")</f>
        <v/>
      </c>
      <c r="CQ128" s="85" t="str">
        <f aca="false">IF($B128=CQ$12,$U128,"")</f>
        <v/>
      </c>
      <c r="CR128" s="85" t="str">
        <f aca="false">IF($B128=CR$12,$U128,"")</f>
        <v/>
      </c>
      <c r="CS128" s="85" t="str">
        <f aca="false">IF($B128=CS$12,$U128,"")</f>
        <v/>
      </c>
      <c r="CT128" s="85" t="str">
        <f aca="false">IF($B128=CT$12,$U128,"")</f>
        <v/>
      </c>
      <c r="CU128" s="85" t="str">
        <f aca="false">IF($B128=CU$12,$U128,"")</f>
        <v/>
      </c>
      <c r="CV128" s="85" t="str">
        <f aca="false">IF($B128=CV$12,$U128,"")</f>
        <v/>
      </c>
      <c r="CW128" s="85" t="str">
        <f aca="false">IF($B128=CW$12,$U128,"")</f>
        <v/>
      </c>
      <c r="CX128" s="85" t="str">
        <f aca="false">IF($B128=CX$12,$U128,"")</f>
        <v/>
      </c>
      <c r="CY128" s="85" t="str">
        <f aca="false">IF($B128=CY$12,$U128,"")</f>
        <v/>
      </c>
      <c r="CZ128" s="85" t="str">
        <f aca="false">IF($B128=CZ$12,$U128,"")</f>
        <v/>
      </c>
      <c r="DA128" s="85" t="str">
        <f aca="false">IF($B128=DA$12,$U128,"")</f>
        <v/>
      </c>
      <c r="DB128" s="85" t="str">
        <f aca="false">IF($B128=DB$12,$U128,"")</f>
        <v/>
      </c>
      <c r="DC128" s="85" t="str">
        <f aca="false">IF($B128=DC$12,$U128,"")</f>
        <v/>
      </c>
      <c r="DD128" s="85" t="str">
        <f aca="false">IF($B128=DD$12,$U128,"")</f>
        <v/>
      </c>
      <c r="DE128" s="85" t="str">
        <f aca="false">IF($B128=DE$12,$U128,"")</f>
        <v/>
      </c>
      <c r="DF128" s="85" t="str">
        <f aca="false">IF($B128=DF$12,$U128,"")</f>
        <v/>
      </c>
      <c r="DG128" s="85" t="str">
        <f aca="false">IF($B128=DG$12,$U128,"")</f>
        <v/>
      </c>
      <c r="DH128" s="85" t="str">
        <f aca="false">IF($B128=DH$12,$U128,"")</f>
        <v/>
      </c>
      <c r="DI128" s="85" t="str">
        <f aca="false">IF($B128=DI$12,$U128,"")</f>
        <v/>
      </c>
      <c r="DJ128" s="85" t="str">
        <f aca="false">IF($B128=DJ$12,$U128,"")</f>
        <v/>
      </c>
      <c r="DK128" s="85" t="str">
        <f aca="false">IF($B128=DK$12,$U128,"")</f>
        <v/>
      </c>
      <c r="DL128" s="85" t="str">
        <f aca="false">IF($B128=DL$12,$U128,"")</f>
        <v/>
      </c>
      <c r="DM128" s="85" t="str">
        <f aca="false">IF($B128=DM$12,$U128,"")</f>
        <v/>
      </c>
      <c r="DN128" s="85" t="str">
        <f aca="false">IF($B128=DN$12,$U128,"")</f>
        <v/>
      </c>
      <c r="DO128" s="85" t="str">
        <f aca="false">IF($B128=DO$12,$U128,"")</f>
        <v/>
      </c>
      <c r="DP128" s="85" t="str">
        <f aca="false">IF($B128=DP$12,$U128,"")</f>
        <v/>
      </c>
      <c r="DQ128" s="85" t="str">
        <f aca="false">IF($B128=DQ$12,$U128,"")</f>
        <v/>
      </c>
      <c r="DR128" s="85" t="str">
        <f aca="false">IF($B128=DR$12,$U128,"")</f>
        <v/>
      </c>
      <c r="DS128" s="85" t="str">
        <f aca="false">IF($B128=DS$12,$U128,"")</f>
        <v/>
      </c>
      <c r="DT128" s="86" t="str">
        <f aca="false">IF($B128=DT$12,$U128,"")</f>
        <v/>
      </c>
      <c r="DU128" s="55"/>
      <c r="DV128" s="83"/>
      <c r="DW128" s="87" t="str">
        <f aca="false">IF($B128=DW$12,$O128,"")</f>
        <v/>
      </c>
      <c r="DX128" s="88" t="str">
        <f aca="false">IF($B128=DX$12,$O128,"")</f>
        <v/>
      </c>
      <c r="DY128" s="88" t="str">
        <f aca="false">IF($B128=DY$12,$O128,"")</f>
        <v/>
      </c>
      <c r="DZ128" s="88" t="str">
        <f aca="false">IF($B128=DZ$12,$O128,"")</f>
        <v/>
      </c>
      <c r="EA128" s="88" t="str">
        <f aca="false">IF($B128=EA$12,$O128,"")</f>
        <v/>
      </c>
      <c r="EB128" s="88" t="str">
        <f aca="false">IF($B128=EB$12,$O128,"")</f>
        <v/>
      </c>
      <c r="EC128" s="88" t="str">
        <f aca="false">IF($B128=EC$12,$O128,"")</f>
        <v/>
      </c>
      <c r="ED128" s="88" t="str">
        <f aca="false">IF($B128=ED$12,$O128,"")</f>
        <v/>
      </c>
      <c r="EE128" s="88" t="str">
        <f aca="false">IF($B128=EE$12,$O128,"")</f>
        <v/>
      </c>
      <c r="EF128" s="88" t="str">
        <f aca="false">IF($B128=EF$12,$O128,"")</f>
        <v/>
      </c>
      <c r="EG128" s="88" t="str">
        <f aca="false">IF($B128=EG$12,$O128,"")</f>
        <v/>
      </c>
      <c r="EH128" s="88" t="str">
        <f aca="false">IF($B128=EH$12,$O128,"")</f>
        <v/>
      </c>
      <c r="EI128" s="88" t="str">
        <f aca="false">IF($B128=EI$12,$O128,"")</f>
        <v/>
      </c>
      <c r="EJ128" s="88" t="str">
        <f aca="false">IF($B128=EJ$12,$O128,"")</f>
        <v/>
      </c>
      <c r="EK128" s="88" t="str">
        <f aca="false">IF($B128=EK$12,$O128,"")</f>
        <v/>
      </c>
      <c r="EL128" s="88" t="str">
        <f aca="false">IF($B128=EL$12,$O128,"")</f>
        <v/>
      </c>
      <c r="EM128" s="88" t="str">
        <f aca="false">IF($B128=EM$12,$O128,"")</f>
        <v/>
      </c>
      <c r="EN128" s="88" t="str">
        <f aca="false">IF($B128=EN$12,$O128,"")</f>
        <v/>
      </c>
      <c r="EO128" s="88" t="str">
        <f aca="false">IF($B128=EO$12,$O128,"")</f>
        <v/>
      </c>
      <c r="EP128" s="88" t="str">
        <f aca="false">IF($B128=EP$12,$O128,"")</f>
        <v/>
      </c>
      <c r="EQ128" s="88" t="str">
        <f aca="false">IF($B128=EQ$12,$O128,"")</f>
        <v/>
      </c>
      <c r="ER128" s="88" t="str">
        <f aca="false">IF($B128=ER$12,$O128,"")</f>
        <v/>
      </c>
      <c r="ES128" s="88" t="str">
        <f aca="false">IF($B128=ES$12,$O128,"")</f>
        <v/>
      </c>
      <c r="ET128" s="88" t="str">
        <f aca="false">IF($B128=ET$12,$O128,"")</f>
        <v/>
      </c>
      <c r="EU128" s="88" t="str">
        <f aca="false">IF($B128=EU$12,$O128,"")</f>
        <v/>
      </c>
      <c r="EV128" s="88" t="str">
        <f aca="false">IF($B128=EV$12,$O128,"")</f>
        <v/>
      </c>
      <c r="EW128" s="88" t="str">
        <f aca="false">IF($B128=EW$12,$O128,"")</f>
        <v/>
      </c>
      <c r="EX128" s="88" t="str">
        <f aca="false">IF($B128=EX$12,$O128,"")</f>
        <v/>
      </c>
      <c r="EY128" s="88" t="str">
        <f aca="false">IF($B128=EY$12,$O128,"")</f>
        <v/>
      </c>
      <c r="EZ128" s="88" t="str">
        <f aca="false">IF($B128=EZ$12,$O128,"")</f>
        <v/>
      </c>
      <c r="FA128" s="88" t="str">
        <f aca="false">IF($B128=FA$12,$O128,"")</f>
        <v/>
      </c>
      <c r="FB128" s="88" t="str">
        <f aca="false">IF($B128=FB$12,$O128,"")</f>
        <v/>
      </c>
      <c r="FC128" s="88" t="str">
        <f aca="false">IF($B128=FC$12,$O128,"")</f>
        <v/>
      </c>
      <c r="FD128" s="88" t="str">
        <f aca="false">IF($B128=FD$12,$O128,"")</f>
        <v/>
      </c>
      <c r="FE128" s="88" t="str">
        <f aca="false">IF($B128=FE$12,$O128,"")</f>
        <v/>
      </c>
      <c r="FF128" s="88" t="str">
        <f aca="false">IF($B128=FF$12,$O128,"")</f>
        <v/>
      </c>
      <c r="FG128" s="88" t="str">
        <f aca="false">IF($B128=FG$12,$O128,"")</f>
        <v/>
      </c>
      <c r="FH128" s="88" t="str">
        <f aca="false">IF($B128=FH$12,$O128,"")</f>
        <v/>
      </c>
      <c r="FI128" s="88" t="str">
        <f aca="false">IF($B128=FI$12,$O128,"")</f>
        <v/>
      </c>
      <c r="FJ128" s="88" t="str">
        <f aca="false">IF($B128=FJ$12,$O128,"")</f>
        <v/>
      </c>
      <c r="FK128" s="88" t="str">
        <f aca="false">IF($B128=FK$12,$O128,"")</f>
        <v/>
      </c>
      <c r="FL128" s="88" t="str">
        <f aca="false">IF($B128=FL$12,$O128,"")</f>
        <v/>
      </c>
      <c r="FM128" s="88" t="str">
        <f aca="false">IF($B128=FM$12,$O128,"")</f>
        <v/>
      </c>
      <c r="FN128" s="88" t="str">
        <f aca="false">IF($B128=FN$12,$O128,"")</f>
        <v/>
      </c>
      <c r="FO128" s="88" t="str">
        <f aca="false">IF($B128=FO$12,$O128,"")</f>
        <v/>
      </c>
      <c r="FP128" s="88" t="str">
        <f aca="false">IF($B128=FP$12,$O128,"")</f>
        <v/>
      </c>
      <c r="FQ128" s="88" t="str">
        <f aca="false">IF($B128=FQ$12,$O128,"")</f>
        <v/>
      </c>
      <c r="FR128" s="88" t="str">
        <f aca="false">IF($B128=FR$12,$O128,"")</f>
        <v/>
      </c>
      <c r="FS128" s="88" t="str">
        <f aca="false">IF($B128=FS$12,$O128,"")</f>
        <v/>
      </c>
      <c r="FT128" s="88" t="str">
        <f aca="false">IF($B128=FT$12,$O128,"")</f>
        <v/>
      </c>
      <c r="FU128" s="88" t="str">
        <f aca="false">IF($B128=FU$12,$O128,"")</f>
        <v/>
      </c>
      <c r="FV128" s="88" t="str">
        <f aca="false">IF($B128=FV$12,$O128,"")</f>
        <v/>
      </c>
      <c r="FW128" s="88" t="str">
        <f aca="false">IF($B128=FW$12,$O128,"")</f>
        <v/>
      </c>
      <c r="FX128" s="88" t="str">
        <f aca="false">IF($B128=FX$12,$O128,"")</f>
        <v/>
      </c>
      <c r="FY128" s="88" t="str">
        <f aca="false">IF($B128=FY$12,$O128,"")</f>
        <v/>
      </c>
      <c r="FZ128" s="88" t="str">
        <f aca="false">IF($B128=FZ$12,$O128,"")</f>
        <v/>
      </c>
      <c r="GA128" s="88" t="str">
        <f aca="false">IF($B128=GA$12,$O128,"")</f>
        <v/>
      </c>
      <c r="GB128" s="88" t="str">
        <f aca="false">IF($B128=GB$12,$O128,"")</f>
        <v/>
      </c>
      <c r="GC128" s="88" t="str">
        <f aca="false">IF($B128=GC$12,$O128,"")</f>
        <v/>
      </c>
      <c r="GD128" s="88" t="str">
        <f aca="false">IF($B128=GD$12,$O128,"")</f>
        <v/>
      </c>
      <c r="GE128" s="88" t="str">
        <f aca="false">IF($B128=GE$12,$O128,"")</f>
        <v/>
      </c>
      <c r="GF128" s="88" t="str">
        <f aca="false">IF($B128=GF$12,$O128,"")</f>
        <v/>
      </c>
      <c r="GG128" s="88" t="str">
        <f aca="false">IF($B128=GG$12,$O128,"")</f>
        <v/>
      </c>
      <c r="GH128" s="88" t="str">
        <f aca="false">IF($B128=GH$12,$O128,"")</f>
        <v/>
      </c>
      <c r="GI128" s="88" t="str">
        <f aca="false">IF($B128=GI$12,$O128,"")</f>
        <v/>
      </c>
      <c r="GJ128" s="88" t="str">
        <f aca="false">IF($B128=GJ$12,$O128,"")</f>
        <v/>
      </c>
      <c r="GK128" s="88" t="str">
        <f aca="false">IF($B128=GK$12,$O128,"")</f>
        <v/>
      </c>
      <c r="GL128" s="88" t="str">
        <f aca="false">IF($B128=GL$12,$O128,"")</f>
        <v/>
      </c>
      <c r="GM128" s="88" t="str">
        <f aca="false">IF($B128=GM$12,$O128,"")</f>
        <v/>
      </c>
      <c r="GN128" s="88" t="str">
        <f aca="false">IF($B128=GN$12,$O128,"")</f>
        <v/>
      </c>
      <c r="GO128" s="88" t="str">
        <f aca="false">IF($B128=GO$12,$O128,"")</f>
        <v/>
      </c>
      <c r="GP128" s="88" t="str">
        <f aca="false">IF($B128=GP$12,$O128,"")</f>
        <v/>
      </c>
      <c r="GQ128" s="88" t="str">
        <f aca="false">IF($B128=GQ$12,$O128,"")</f>
        <v/>
      </c>
      <c r="GR128" s="88" t="str">
        <f aca="false">IF($B128=GR$12,$O128,"")</f>
        <v/>
      </c>
      <c r="GS128" s="88" t="str">
        <f aca="false">IF($B128=GS$12,$O128,"")</f>
        <v/>
      </c>
      <c r="GT128" s="88" t="str">
        <f aca="false">IF($B128=GT$12,$O128,"")</f>
        <v/>
      </c>
      <c r="GU128" s="88" t="str">
        <f aca="false">IF($B128=GU$12,$O128,"")</f>
        <v/>
      </c>
      <c r="GV128" s="88" t="str">
        <f aca="false">IF($B128=GV$12,$O128,"")</f>
        <v/>
      </c>
      <c r="GW128" s="88" t="str">
        <f aca="false">IF($B128=GW$12,$O128,"")</f>
        <v/>
      </c>
      <c r="GX128" s="88" t="str">
        <f aca="false">IF($B128=GX$12,$O128,"")</f>
        <v/>
      </c>
      <c r="GY128" s="88" t="str">
        <f aca="false">IF($B128=GY$12,$O128,"")</f>
        <v/>
      </c>
      <c r="GZ128" s="88" t="str">
        <f aca="false">IF($B128=GZ$12,$O128,"")</f>
        <v/>
      </c>
      <c r="HA128" s="88" t="str">
        <f aca="false">IF($B128=HA$12,$O128,"")</f>
        <v/>
      </c>
      <c r="HB128" s="88" t="str">
        <f aca="false">IF($B128=HB$12,$O128,"")</f>
        <v/>
      </c>
      <c r="HC128" s="88" t="str">
        <f aca="false">IF($B128=HC$12,$O128,"")</f>
        <v/>
      </c>
      <c r="HD128" s="88" t="str">
        <f aca="false">IF($B128=HD$12,$O128,"")</f>
        <v/>
      </c>
      <c r="HE128" s="88" t="str">
        <f aca="false">IF($B128=HE$12,$O128,"")</f>
        <v/>
      </c>
      <c r="HF128" s="88" t="str">
        <f aca="false">IF($B128=HF$12,$O128,"")</f>
        <v/>
      </c>
      <c r="HG128" s="88" t="str">
        <f aca="false">IF($B128=HG$12,$O128,"")</f>
        <v/>
      </c>
      <c r="HH128" s="88" t="str">
        <f aca="false">IF($B128=HH$12,$O128,"")</f>
        <v/>
      </c>
      <c r="HI128" s="88" t="str">
        <f aca="false">IF($B128=HI$12,$O128,"")</f>
        <v/>
      </c>
      <c r="HJ128" s="88" t="str">
        <f aca="false">IF($B128=HJ$12,$O128,"")</f>
        <v/>
      </c>
      <c r="HK128" s="88" t="str">
        <f aca="false">IF($B128=HK$12,$O128,"")</f>
        <v/>
      </c>
      <c r="HL128" s="88" t="str">
        <f aca="false">IF($B128=HL$12,$O128,"")</f>
        <v/>
      </c>
      <c r="HM128" s="88" t="str">
        <f aca="false">IF($B128=HM$12,$O128,"")</f>
        <v/>
      </c>
      <c r="HN128" s="88" t="str">
        <f aca="false">IF($B128=HN$12,$O128,"")</f>
        <v/>
      </c>
      <c r="HO128" s="88" t="str">
        <f aca="false">IF($B128=HO$12,$O128,"")</f>
        <v/>
      </c>
      <c r="HP128" s="88" t="str">
        <f aca="false">IF($B128=HP$12,$O128,"")</f>
        <v/>
      </c>
      <c r="HQ128" s="88" t="str">
        <f aca="false">IF($B128=HQ$12,$O128,"")</f>
        <v/>
      </c>
      <c r="HR128" s="89" t="str">
        <f aca="false">IF($B128=HR$12,$O128,"")</f>
        <v/>
      </c>
    </row>
    <row r="129" customFormat="false" ht="10.5" hidden="false" customHeight="true" outlineLevel="0" collapsed="false">
      <c r="A129" s="73"/>
      <c r="B129" s="74"/>
      <c r="C129" s="75" t="str">
        <f aca="false">IF(A129=0,"",VLOOKUP(A129,[3]CO!$A$3:$F$5311,2,0))</f>
        <v/>
      </c>
      <c r="D129" s="76"/>
      <c r="E129" s="76"/>
      <c r="F129" s="126" t="str">
        <f aca="false">IF(AND(B129&gt;0,H129&gt;0),(H129*100) &amp; "% DE $" &amp;$Q$107,"")</f>
        <v/>
      </c>
      <c r="G129" s="77" t="str">
        <f aca="false">IF(A129=0,"",VLOOKUP(A129,[3]CO!$A$3:$F$5311,3,0))</f>
        <v/>
      </c>
      <c r="H129" s="5"/>
      <c r="I129" s="78"/>
      <c r="J129" s="78"/>
      <c r="K129" s="78"/>
      <c r="L129" s="78"/>
      <c r="M129" s="79" t="str">
        <f aca="false">IF(L129=0,"",H129*Q$107/N129)</f>
        <v/>
      </c>
      <c r="N129" s="79" t="str">
        <f aca="false">IF(B129=0,"",IF(H129="M",HLOOKUP(B129,$Y$12:$DT$13,2),IF(A129=0,"",VLOOKUP(A129,[3]CO!$A$3:$F$5311,4,0))))</f>
        <v/>
      </c>
      <c r="O129" s="79" t="str">
        <f aca="false">IF(L129=0,"",PRODUCT(M129:N129))</f>
        <v/>
      </c>
      <c r="P129" s="80"/>
      <c r="Q129" s="81" t="str">
        <f aca="false">IF(P129=0,"",(HLOOKUP(P129,$DW$12:$HR$13,2)))</f>
        <v/>
      </c>
      <c r="R129" s="82"/>
      <c r="S129" s="5"/>
      <c r="T129" s="65" t="str">
        <f aca="false">IF(A129=0,"",VLOOKUP(A129,[3]CO!$A$3:$F$5302,5,0))</f>
        <v/>
      </c>
      <c r="U129" s="55" t="n">
        <f aca="false">IF(T129=1,O129*0.1,)</f>
        <v>0</v>
      </c>
      <c r="V129" s="66"/>
      <c r="W129" s="83"/>
      <c r="X129" s="83"/>
      <c r="Y129" s="84" t="str">
        <f aca="false">IF($B129=Y$12,$U129,"")</f>
        <v/>
      </c>
      <c r="Z129" s="85" t="str">
        <f aca="false">IF($B129=Z$12,$U129,"")</f>
        <v/>
      </c>
      <c r="AA129" s="85" t="str">
        <f aca="false">IF($B129=AA$12,$U129,"")</f>
        <v/>
      </c>
      <c r="AB129" s="85" t="str">
        <f aca="false">IF($B129=AB$12,$U129,"")</f>
        <v/>
      </c>
      <c r="AC129" s="85" t="str">
        <f aca="false">IF($B129=AC$12,$U129,"")</f>
        <v/>
      </c>
      <c r="AD129" s="85" t="str">
        <f aca="false">IF($B129=AD$12,$U129,"")</f>
        <v/>
      </c>
      <c r="AE129" s="85" t="str">
        <f aca="false">IF($B129=AE$12,$U129,"")</f>
        <v/>
      </c>
      <c r="AF129" s="85" t="str">
        <f aca="false">IF($B129=AF$12,$U129,"")</f>
        <v/>
      </c>
      <c r="AG129" s="85" t="str">
        <f aca="false">IF($B129=AG$12,$U129,"")</f>
        <v/>
      </c>
      <c r="AH129" s="85" t="str">
        <f aca="false">IF($B129=AH$12,$U129,"")</f>
        <v/>
      </c>
      <c r="AI129" s="85" t="str">
        <f aca="false">IF($B129=AI$12,$U129,"")</f>
        <v/>
      </c>
      <c r="AJ129" s="85" t="str">
        <f aca="false">IF($B129=AJ$12,$U129,"")</f>
        <v/>
      </c>
      <c r="AK129" s="85" t="str">
        <f aca="false">IF($B129=AK$12,$U129,"")</f>
        <v/>
      </c>
      <c r="AL129" s="85" t="str">
        <f aca="false">IF($B129=AL$12,$U129,"")</f>
        <v/>
      </c>
      <c r="AM129" s="85" t="str">
        <f aca="false">IF($B129=AM$12,$U129,"")</f>
        <v/>
      </c>
      <c r="AN129" s="85" t="str">
        <f aca="false">IF($B129=AN$12,$U129,"")</f>
        <v/>
      </c>
      <c r="AO129" s="85" t="str">
        <f aca="false">IF($B129=AO$12,$U129,"")</f>
        <v/>
      </c>
      <c r="AP129" s="85" t="str">
        <f aca="false">IF($B129=AP$12,$U129,"")</f>
        <v/>
      </c>
      <c r="AQ129" s="85" t="str">
        <f aca="false">IF($B129=AQ$12,$U129,"")</f>
        <v/>
      </c>
      <c r="AR129" s="85" t="str">
        <f aca="false">IF($B129=AR$12,$U129,"")</f>
        <v/>
      </c>
      <c r="AS129" s="85" t="str">
        <f aca="false">IF($B129=AS$12,$U129,"")</f>
        <v/>
      </c>
      <c r="AT129" s="85" t="str">
        <f aca="false">IF($B129=AT$12,$U129,"")</f>
        <v/>
      </c>
      <c r="AU129" s="85" t="str">
        <f aca="false">IF($B129=AU$12,$U129,"")</f>
        <v/>
      </c>
      <c r="AV129" s="85" t="str">
        <f aca="false">IF($B129=AV$12,$U129,"")</f>
        <v/>
      </c>
      <c r="AW129" s="85" t="str">
        <f aca="false">IF($B129=AW$12,$U129,"")</f>
        <v/>
      </c>
      <c r="AX129" s="85" t="str">
        <f aca="false">IF($B129=AX$12,$U129,"")</f>
        <v/>
      </c>
      <c r="AY129" s="85" t="str">
        <f aca="false">IF($B129=AY$12,$U129,"")</f>
        <v/>
      </c>
      <c r="AZ129" s="85" t="str">
        <f aca="false">IF($B129=AZ$12,$U129,"")</f>
        <v/>
      </c>
      <c r="BA129" s="85" t="str">
        <f aca="false">IF($B129=BA$12,$U129,"")</f>
        <v/>
      </c>
      <c r="BB129" s="85" t="str">
        <f aca="false">IF($B129=BB$12,$U129,"")</f>
        <v/>
      </c>
      <c r="BC129" s="85" t="str">
        <f aca="false">IF($B129=BC$12,$U129,"")</f>
        <v/>
      </c>
      <c r="BD129" s="85" t="str">
        <f aca="false">IF($B129=BD$12,$U129,"")</f>
        <v/>
      </c>
      <c r="BE129" s="85" t="str">
        <f aca="false">IF($B129=BE$12,$U129,"")</f>
        <v/>
      </c>
      <c r="BF129" s="85" t="str">
        <f aca="false">IF($B129=BF$12,$U129,"")</f>
        <v/>
      </c>
      <c r="BG129" s="85" t="str">
        <f aca="false">IF($B129=BG$12,$U129,"")</f>
        <v/>
      </c>
      <c r="BH129" s="85" t="str">
        <f aca="false">IF($B129=BH$12,$U129,"")</f>
        <v/>
      </c>
      <c r="BI129" s="85" t="str">
        <f aca="false">IF($B129=BI$12,$U129,"")</f>
        <v/>
      </c>
      <c r="BJ129" s="85" t="str">
        <f aca="false">IF($B129=BJ$12,$U129,"")</f>
        <v/>
      </c>
      <c r="BK129" s="85" t="str">
        <f aca="false">IF($B129=BK$12,$U129,"")</f>
        <v/>
      </c>
      <c r="BL129" s="85" t="str">
        <f aca="false">IF($B129=BL$12,$U129,"")</f>
        <v/>
      </c>
      <c r="BM129" s="85" t="str">
        <f aca="false">IF($B129=BM$12,$U129,"")</f>
        <v/>
      </c>
      <c r="BN129" s="85" t="str">
        <f aca="false">IF($B129=BN$12,$U129,"")</f>
        <v/>
      </c>
      <c r="BO129" s="85" t="str">
        <f aca="false">IF($B129=BO$12,$U129,"")</f>
        <v/>
      </c>
      <c r="BP129" s="85" t="str">
        <f aca="false">IF($B129=BP$12,$U129,"")</f>
        <v/>
      </c>
      <c r="BQ129" s="85" t="str">
        <f aca="false">IF($B129=BQ$12,$U129,"")</f>
        <v/>
      </c>
      <c r="BR129" s="85" t="str">
        <f aca="false">IF($B129=BR$12,$U129,"")</f>
        <v/>
      </c>
      <c r="BS129" s="85" t="str">
        <f aca="false">IF($B129=BS$12,$U129,"")</f>
        <v/>
      </c>
      <c r="BT129" s="85" t="str">
        <f aca="false">IF($B129=BT$12,$U129,"")</f>
        <v/>
      </c>
      <c r="BU129" s="85" t="str">
        <f aca="false">IF($B129=BU$12,$U129,"")</f>
        <v/>
      </c>
      <c r="BV129" s="85" t="str">
        <f aca="false">IF($B129=BV$12,$U129,"")</f>
        <v/>
      </c>
      <c r="BW129" s="85" t="str">
        <f aca="false">IF($B129=BW$12,$U129,"")</f>
        <v/>
      </c>
      <c r="BX129" s="85" t="str">
        <f aca="false">IF($B129=BX$12,$U129,"")</f>
        <v/>
      </c>
      <c r="BY129" s="85" t="str">
        <f aca="false">IF($B129=BY$12,$U129,"")</f>
        <v/>
      </c>
      <c r="BZ129" s="85" t="str">
        <f aca="false">IF($B129=BZ$12,$U129,"")</f>
        <v/>
      </c>
      <c r="CA129" s="85" t="str">
        <f aca="false">IF($B129=CA$12,$U129,"")</f>
        <v/>
      </c>
      <c r="CB129" s="85" t="str">
        <f aca="false">IF($B129=CB$12,$U129,"")</f>
        <v/>
      </c>
      <c r="CC129" s="85" t="str">
        <f aca="false">IF($B129=CC$12,$U129,"")</f>
        <v/>
      </c>
      <c r="CD129" s="85" t="str">
        <f aca="false">IF($B129=CD$12,$U129,"")</f>
        <v/>
      </c>
      <c r="CE129" s="85" t="str">
        <f aca="false">IF($B129=CE$12,$U129,"")</f>
        <v/>
      </c>
      <c r="CF129" s="85" t="str">
        <f aca="false">IF($B129=CF$12,$U129,"")</f>
        <v/>
      </c>
      <c r="CG129" s="85" t="str">
        <f aca="false">IF($B129=CG$12,$U129,"")</f>
        <v/>
      </c>
      <c r="CH129" s="85" t="str">
        <f aca="false">IF($B129=CH$12,$U129,"")</f>
        <v/>
      </c>
      <c r="CI129" s="85" t="str">
        <f aca="false">IF($B129=CI$12,$U129,"")</f>
        <v/>
      </c>
      <c r="CJ129" s="85" t="str">
        <f aca="false">IF($B129=CJ$12,$U129,"")</f>
        <v/>
      </c>
      <c r="CK129" s="85" t="str">
        <f aca="false">IF($B129=CK$12,$U129,"")</f>
        <v/>
      </c>
      <c r="CL129" s="85" t="str">
        <f aca="false">IF($B129=CL$12,$U129,"")</f>
        <v/>
      </c>
      <c r="CM129" s="85" t="str">
        <f aca="false">IF($B129=CM$12,$U129,"")</f>
        <v/>
      </c>
      <c r="CN129" s="85" t="str">
        <f aca="false">IF($B129=CN$12,$U129,"")</f>
        <v/>
      </c>
      <c r="CO129" s="85" t="str">
        <f aca="false">IF($B129=CO$12,$U129,"")</f>
        <v/>
      </c>
      <c r="CP129" s="85" t="str">
        <f aca="false">IF($B129=CP$12,$U129,"")</f>
        <v/>
      </c>
      <c r="CQ129" s="85" t="str">
        <f aca="false">IF($B129=CQ$12,$U129,"")</f>
        <v/>
      </c>
      <c r="CR129" s="85" t="str">
        <f aca="false">IF($B129=CR$12,$U129,"")</f>
        <v/>
      </c>
      <c r="CS129" s="85" t="str">
        <f aca="false">IF($B129=CS$12,$U129,"")</f>
        <v/>
      </c>
      <c r="CT129" s="85" t="str">
        <f aca="false">IF($B129=CT$12,$U129,"")</f>
        <v/>
      </c>
      <c r="CU129" s="85" t="str">
        <f aca="false">IF($B129=CU$12,$U129,"")</f>
        <v/>
      </c>
      <c r="CV129" s="85" t="str">
        <f aca="false">IF($B129=CV$12,$U129,"")</f>
        <v/>
      </c>
      <c r="CW129" s="85" t="str">
        <f aca="false">IF($B129=CW$12,$U129,"")</f>
        <v/>
      </c>
      <c r="CX129" s="85" t="str">
        <f aca="false">IF($B129=CX$12,$U129,"")</f>
        <v/>
      </c>
      <c r="CY129" s="85" t="str">
        <f aca="false">IF($B129=CY$12,$U129,"")</f>
        <v/>
      </c>
      <c r="CZ129" s="85" t="str">
        <f aca="false">IF($B129=CZ$12,$U129,"")</f>
        <v/>
      </c>
      <c r="DA129" s="85" t="str">
        <f aca="false">IF($B129=DA$12,$U129,"")</f>
        <v/>
      </c>
      <c r="DB129" s="85" t="str">
        <f aca="false">IF($B129=DB$12,$U129,"")</f>
        <v/>
      </c>
      <c r="DC129" s="85" t="str">
        <f aca="false">IF($B129=DC$12,$U129,"")</f>
        <v/>
      </c>
      <c r="DD129" s="85" t="str">
        <f aca="false">IF($B129=DD$12,$U129,"")</f>
        <v/>
      </c>
      <c r="DE129" s="85" t="str">
        <f aca="false">IF($B129=DE$12,$U129,"")</f>
        <v/>
      </c>
      <c r="DF129" s="85" t="str">
        <f aca="false">IF($B129=DF$12,$U129,"")</f>
        <v/>
      </c>
      <c r="DG129" s="85" t="str">
        <f aca="false">IF($B129=DG$12,$U129,"")</f>
        <v/>
      </c>
      <c r="DH129" s="85" t="str">
        <f aca="false">IF($B129=DH$12,$U129,"")</f>
        <v/>
      </c>
      <c r="DI129" s="85" t="str">
        <f aca="false">IF($B129=DI$12,$U129,"")</f>
        <v/>
      </c>
      <c r="DJ129" s="85" t="str">
        <f aca="false">IF($B129=DJ$12,$U129,"")</f>
        <v/>
      </c>
      <c r="DK129" s="85" t="str">
        <f aca="false">IF($B129=DK$12,$U129,"")</f>
        <v/>
      </c>
      <c r="DL129" s="85" t="str">
        <f aca="false">IF($B129=DL$12,$U129,"")</f>
        <v/>
      </c>
      <c r="DM129" s="85" t="str">
        <f aca="false">IF($B129=DM$12,$U129,"")</f>
        <v/>
      </c>
      <c r="DN129" s="85" t="str">
        <f aca="false">IF($B129=DN$12,$U129,"")</f>
        <v/>
      </c>
      <c r="DO129" s="85" t="str">
        <f aca="false">IF($B129=DO$12,$U129,"")</f>
        <v/>
      </c>
      <c r="DP129" s="85" t="str">
        <f aca="false">IF($B129=DP$12,$U129,"")</f>
        <v/>
      </c>
      <c r="DQ129" s="85" t="str">
        <f aca="false">IF($B129=DQ$12,$U129,"")</f>
        <v/>
      </c>
      <c r="DR129" s="85" t="str">
        <f aca="false">IF($B129=DR$12,$U129,"")</f>
        <v/>
      </c>
      <c r="DS129" s="85" t="str">
        <f aca="false">IF($B129=DS$12,$U129,"")</f>
        <v/>
      </c>
      <c r="DT129" s="86" t="str">
        <f aca="false">IF($B129=DT$12,$U129,"")</f>
        <v/>
      </c>
      <c r="DU129" s="55"/>
      <c r="DV129" s="83"/>
      <c r="DW129" s="87" t="str">
        <f aca="false">IF($B129=DW$12,$O129,"")</f>
        <v/>
      </c>
      <c r="DX129" s="88" t="str">
        <f aca="false">IF($B129=DX$12,$O129,"")</f>
        <v/>
      </c>
      <c r="DY129" s="88" t="str">
        <f aca="false">IF($B129=DY$12,$O129,"")</f>
        <v/>
      </c>
      <c r="DZ129" s="88" t="str">
        <f aca="false">IF($B129=DZ$12,$O129,"")</f>
        <v/>
      </c>
      <c r="EA129" s="88" t="str">
        <f aca="false">IF($B129=EA$12,$O129,"")</f>
        <v/>
      </c>
      <c r="EB129" s="88" t="str">
        <f aca="false">IF($B129=EB$12,$O129,"")</f>
        <v/>
      </c>
      <c r="EC129" s="88" t="str">
        <f aca="false">IF($B129=EC$12,$O129,"")</f>
        <v/>
      </c>
      <c r="ED129" s="88" t="str">
        <f aca="false">IF($B129=ED$12,$O129,"")</f>
        <v/>
      </c>
      <c r="EE129" s="88" t="str">
        <f aca="false">IF($B129=EE$12,$O129,"")</f>
        <v/>
      </c>
      <c r="EF129" s="88" t="str">
        <f aca="false">IF($B129=EF$12,$O129,"")</f>
        <v/>
      </c>
      <c r="EG129" s="88" t="str">
        <f aca="false">IF($B129=EG$12,$O129,"")</f>
        <v/>
      </c>
      <c r="EH129" s="88" t="str">
        <f aca="false">IF($B129=EH$12,$O129,"")</f>
        <v/>
      </c>
      <c r="EI129" s="88" t="str">
        <f aca="false">IF($B129=EI$12,$O129,"")</f>
        <v/>
      </c>
      <c r="EJ129" s="88" t="str">
        <f aca="false">IF($B129=EJ$12,$O129,"")</f>
        <v/>
      </c>
      <c r="EK129" s="88" t="str">
        <f aca="false">IF($B129=EK$12,$O129,"")</f>
        <v/>
      </c>
      <c r="EL129" s="88" t="str">
        <f aca="false">IF($B129=EL$12,$O129,"")</f>
        <v/>
      </c>
      <c r="EM129" s="88" t="str">
        <f aca="false">IF($B129=EM$12,$O129,"")</f>
        <v/>
      </c>
      <c r="EN129" s="88" t="str">
        <f aca="false">IF($B129=EN$12,$O129,"")</f>
        <v/>
      </c>
      <c r="EO129" s="88" t="str">
        <f aca="false">IF($B129=EO$12,$O129,"")</f>
        <v/>
      </c>
      <c r="EP129" s="88" t="str">
        <f aca="false">IF($B129=EP$12,$O129,"")</f>
        <v/>
      </c>
      <c r="EQ129" s="88" t="str">
        <f aca="false">IF($B129=EQ$12,$O129,"")</f>
        <v/>
      </c>
      <c r="ER129" s="88" t="str">
        <f aca="false">IF($B129=ER$12,$O129,"")</f>
        <v/>
      </c>
      <c r="ES129" s="88" t="str">
        <f aca="false">IF($B129=ES$12,$O129,"")</f>
        <v/>
      </c>
      <c r="ET129" s="88" t="str">
        <f aca="false">IF($B129=ET$12,$O129,"")</f>
        <v/>
      </c>
      <c r="EU129" s="88" t="str">
        <f aca="false">IF($B129=EU$12,$O129,"")</f>
        <v/>
      </c>
      <c r="EV129" s="88" t="str">
        <f aca="false">IF($B129=EV$12,$O129,"")</f>
        <v/>
      </c>
      <c r="EW129" s="88" t="str">
        <f aca="false">IF($B129=EW$12,$O129,"")</f>
        <v/>
      </c>
      <c r="EX129" s="88" t="str">
        <f aca="false">IF($B129=EX$12,$O129,"")</f>
        <v/>
      </c>
      <c r="EY129" s="88" t="str">
        <f aca="false">IF($B129=EY$12,$O129,"")</f>
        <v/>
      </c>
      <c r="EZ129" s="88" t="str">
        <f aca="false">IF($B129=EZ$12,$O129,"")</f>
        <v/>
      </c>
      <c r="FA129" s="88" t="str">
        <f aca="false">IF($B129=FA$12,$O129,"")</f>
        <v/>
      </c>
      <c r="FB129" s="88" t="str">
        <f aca="false">IF($B129=FB$12,$O129,"")</f>
        <v/>
      </c>
      <c r="FC129" s="88" t="str">
        <f aca="false">IF($B129=FC$12,$O129,"")</f>
        <v/>
      </c>
      <c r="FD129" s="88" t="str">
        <f aca="false">IF($B129=FD$12,$O129,"")</f>
        <v/>
      </c>
      <c r="FE129" s="88" t="str">
        <f aca="false">IF($B129=FE$12,$O129,"")</f>
        <v/>
      </c>
      <c r="FF129" s="88" t="str">
        <f aca="false">IF($B129=FF$12,$O129,"")</f>
        <v/>
      </c>
      <c r="FG129" s="88" t="str">
        <f aca="false">IF($B129=FG$12,$O129,"")</f>
        <v/>
      </c>
      <c r="FH129" s="88" t="str">
        <f aca="false">IF($B129=FH$12,$O129,"")</f>
        <v/>
      </c>
      <c r="FI129" s="88" t="str">
        <f aca="false">IF($B129=FI$12,$O129,"")</f>
        <v/>
      </c>
      <c r="FJ129" s="88" t="str">
        <f aca="false">IF($B129=FJ$12,$O129,"")</f>
        <v/>
      </c>
      <c r="FK129" s="88" t="str">
        <f aca="false">IF($B129=FK$12,$O129,"")</f>
        <v/>
      </c>
      <c r="FL129" s="88" t="str">
        <f aca="false">IF($B129=FL$12,$O129,"")</f>
        <v/>
      </c>
      <c r="FM129" s="88" t="str">
        <f aca="false">IF($B129=FM$12,$O129,"")</f>
        <v/>
      </c>
      <c r="FN129" s="88" t="str">
        <f aca="false">IF($B129=FN$12,$O129,"")</f>
        <v/>
      </c>
      <c r="FO129" s="88" t="str">
        <f aca="false">IF($B129=FO$12,$O129,"")</f>
        <v/>
      </c>
      <c r="FP129" s="88" t="str">
        <f aca="false">IF($B129=FP$12,$O129,"")</f>
        <v/>
      </c>
      <c r="FQ129" s="88" t="str">
        <f aca="false">IF($B129=FQ$12,$O129,"")</f>
        <v/>
      </c>
      <c r="FR129" s="88" t="str">
        <f aca="false">IF($B129=FR$12,$O129,"")</f>
        <v/>
      </c>
      <c r="FS129" s="88" t="str">
        <f aca="false">IF($B129=FS$12,$O129,"")</f>
        <v/>
      </c>
      <c r="FT129" s="88" t="str">
        <f aca="false">IF($B129=FT$12,$O129,"")</f>
        <v/>
      </c>
      <c r="FU129" s="88" t="str">
        <f aca="false">IF($B129=FU$12,$O129,"")</f>
        <v/>
      </c>
      <c r="FV129" s="88" t="str">
        <f aca="false">IF($B129=FV$12,$O129,"")</f>
        <v/>
      </c>
      <c r="FW129" s="88" t="str">
        <f aca="false">IF($B129=FW$12,$O129,"")</f>
        <v/>
      </c>
      <c r="FX129" s="88" t="str">
        <f aca="false">IF($B129=FX$12,$O129,"")</f>
        <v/>
      </c>
      <c r="FY129" s="88" t="str">
        <f aca="false">IF($B129=FY$12,$O129,"")</f>
        <v/>
      </c>
      <c r="FZ129" s="88" t="str">
        <f aca="false">IF($B129=FZ$12,$O129,"")</f>
        <v/>
      </c>
      <c r="GA129" s="88" t="str">
        <f aca="false">IF($B129=GA$12,$O129,"")</f>
        <v/>
      </c>
      <c r="GB129" s="88" t="str">
        <f aca="false">IF($B129=GB$12,$O129,"")</f>
        <v/>
      </c>
      <c r="GC129" s="88" t="str">
        <f aca="false">IF($B129=GC$12,$O129,"")</f>
        <v/>
      </c>
      <c r="GD129" s="88" t="str">
        <f aca="false">IF($B129=GD$12,$O129,"")</f>
        <v/>
      </c>
      <c r="GE129" s="88" t="str">
        <f aca="false">IF($B129=GE$12,$O129,"")</f>
        <v/>
      </c>
      <c r="GF129" s="88" t="str">
        <f aca="false">IF($B129=GF$12,$O129,"")</f>
        <v/>
      </c>
      <c r="GG129" s="88" t="str">
        <f aca="false">IF($B129=GG$12,$O129,"")</f>
        <v/>
      </c>
      <c r="GH129" s="88" t="str">
        <f aca="false">IF($B129=GH$12,$O129,"")</f>
        <v/>
      </c>
      <c r="GI129" s="88" t="str">
        <f aca="false">IF($B129=GI$12,$O129,"")</f>
        <v/>
      </c>
      <c r="GJ129" s="88" t="str">
        <f aca="false">IF($B129=GJ$12,$O129,"")</f>
        <v/>
      </c>
      <c r="GK129" s="88" t="str">
        <f aca="false">IF($B129=GK$12,$O129,"")</f>
        <v/>
      </c>
      <c r="GL129" s="88" t="str">
        <f aca="false">IF($B129=GL$12,$O129,"")</f>
        <v/>
      </c>
      <c r="GM129" s="88" t="str">
        <f aca="false">IF($B129=GM$12,$O129,"")</f>
        <v/>
      </c>
      <c r="GN129" s="88" t="str">
        <f aca="false">IF($B129=GN$12,$O129,"")</f>
        <v/>
      </c>
      <c r="GO129" s="88" t="str">
        <f aca="false">IF($B129=GO$12,$O129,"")</f>
        <v/>
      </c>
      <c r="GP129" s="88" t="str">
        <f aca="false">IF($B129=GP$12,$O129,"")</f>
        <v/>
      </c>
      <c r="GQ129" s="88" t="str">
        <f aca="false">IF($B129=GQ$12,$O129,"")</f>
        <v/>
      </c>
      <c r="GR129" s="88" t="str">
        <f aca="false">IF($B129=GR$12,$O129,"")</f>
        <v/>
      </c>
      <c r="GS129" s="88" t="str">
        <f aca="false">IF($B129=GS$12,$O129,"")</f>
        <v/>
      </c>
      <c r="GT129" s="88" t="str">
        <f aca="false">IF($B129=GT$12,$O129,"")</f>
        <v/>
      </c>
      <c r="GU129" s="88" t="str">
        <f aca="false">IF($B129=GU$12,$O129,"")</f>
        <v/>
      </c>
      <c r="GV129" s="88" t="str">
        <f aca="false">IF($B129=GV$12,$O129,"")</f>
        <v/>
      </c>
      <c r="GW129" s="88" t="str">
        <f aca="false">IF($B129=GW$12,$O129,"")</f>
        <v/>
      </c>
      <c r="GX129" s="88" t="str">
        <f aca="false">IF($B129=GX$12,$O129,"")</f>
        <v/>
      </c>
      <c r="GY129" s="88" t="str">
        <f aca="false">IF($B129=GY$12,$O129,"")</f>
        <v/>
      </c>
      <c r="GZ129" s="88" t="str">
        <f aca="false">IF($B129=GZ$12,$O129,"")</f>
        <v/>
      </c>
      <c r="HA129" s="88" t="str">
        <f aca="false">IF($B129=HA$12,$O129,"")</f>
        <v/>
      </c>
      <c r="HB129" s="88" t="str">
        <f aca="false">IF($B129=HB$12,$O129,"")</f>
        <v/>
      </c>
      <c r="HC129" s="88" t="str">
        <f aca="false">IF($B129=HC$12,$O129,"")</f>
        <v/>
      </c>
      <c r="HD129" s="88" t="str">
        <f aca="false">IF($B129=HD$12,$O129,"")</f>
        <v/>
      </c>
      <c r="HE129" s="88" t="str">
        <f aca="false">IF($B129=HE$12,$O129,"")</f>
        <v/>
      </c>
      <c r="HF129" s="88" t="str">
        <f aca="false">IF($B129=HF$12,$O129,"")</f>
        <v/>
      </c>
      <c r="HG129" s="88" t="str">
        <f aca="false">IF($B129=HG$12,$O129,"")</f>
        <v/>
      </c>
      <c r="HH129" s="88" t="str">
        <f aca="false">IF($B129=HH$12,$O129,"")</f>
        <v/>
      </c>
      <c r="HI129" s="88" t="str">
        <f aca="false">IF($B129=HI$12,$O129,"")</f>
        <v/>
      </c>
      <c r="HJ129" s="88" t="str">
        <f aca="false">IF($B129=HJ$12,$O129,"")</f>
        <v/>
      </c>
      <c r="HK129" s="88" t="str">
        <f aca="false">IF($B129=HK$12,$O129,"")</f>
        <v/>
      </c>
      <c r="HL129" s="88" t="str">
        <f aca="false">IF($B129=HL$12,$O129,"")</f>
        <v/>
      </c>
      <c r="HM129" s="88" t="str">
        <f aca="false">IF($B129=HM$12,$O129,"")</f>
        <v/>
      </c>
      <c r="HN129" s="88" t="str">
        <f aca="false">IF($B129=HN$12,$O129,"")</f>
        <v/>
      </c>
      <c r="HO129" s="88" t="str">
        <f aca="false">IF($B129=HO$12,$O129,"")</f>
        <v/>
      </c>
      <c r="HP129" s="88" t="str">
        <f aca="false">IF($B129=HP$12,$O129,"")</f>
        <v/>
      </c>
      <c r="HQ129" s="88" t="str">
        <f aca="false">IF($B129=HQ$12,$O129,"")</f>
        <v/>
      </c>
      <c r="HR129" s="89" t="str">
        <f aca="false">IF($B129=HR$12,$O129,"")</f>
        <v/>
      </c>
    </row>
    <row r="130" customFormat="false" ht="10.5" hidden="false" customHeight="true" outlineLevel="0" collapsed="false">
      <c r="A130" s="73"/>
      <c r="B130" s="74"/>
      <c r="C130" s="75" t="str">
        <f aca="false">IF(A130=0,"",VLOOKUP(A130,[3]CO!$A$3:$F$5311,2,0))</f>
        <v/>
      </c>
      <c r="D130" s="76"/>
      <c r="E130" s="76"/>
      <c r="F130" s="126" t="str">
        <f aca="false">IF(AND(B130&gt;0,H130&gt;0),(H130*100) &amp; "% DE $" &amp;$Q$107,"")</f>
        <v/>
      </c>
      <c r="G130" s="77" t="str">
        <f aca="false">IF(A130=0,"",VLOOKUP(A130,[3]CO!$A$3:$F$5311,3,0))</f>
        <v/>
      </c>
      <c r="H130" s="5"/>
      <c r="I130" s="78"/>
      <c r="J130" s="78"/>
      <c r="K130" s="78"/>
      <c r="L130" s="78"/>
      <c r="M130" s="79" t="str">
        <f aca="false">IF(L130=0,"",H130*Q$107/N130)</f>
        <v/>
      </c>
      <c r="N130" s="79" t="str">
        <f aca="false">IF(B130=0,"",IF(H130="M",HLOOKUP(B130,$Y$12:$DT$13,2),IF(A130=0,"",VLOOKUP(A130,[3]CO!$A$3:$F$5311,4,0))))</f>
        <v/>
      </c>
      <c r="O130" s="79" t="str">
        <f aca="false">IF(L130=0,"",PRODUCT(M130:N130))</f>
        <v/>
      </c>
      <c r="P130" s="80"/>
      <c r="Q130" s="81" t="str">
        <f aca="false">IF(P130=0,"",(HLOOKUP(P130,$DW$12:$HR$13,2)))</f>
        <v/>
      </c>
      <c r="R130" s="82"/>
      <c r="S130" s="5"/>
      <c r="T130" s="65" t="str">
        <f aca="false">IF(A130=0,"",VLOOKUP(A130,[3]CO!$A$3:$F$5302,5,0))</f>
        <v/>
      </c>
      <c r="U130" s="55" t="n">
        <f aca="false">IF(T130=1,O130*0.1,)</f>
        <v>0</v>
      </c>
      <c r="V130" s="66"/>
      <c r="W130" s="83"/>
      <c r="X130" s="83"/>
      <c r="Y130" s="84" t="str">
        <f aca="false">IF($B130=Y$12,$U130,"")</f>
        <v/>
      </c>
      <c r="Z130" s="85" t="str">
        <f aca="false">IF($B130=Z$12,$U130,"")</f>
        <v/>
      </c>
      <c r="AA130" s="85" t="str">
        <f aca="false">IF($B130=AA$12,$U130,"")</f>
        <v/>
      </c>
      <c r="AB130" s="85" t="str">
        <f aca="false">IF($B130=AB$12,$U130,"")</f>
        <v/>
      </c>
      <c r="AC130" s="85" t="str">
        <f aca="false">IF($B130=AC$12,$U130,"")</f>
        <v/>
      </c>
      <c r="AD130" s="85" t="str">
        <f aca="false">IF($B130=AD$12,$U130,"")</f>
        <v/>
      </c>
      <c r="AE130" s="85" t="str">
        <f aca="false">IF($B130=AE$12,$U130,"")</f>
        <v/>
      </c>
      <c r="AF130" s="85" t="str">
        <f aca="false">IF($B130=AF$12,$U130,"")</f>
        <v/>
      </c>
      <c r="AG130" s="85" t="str">
        <f aca="false">IF($B130=AG$12,$U130,"")</f>
        <v/>
      </c>
      <c r="AH130" s="85" t="str">
        <f aca="false">IF($B130=AH$12,$U130,"")</f>
        <v/>
      </c>
      <c r="AI130" s="85" t="str">
        <f aca="false">IF($B130=AI$12,$U130,"")</f>
        <v/>
      </c>
      <c r="AJ130" s="85" t="str">
        <f aca="false">IF($B130=AJ$12,$U130,"")</f>
        <v/>
      </c>
      <c r="AK130" s="85" t="str">
        <f aca="false">IF($B130=AK$12,$U130,"")</f>
        <v/>
      </c>
      <c r="AL130" s="85" t="str">
        <f aca="false">IF($B130=AL$12,$U130,"")</f>
        <v/>
      </c>
      <c r="AM130" s="85" t="str">
        <f aca="false">IF($B130=AM$12,$U130,"")</f>
        <v/>
      </c>
      <c r="AN130" s="85" t="str">
        <f aca="false">IF($B130=AN$12,$U130,"")</f>
        <v/>
      </c>
      <c r="AO130" s="85" t="str">
        <f aca="false">IF($B130=AO$12,$U130,"")</f>
        <v/>
      </c>
      <c r="AP130" s="85" t="str">
        <f aca="false">IF($B130=AP$12,$U130,"")</f>
        <v/>
      </c>
      <c r="AQ130" s="85" t="str">
        <f aca="false">IF($B130=AQ$12,$U130,"")</f>
        <v/>
      </c>
      <c r="AR130" s="85" t="str">
        <f aca="false">IF($B130=AR$12,$U130,"")</f>
        <v/>
      </c>
      <c r="AS130" s="85" t="str">
        <f aca="false">IF($B130=AS$12,$U130,"")</f>
        <v/>
      </c>
      <c r="AT130" s="85" t="str">
        <f aca="false">IF($B130=AT$12,$U130,"")</f>
        <v/>
      </c>
      <c r="AU130" s="85" t="str">
        <f aca="false">IF($B130=AU$12,$U130,"")</f>
        <v/>
      </c>
      <c r="AV130" s="85" t="str">
        <f aca="false">IF($B130=AV$12,$U130,"")</f>
        <v/>
      </c>
      <c r="AW130" s="85" t="str">
        <f aca="false">IF($B130=AW$12,$U130,"")</f>
        <v/>
      </c>
      <c r="AX130" s="85" t="str">
        <f aca="false">IF($B130=AX$12,$U130,"")</f>
        <v/>
      </c>
      <c r="AY130" s="85" t="str">
        <f aca="false">IF($B130=AY$12,$U130,"")</f>
        <v/>
      </c>
      <c r="AZ130" s="85" t="str">
        <f aca="false">IF($B130=AZ$12,$U130,"")</f>
        <v/>
      </c>
      <c r="BA130" s="85" t="str">
        <f aca="false">IF($B130=BA$12,$U130,"")</f>
        <v/>
      </c>
      <c r="BB130" s="85" t="str">
        <f aca="false">IF($B130=BB$12,$U130,"")</f>
        <v/>
      </c>
      <c r="BC130" s="85" t="str">
        <f aca="false">IF($B130=BC$12,$U130,"")</f>
        <v/>
      </c>
      <c r="BD130" s="85" t="str">
        <f aca="false">IF($B130=BD$12,$U130,"")</f>
        <v/>
      </c>
      <c r="BE130" s="85" t="str">
        <f aca="false">IF($B130=BE$12,$U130,"")</f>
        <v/>
      </c>
      <c r="BF130" s="85" t="str">
        <f aca="false">IF($B130=BF$12,$U130,"")</f>
        <v/>
      </c>
      <c r="BG130" s="85" t="str">
        <f aca="false">IF($B130=BG$12,$U130,"")</f>
        <v/>
      </c>
      <c r="BH130" s="85" t="str">
        <f aca="false">IF($B130=BH$12,$U130,"")</f>
        <v/>
      </c>
      <c r="BI130" s="85" t="str">
        <f aca="false">IF($B130=BI$12,$U130,"")</f>
        <v/>
      </c>
      <c r="BJ130" s="85" t="str">
        <f aca="false">IF($B130=BJ$12,$U130,"")</f>
        <v/>
      </c>
      <c r="BK130" s="85" t="str">
        <f aca="false">IF($B130=BK$12,$U130,"")</f>
        <v/>
      </c>
      <c r="BL130" s="85" t="str">
        <f aca="false">IF($B130=BL$12,$U130,"")</f>
        <v/>
      </c>
      <c r="BM130" s="85" t="str">
        <f aca="false">IF($B130=BM$12,$U130,"")</f>
        <v/>
      </c>
      <c r="BN130" s="85" t="str">
        <f aca="false">IF($B130=BN$12,$U130,"")</f>
        <v/>
      </c>
      <c r="BO130" s="85" t="str">
        <f aca="false">IF($B130=BO$12,$U130,"")</f>
        <v/>
      </c>
      <c r="BP130" s="85" t="str">
        <f aca="false">IF($B130=BP$12,$U130,"")</f>
        <v/>
      </c>
      <c r="BQ130" s="85" t="str">
        <f aca="false">IF($B130=BQ$12,$U130,"")</f>
        <v/>
      </c>
      <c r="BR130" s="85" t="str">
        <f aca="false">IF($B130=BR$12,$U130,"")</f>
        <v/>
      </c>
      <c r="BS130" s="85" t="str">
        <f aca="false">IF($B130=BS$12,$U130,"")</f>
        <v/>
      </c>
      <c r="BT130" s="85" t="str">
        <f aca="false">IF($B130=BT$12,$U130,"")</f>
        <v/>
      </c>
      <c r="BU130" s="85" t="str">
        <f aca="false">IF($B130=BU$12,$U130,"")</f>
        <v/>
      </c>
      <c r="BV130" s="85" t="str">
        <f aca="false">IF($B130=BV$12,$U130,"")</f>
        <v/>
      </c>
      <c r="BW130" s="85" t="str">
        <f aca="false">IF($B130=BW$12,$U130,"")</f>
        <v/>
      </c>
      <c r="BX130" s="85" t="str">
        <f aca="false">IF($B130=BX$12,$U130,"")</f>
        <v/>
      </c>
      <c r="BY130" s="85" t="str">
        <f aca="false">IF($B130=BY$12,$U130,"")</f>
        <v/>
      </c>
      <c r="BZ130" s="85" t="str">
        <f aca="false">IF($B130=BZ$12,$U130,"")</f>
        <v/>
      </c>
      <c r="CA130" s="85" t="str">
        <f aca="false">IF($B130=CA$12,$U130,"")</f>
        <v/>
      </c>
      <c r="CB130" s="85" t="str">
        <f aca="false">IF($B130=CB$12,$U130,"")</f>
        <v/>
      </c>
      <c r="CC130" s="85" t="str">
        <f aca="false">IF($B130=CC$12,$U130,"")</f>
        <v/>
      </c>
      <c r="CD130" s="85" t="str">
        <f aca="false">IF($B130=CD$12,$U130,"")</f>
        <v/>
      </c>
      <c r="CE130" s="85" t="str">
        <f aca="false">IF($B130=CE$12,$U130,"")</f>
        <v/>
      </c>
      <c r="CF130" s="85" t="str">
        <f aca="false">IF($B130=CF$12,$U130,"")</f>
        <v/>
      </c>
      <c r="CG130" s="85" t="str">
        <f aca="false">IF($B130=CG$12,$U130,"")</f>
        <v/>
      </c>
      <c r="CH130" s="85" t="str">
        <f aca="false">IF($B130=CH$12,$U130,"")</f>
        <v/>
      </c>
      <c r="CI130" s="85" t="str">
        <f aca="false">IF($B130=CI$12,$U130,"")</f>
        <v/>
      </c>
      <c r="CJ130" s="85" t="str">
        <f aca="false">IF($B130=CJ$12,$U130,"")</f>
        <v/>
      </c>
      <c r="CK130" s="85" t="str">
        <f aca="false">IF($B130=CK$12,$U130,"")</f>
        <v/>
      </c>
      <c r="CL130" s="85" t="str">
        <f aca="false">IF($B130=CL$12,$U130,"")</f>
        <v/>
      </c>
      <c r="CM130" s="85" t="str">
        <f aca="false">IF($B130=CM$12,$U130,"")</f>
        <v/>
      </c>
      <c r="CN130" s="85" t="str">
        <f aca="false">IF($B130=CN$12,$U130,"")</f>
        <v/>
      </c>
      <c r="CO130" s="85" t="str">
        <f aca="false">IF($B130=CO$12,$U130,"")</f>
        <v/>
      </c>
      <c r="CP130" s="85" t="str">
        <f aca="false">IF($B130=CP$12,$U130,"")</f>
        <v/>
      </c>
      <c r="CQ130" s="85" t="str">
        <f aca="false">IF($B130=CQ$12,$U130,"")</f>
        <v/>
      </c>
      <c r="CR130" s="85" t="str">
        <f aca="false">IF($B130=CR$12,$U130,"")</f>
        <v/>
      </c>
      <c r="CS130" s="85" t="str">
        <f aca="false">IF($B130=CS$12,$U130,"")</f>
        <v/>
      </c>
      <c r="CT130" s="85" t="str">
        <f aca="false">IF($B130=CT$12,$U130,"")</f>
        <v/>
      </c>
      <c r="CU130" s="85" t="str">
        <f aca="false">IF($B130=CU$12,$U130,"")</f>
        <v/>
      </c>
      <c r="CV130" s="85" t="str">
        <f aca="false">IF($B130=CV$12,$U130,"")</f>
        <v/>
      </c>
      <c r="CW130" s="85" t="str">
        <f aca="false">IF($B130=CW$12,$U130,"")</f>
        <v/>
      </c>
      <c r="CX130" s="85" t="str">
        <f aca="false">IF($B130=CX$12,$U130,"")</f>
        <v/>
      </c>
      <c r="CY130" s="85" t="str">
        <f aca="false">IF($B130=CY$12,$U130,"")</f>
        <v/>
      </c>
      <c r="CZ130" s="85" t="str">
        <f aca="false">IF($B130=CZ$12,$U130,"")</f>
        <v/>
      </c>
      <c r="DA130" s="85" t="str">
        <f aca="false">IF($B130=DA$12,$U130,"")</f>
        <v/>
      </c>
      <c r="DB130" s="85" t="str">
        <f aca="false">IF($B130=DB$12,$U130,"")</f>
        <v/>
      </c>
      <c r="DC130" s="85" t="str">
        <f aca="false">IF($B130=DC$12,$U130,"")</f>
        <v/>
      </c>
      <c r="DD130" s="85" t="str">
        <f aca="false">IF($B130=DD$12,$U130,"")</f>
        <v/>
      </c>
      <c r="DE130" s="85" t="str">
        <f aca="false">IF($B130=DE$12,$U130,"")</f>
        <v/>
      </c>
      <c r="DF130" s="85" t="str">
        <f aca="false">IF($B130=DF$12,$U130,"")</f>
        <v/>
      </c>
      <c r="DG130" s="85" t="str">
        <f aca="false">IF($B130=DG$12,$U130,"")</f>
        <v/>
      </c>
      <c r="DH130" s="85" t="str">
        <f aca="false">IF($B130=DH$12,$U130,"")</f>
        <v/>
      </c>
      <c r="DI130" s="85" t="str">
        <f aca="false">IF($B130=DI$12,$U130,"")</f>
        <v/>
      </c>
      <c r="DJ130" s="85" t="str">
        <f aca="false">IF($B130=DJ$12,$U130,"")</f>
        <v/>
      </c>
      <c r="DK130" s="85" t="str">
        <f aca="false">IF($B130=DK$12,$U130,"")</f>
        <v/>
      </c>
      <c r="DL130" s="85" t="str">
        <f aca="false">IF($B130=DL$12,$U130,"")</f>
        <v/>
      </c>
      <c r="DM130" s="85" t="str">
        <f aca="false">IF($B130=DM$12,$U130,"")</f>
        <v/>
      </c>
      <c r="DN130" s="85" t="str">
        <f aca="false">IF($B130=DN$12,$U130,"")</f>
        <v/>
      </c>
      <c r="DO130" s="85" t="str">
        <f aca="false">IF($B130=DO$12,$U130,"")</f>
        <v/>
      </c>
      <c r="DP130" s="85" t="str">
        <f aca="false">IF($B130=DP$12,$U130,"")</f>
        <v/>
      </c>
      <c r="DQ130" s="85" t="str">
        <f aca="false">IF($B130=DQ$12,$U130,"")</f>
        <v/>
      </c>
      <c r="DR130" s="85" t="str">
        <f aca="false">IF($B130=DR$12,$U130,"")</f>
        <v/>
      </c>
      <c r="DS130" s="85" t="str">
        <f aca="false">IF($B130=DS$12,$U130,"")</f>
        <v/>
      </c>
      <c r="DT130" s="86" t="str">
        <f aca="false">IF($B130=DT$12,$U130,"")</f>
        <v/>
      </c>
      <c r="DU130" s="55"/>
      <c r="DV130" s="83"/>
      <c r="DW130" s="87" t="str">
        <f aca="false">IF($B130=DW$12,$O130,"")</f>
        <v/>
      </c>
      <c r="DX130" s="88" t="str">
        <f aca="false">IF($B130=DX$12,$O130,"")</f>
        <v/>
      </c>
      <c r="DY130" s="88" t="str">
        <f aca="false">IF($B130=DY$12,$O130,"")</f>
        <v/>
      </c>
      <c r="DZ130" s="88" t="str">
        <f aca="false">IF($B130=DZ$12,$O130,"")</f>
        <v/>
      </c>
      <c r="EA130" s="88" t="str">
        <f aca="false">IF($B130=EA$12,$O130,"")</f>
        <v/>
      </c>
      <c r="EB130" s="88" t="str">
        <f aca="false">IF($B130=EB$12,$O130,"")</f>
        <v/>
      </c>
      <c r="EC130" s="88" t="str">
        <f aca="false">IF($B130=EC$12,$O130,"")</f>
        <v/>
      </c>
      <c r="ED130" s="88" t="str">
        <f aca="false">IF($B130=ED$12,$O130,"")</f>
        <v/>
      </c>
      <c r="EE130" s="88" t="str">
        <f aca="false">IF($B130=EE$12,$O130,"")</f>
        <v/>
      </c>
      <c r="EF130" s="88" t="str">
        <f aca="false">IF($B130=EF$12,$O130,"")</f>
        <v/>
      </c>
      <c r="EG130" s="88" t="str">
        <f aca="false">IF($B130=EG$12,$O130,"")</f>
        <v/>
      </c>
      <c r="EH130" s="88" t="str">
        <f aca="false">IF($B130=EH$12,$O130,"")</f>
        <v/>
      </c>
      <c r="EI130" s="88" t="str">
        <f aca="false">IF($B130=EI$12,$O130,"")</f>
        <v/>
      </c>
      <c r="EJ130" s="88" t="str">
        <f aca="false">IF($B130=EJ$12,$O130,"")</f>
        <v/>
      </c>
      <c r="EK130" s="88" t="str">
        <f aca="false">IF($B130=EK$12,$O130,"")</f>
        <v/>
      </c>
      <c r="EL130" s="88" t="str">
        <f aca="false">IF($B130=EL$12,$O130,"")</f>
        <v/>
      </c>
      <c r="EM130" s="88" t="str">
        <f aca="false">IF($B130=EM$12,$O130,"")</f>
        <v/>
      </c>
      <c r="EN130" s="88" t="str">
        <f aca="false">IF($B130=EN$12,$O130,"")</f>
        <v/>
      </c>
      <c r="EO130" s="88" t="str">
        <f aca="false">IF($B130=EO$12,$O130,"")</f>
        <v/>
      </c>
      <c r="EP130" s="88" t="str">
        <f aca="false">IF($B130=EP$12,$O130,"")</f>
        <v/>
      </c>
      <c r="EQ130" s="88" t="str">
        <f aca="false">IF($B130=EQ$12,$O130,"")</f>
        <v/>
      </c>
      <c r="ER130" s="88" t="str">
        <f aca="false">IF($B130=ER$12,$O130,"")</f>
        <v/>
      </c>
      <c r="ES130" s="88" t="str">
        <f aca="false">IF($B130=ES$12,$O130,"")</f>
        <v/>
      </c>
      <c r="ET130" s="88" t="str">
        <f aca="false">IF($B130=ET$12,$O130,"")</f>
        <v/>
      </c>
      <c r="EU130" s="88" t="str">
        <f aca="false">IF($B130=EU$12,$O130,"")</f>
        <v/>
      </c>
      <c r="EV130" s="88" t="str">
        <f aca="false">IF($B130=EV$12,$O130,"")</f>
        <v/>
      </c>
      <c r="EW130" s="88" t="str">
        <f aca="false">IF($B130=EW$12,$O130,"")</f>
        <v/>
      </c>
      <c r="EX130" s="88" t="str">
        <f aca="false">IF($B130=EX$12,$O130,"")</f>
        <v/>
      </c>
      <c r="EY130" s="88" t="str">
        <f aca="false">IF($B130=EY$12,$O130,"")</f>
        <v/>
      </c>
      <c r="EZ130" s="88" t="str">
        <f aca="false">IF($B130=EZ$12,$O130,"")</f>
        <v/>
      </c>
      <c r="FA130" s="88" t="str">
        <f aca="false">IF($B130=FA$12,$O130,"")</f>
        <v/>
      </c>
      <c r="FB130" s="88" t="str">
        <f aca="false">IF($B130=FB$12,$O130,"")</f>
        <v/>
      </c>
      <c r="FC130" s="88" t="str">
        <f aca="false">IF($B130=FC$12,$O130,"")</f>
        <v/>
      </c>
      <c r="FD130" s="88" t="str">
        <f aca="false">IF($B130=FD$12,$O130,"")</f>
        <v/>
      </c>
      <c r="FE130" s="88" t="str">
        <f aca="false">IF($B130=FE$12,$O130,"")</f>
        <v/>
      </c>
      <c r="FF130" s="88" t="str">
        <f aca="false">IF($B130=FF$12,$O130,"")</f>
        <v/>
      </c>
      <c r="FG130" s="88" t="str">
        <f aca="false">IF($B130=FG$12,$O130,"")</f>
        <v/>
      </c>
      <c r="FH130" s="88" t="str">
        <f aca="false">IF($B130=FH$12,$O130,"")</f>
        <v/>
      </c>
      <c r="FI130" s="88" t="str">
        <f aca="false">IF($B130=FI$12,$O130,"")</f>
        <v/>
      </c>
      <c r="FJ130" s="88" t="str">
        <f aca="false">IF($B130=FJ$12,$O130,"")</f>
        <v/>
      </c>
      <c r="FK130" s="88" t="str">
        <f aca="false">IF($B130=FK$12,$O130,"")</f>
        <v/>
      </c>
      <c r="FL130" s="88" t="str">
        <f aca="false">IF($B130=FL$12,$O130,"")</f>
        <v/>
      </c>
      <c r="FM130" s="88" t="str">
        <f aca="false">IF($B130=FM$12,$O130,"")</f>
        <v/>
      </c>
      <c r="FN130" s="88" t="str">
        <f aca="false">IF($B130=FN$12,$O130,"")</f>
        <v/>
      </c>
      <c r="FO130" s="88" t="str">
        <f aca="false">IF($B130=FO$12,$O130,"")</f>
        <v/>
      </c>
      <c r="FP130" s="88" t="str">
        <f aca="false">IF($B130=FP$12,$O130,"")</f>
        <v/>
      </c>
      <c r="FQ130" s="88" t="str">
        <f aca="false">IF($B130=FQ$12,$O130,"")</f>
        <v/>
      </c>
      <c r="FR130" s="88" t="str">
        <f aca="false">IF($B130=FR$12,$O130,"")</f>
        <v/>
      </c>
      <c r="FS130" s="88" t="str">
        <f aca="false">IF($B130=FS$12,$O130,"")</f>
        <v/>
      </c>
      <c r="FT130" s="88" t="str">
        <f aca="false">IF($B130=FT$12,$O130,"")</f>
        <v/>
      </c>
      <c r="FU130" s="88" t="str">
        <f aca="false">IF($B130=FU$12,$O130,"")</f>
        <v/>
      </c>
      <c r="FV130" s="88" t="str">
        <f aca="false">IF($B130=FV$12,$O130,"")</f>
        <v/>
      </c>
      <c r="FW130" s="88" t="str">
        <f aca="false">IF($B130=FW$12,$O130,"")</f>
        <v/>
      </c>
      <c r="FX130" s="88" t="str">
        <f aca="false">IF($B130=FX$12,$O130,"")</f>
        <v/>
      </c>
      <c r="FY130" s="88" t="str">
        <f aca="false">IF($B130=FY$12,$O130,"")</f>
        <v/>
      </c>
      <c r="FZ130" s="88" t="str">
        <f aca="false">IF($B130=FZ$12,$O130,"")</f>
        <v/>
      </c>
      <c r="GA130" s="88" t="str">
        <f aca="false">IF($B130=GA$12,$O130,"")</f>
        <v/>
      </c>
      <c r="GB130" s="88" t="str">
        <f aca="false">IF($B130=GB$12,$O130,"")</f>
        <v/>
      </c>
      <c r="GC130" s="88" t="str">
        <f aca="false">IF($B130=GC$12,$O130,"")</f>
        <v/>
      </c>
      <c r="GD130" s="88" t="str">
        <f aca="false">IF($B130=GD$12,$O130,"")</f>
        <v/>
      </c>
      <c r="GE130" s="88" t="str">
        <f aca="false">IF($B130=GE$12,$O130,"")</f>
        <v/>
      </c>
      <c r="GF130" s="88" t="str">
        <f aca="false">IF($B130=GF$12,$O130,"")</f>
        <v/>
      </c>
      <c r="GG130" s="88" t="str">
        <f aca="false">IF($B130=GG$12,$O130,"")</f>
        <v/>
      </c>
      <c r="GH130" s="88" t="str">
        <f aca="false">IF($B130=GH$12,$O130,"")</f>
        <v/>
      </c>
      <c r="GI130" s="88" t="str">
        <f aca="false">IF($B130=GI$12,$O130,"")</f>
        <v/>
      </c>
      <c r="GJ130" s="88" t="str">
        <f aca="false">IF($B130=GJ$12,$O130,"")</f>
        <v/>
      </c>
      <c r="GK130" s="88" t="str">
        <f aca="false">IF($B130=GK$12,$O130,"")</f>
        <v/>
      </c>
      <c r="GL130" s="88" t="str">
        <f aca="false">IF($B130=GL$12,$O130,"")</f>
        <v/>
      </c>
      <c r="GM130" s="88" t="str">
        <f aca="false">IF($B130=GM$12,$O130,"")</f>
        <v/>
      </c>
      <c r="GN130" s="88" t="str">
        <f aca="false">IF($B130=GN$12,$O130,"")</f>
        <v/>
      </c>
      <c r="GO130" s="88" t="str">
        <f aca="false">IF($B130=GO$12,$O130,"")</f>
        <v/>
      </c>
      <c r="GP130" s="88" t="str">
        <f aca="false">IF($B130=GP$12,$O130,"")</f>
        <v/>
      </c>
      <c r="GQ130" s="88" t="str">
        <f aca="false">IF($B130=GQ$12,$O130,"")</f>
        <v/>
      </c>
      <c r="GR130" s="88" t="str">
        <f aca="false">IF($B130=GR$12,$O130,"")</f>
        <v/>
      </c>
      <c r="GS130" s="88" t="str">
        <f aca="false">IF($B130=GS$12,$O130,"")</f>
        <v/>
      </c>
      <c r="GT130" s="88" t="str">
        <f aca="false">IF($B130=GT$12,$O130,"")</f>
        <v/>
      </c>
      <c r="GU130" s="88" t="str">
        <f aca="false">IF($B130=GU$12,$O130,"")</f>
        <v/>
      </c>
      <c r="GV130" s="88" t="str">
        <f aca="false">IF($B130=GV$12,$O130,"")</f>
        <v/>
      </c>
      <c r="GW130" s="88" t="str">
        <f aca="false">IF($B130=GW$12,$O130,"")</f>
        <v/>
      </c>
      <c r="GX130" s="88" t="str">
        <f aca="false">IF($B130=GX$12,$O130,"")</f>
        <v/>
      </c>
      <c r="GY130" s="88" t="str">
        <f aca="false">IF($B130=GY$12,$O130,"")</f>
        <v/>
      </c>
      <c r="GZ130" s="88" t="str">
        <f aca="false">IF($B130=GZ$12,$O130,"")</f>
        <v/>
      </c>
      <c r="HA130" s="88" t="str">
        <f aca="false">IF($B130=HA$12,$O130,"")</f>
        <v/>
      </c>
      <c r="HB130" s="88" t="str">
        <f aca="false">IF($B130=HB$12,$O130,"")</f>
        <v/>
      </c>
      <c r="HC130" s="88" t="str">
        <f aca="false">IF($B130=HC$12,$O130,"")</f>
        <v/>
      </c>
      <c r="HD130" s="88" t="str">
        <f aca="false">IF($B130=HD$12,$O130,"")</f>
        <v/>
      </c>
      <c r="HE130" s="88" t="str">
        <f aca="false">IF($B130=HE$12,$O130,"")</f>
        <v/>
      </c>
      <c r="HF130" s="88" t="str">
        <f aca="false">IF($B130=HF$12,$O130,"")</f>
        <v/>
      </c>
      <c r="HG130" s="88" t="str">
        <f aca="false">IF($B130=HG$12,$O130,"")</f>
        <v/>
      </c>
      <c r="HH130" s="88" t="str">
        <f aca="false">IF($B130=HH$12,$O130,"")</f>
        <v/>
      </c>
      <c r="HI130" s="88" t="str">
        <f aca="false">IF($B130=HI$12,$O130,"")</f>
        <v/>
      </c>
      <c r="HJ130" s="88" t="str">
        <f aca="false">IF($B130=HJ$12,$O130,"")</f>
        <v/>
      </c>
      <c r="HK130" s="88" t="str">
        <f aca="false">IF($B130=HK$12,$O130,"")</f>
        <v/>
      </c>
      <c r="HL130" s="88" t="str">
        <f aca="false">IF($B130=HL$12,$O130,"")</f>
        <v/>
      </c>
      <c r="HM130" s="88" t="str">
        <f aca="false">IF($B130=HM$12,$O130,"")</f>
        <v/>
      </c>
      <c r="HN130" s="88" t="str">
        <f aca="false">IF($B130=HN$12,$O130,"")</f>
        <v/>
      </c>
      <c r="HO130" s="88" t="str">
        <f aca="false">IF($B130=HO$12,$O130,"")</f>
        <v/>
      </c>
      <c r="HP130" s="88" t="str">
        <f aca="false">IF($B130=HP$12,$O130,"")</f>
        <v/>
      </c>
      <c r="HQ130" s="88" t="str">
        <f aca="false">IF($B130=HQ$12,$O130,"")</f>
        <v/>
      </c>
      <c r="HR130" s="89" t="str">
        <f aca="false">IF($B130=HR$12,$O130,"")</f>
        <v/>
      </c>
    </row>
    <row r="131" customFormat="false" ht="10.5" hidden="false" customHeight="true" outlineLevel="0" collapsed="false">
      <c r="A131" s="127"/>
      <c r="B131" s="128"/>
      <c r="C131" s="129" t="str">
        <f aca="false">IF(A131=0,"",VLOOKUP(A131,[3]CO!$A$3:$F$5311,2,0))</f>
        <v/>
      </c>
      <c r="D131" s="130"/>
      <c r="E131" s="130"/>
      <c r="F131" s="131" t="str">
        <f aca="false">IF(AND(B131&gt;0,H131&gt;0),(H131*100) &amp; "% DE $" &amp;$Q$107,"")</f>
        <v/>
      </c>
      <c r="G131" s="132" t="str">
        <f aca="false">IF(A131=0,"",VLOOKUP(A131,[3]CO!$A$3:$F$5311,3,0))</f>
        <v/>
      </c>
      <c r="H131" s="5"/>
      <c r="I131" s="133"/>
      <c r="J131" s="133"/>
      <c r="K131" s="133"/>
      <c r="L131" s="133"/>
      <c r="M131" s="134" t="str">
        <f aca="false">IF(L131=0,"",PRODUCT(I131:L131))</f>
        <v/>
      </c>
      <c r="N131" s="134" t="str">
        <f aca="false">IF(B131=0,"",IF(H131="M",HLOOKUP(B131,$Y$12:$DT$13,2),IF(A131=0,"",VLOOKUP(A131,[3]CO!$A$3:$F$5311,4,0))))</f>
        <v/>
      </c>
      <c r="O131" s="134" t="str">
        <f aca="false">IF(L131=0,"",PRODUCT(M131:N131))</f>
        <v/>
      </c>
      <c r="P131" s="128"/>
      <c r="Q131" s="135" t="str">
        <f aca="false">IF(P131=0,"",(HLOOKUP(P131,$DW$12:$HR$13,2)))</f>
        <v/>
      </c>
      <c r="R131" s="136"/>
      <c r="S131" s="5"/>
      <c r="T131" s="65" t="str">
        <f aca="false">IF(A131=0,"",VLOOKUP(A131,[3]CO!$A$3:$F$5302,5,0))</f>
        <v/>
      </c>
      <c r="U131" s="55" t="n">
        <f aca="false">IF(T131=1,O131*0.1,)</f>
        <v>0</v>
      </c>
      <c r="V131" s="66"/>
      <c r="W131" s="66"/>
      <c r="X131" s="66"/>
      <c r="Y131" s="100" t="str">
        <f aca="false">IF($B131=Y$12,$U131,"")</f>
        <v/>
      </c>
      <c r="Z131" s="101" t="str">
        <f aca="false">IF($B131=Z$12,$U131,"")</f>
        <v/>
      </c>
      <c r="AA131" s="101" t="str">
        <f aca="false">IF($B131=AA$12,$U131,"")</f>
        <v/>
      </c>
      <c r="AB131" s="101" t="str">
        <f aca="false">IF($B131=AB$12,$U131,"")</f>
        <v/>
      </c>
      <c r="AC131" s="101" t="str">
        <f aca="false">IF($B131=AC$12,$U131,"")</f>
        <v/>
      </c>
      <c r="AD131" s="101" t="str">
        <f aca="false">IF($B131=AD$12,$U131,"")</f>
        <v/>
      </c>
      <c r="AE131" s="101" t="str">
        <f aca="false">IF($B131=AE$12,$U131,"")</f>
        <v/>
      </c>
      <c r="AF131" s="101" t="str">
        <f aca="false">IF($B131=AF$12,$U131,"")</f>
        <v/>
      </c>
      <c r="AG131" s="101" t="str">
        <f aca="false">IF($B131=AG$12,$U131,"")</f>
        <v/>
      </c>
      <c r="AH131" s="101" t="str">
        <f aca="false">IF($B131=AH$12,$U131,"")</f>
        <v/>
      </c>
      <c r="AI131" s="101" t="str">
        <f aca="false">IF($B131=AI$12,$U131,"")</f>
        <v/>
      </c>
      <c r="AJ131" s="101" t="str">
        <f aca="false">IF($B131=AJ$12,$U131,"")</f>
        <v/>
      </c>
      <c r="AK131" s="101" t="str">
        <f aca="false">IF($B131=AK$12,$U131,"")</f>
        <v/>
      </c>
      <c r="AL131" s="101" t="str">
        <f aca="false">IF($B131=AL$12,$U131,"")</f>
        <v/>
      </c>
      <c r="AM131" s="101" t="str">
        <f aca="false">IF($B131=AM$12,$U131,"")</f>
        <v/>
      </c>
      <c r="AN131" s="101" t="str">
        <f aca="false">IF($B131=AN$12,$U131,"")</f>
        <v/>
      </c>
      <c r="AO131" s="101" t="str">
        <f aca="false">IF($B131=AO$12,$U131,"")</f>
        <v/>
      </c>
      <c r="AP131" s="101" t="str">
        <f aca="false">IF($B131=AP$12,$U131,"")</f>
        <v/>
      </c>
      <c r="AQ131" s="101" t="str">
        <f aca="false">IF($B131=AQ$12,$U131,"")</f>
        <v/>
      </c>
      <c r="AR131" s="101" t="str">
        <f aca="false">IF($B131=AR$12,$U131,"")</f>
        <v/>
      </c>
      <c r="AS131" s="101" t="str">
        <f aca="false">IF($B131=AS$12,$U131,"")</f>
        <v/>
      </c>
      <c r="AT131" s="101" t="str">
        <f aca="false">IF($B131=AT$12,$U131,"")</f>
        <v/>
      </c>
      <c r="AU131" s="101" t="str">
        <f aca="false">IF($B131=AU$12,$U131,"")</f>
        <v/>
      </c>
      <c r="AV131" s="101" t="str">
        <f aca="false">IF($B131=AV$12,$U131,"")</f>
        <v/>
      </c>
      <c r="AW131" s="101" t="str">
        <f aca="false">IF($B131=AW$12,$U131,"")</f>
        <v/>
      </c>
      <c r="AX131" s="101" t="str">
        <f aca="false">IF($B131=AX$12,$U131,"")</f>
        <v/>
      </c>
      <c r="AY131" s="101" t="str">
        <f aca="false">IF($B131=AY$12,$U131,"")</f>
        <v/>
      </c>
      <c r="AZ131" s="101" t="str">
        <f aca="false">IF($B131=AZ$12,$U131,"")</f>
        <v/>
      </c>
      <c r="BA131" s="101" t="str">
        <f aca="false">IF($B131=BA$12,$U131,"")</f>
        <v/>
      </c>
      <c r="BB131" s="101" t="str">
        <f aca="false">IF($B131=BB$12,$U131,"")</f>
        <v/>
      </c>
      <c r="BC131" s="101" t="str">
        <f aca="false">IF($B131=BC$12,$U131,"")</f>
        <v/>
      </c>
      <c r="BD131" s="101" t="str">
        <f aca="false">IF($B131=BD$12,$U131,"")</f>
        <v/>
      </c>
      <c r="BE131" s="101" t="str">
        <f aca="false">IF($B131=BE$12,$U131,"")</f>
        <v/>
      </c>
      <c r="BF131" s="101" t="str">
        <f aca="false">IF($B131=BF$12,$U131,"")</f>
        <v/>
      </c>
      <c r="BG131" s="101" t="str">
        <f aca="false">IF($B131=BG$12,$U131,"")</f>
        <v/>
      </c>
      <c r="BH131" s="101" t="str">
        <f aca="false">IF($B131=BH$12,$U131,"")</f>
        <v/>
      </c>
      <c r="BI131" s="101" t="str">
        <f aca="false">IF($B131=BI$12,$U131,"")</f>
        <v/>
      </c>
      <c r="BJ131" s="101" t="str">
        <f aca="false">IF($B131=BJ$12,$U131,"")</f>
        <v/>
      </c>
      <c r="BK131" s="101" t="str">
        <f aca="false">IF($B131=BK$12,$U131,"")</f>
        <v/>
      </c>
      <c r="BL131" s="101" t="str">
        <f aca="false">IF($B131=BL$12,$U131,"")</f>
        <v/>
      </c>
      <c r="BM131" s="101" t="str">
        <f aca="false">IF($B131=BM$12,$U131,"")</f>
        <v/>
      </c>
      <c r="BN131" s="101" t="str">
        <f aca="false">IF($B131=BN$12,$U131,"")</f>
        <v/>
      </c>
      <c r="BO131" s="101" t="str">
        <f aca="false">IF($B131=BO$12,$U131,"")</f>
        <v/>
      </c>
      <c r="BP131" s="101" t="str">
        <f aca="false">IF($B131=BP$12,$U131,"")</f>
        <v/>
      </c>
      <c r="BQ131" s="101" t="str">
        <f aca="false">IF($B131=BQ$12,$U131,"")</f>
        <v/>
      </c>
      <c r="BR131" s="101" t="str">
        <f aca="false">IF($B131=BR$12,$U131,"")</f>
        <v/>
      </c>
      <c r="BS131" s="101" t="str">
        <f aca="false">IF($B131=BS$12,$U131,"")</f>
        <v/>
      </c>
      <c r="BT131" s="101" t="str">
        <f aca="false">IF($B131=BT$12,$U131,"")</f>
        <v/>
      </c>
      <c r="BU131" s="101" t="str">
        <f aca="false">IF($B131=BU$12,$U131,"")</f>
        <v/>
      </c>
      <c r="BV131" s="101" t="str">
        <f aca="false">IF($B131=BV$12,$U131,"")</f>
        <v/>
      </c>
      <c r="BW131" s="101" t="str">
        <f aca="false">IF($B131=BW$12,$U131,"")</f>
        <v/>
      </c>
      <c r="BX131" s="101" t="str">
        <f aca="false">IF($B131=BX$12,$U131,"")</f>
        <v/>
      </c>
      <c r="BY131" s="101" t="str">
        <f aca="false">IF($B131=BY$12,$U131,"")</f>
        <v/>
      </c>
      <c r="BZ131" s="101" t="str">
        <f aca="false">IF($B131=BZ$12,$U131,"")</f>
        <v/>
      </c>
      <c r="CA131" s="101" t="str">
        <f aca="false">IF($B131=CA$12,$U131,"")</f>
        <v/>
      </c>
      <c r="CB131" s="101" t="str">
        <f aca="false">IF($B131=CB$12,$U131,"")</f>
        <v/>
      </c>
      <c r="CC131" s="101" t="str">
        <f aca="false">IF($B131=CC$12,$U131,"")</f>
        <v/>
      </c>
      <c r="CD131" s="101" t="str">
        <f aca="false">IF($B131=CD$12,$U131,"")</f>
        <v/>
      </c>
      <c r="CE131" s="101" t="str">
        <f aca="false">IF($B131=CE$12,$U131,"")</f>
        <v/>
      </c>
      <c r="CF131" s="101" t="str">
        <f aca="false">IF($B131=CF$12,$U131,"")</f>
        <v/>
      </c>
      <c r="CG131" s="101" t="str">
        <f aca="false">IF($B131=CG$12,$U131,"")</f>
        <v/>
      </c>
      <c r="CH131" s="101" t="str">
        <f aca="false">IF($B131=CH$12,$U131,"")</f>
        <v/>
      </c>
      <c r="CI131" s="101" t="str">
        <f aca="false">IF($B131=CI$12,$U131,"")</f>
        <v/>
      </c>
      <c r="CJ131" s="101" t="str">
        <f aca="false">IF($B131=CJ$12,$U131,"")</f>
        <v/>
      </c>
      <c r="CK131" s="101" t="str">
        <f aca="false">IF($B131=CK$12,$U131,"")</f>
        <v/>
      </c>
      <c r="CL131" s="101" t="str">
        <f aca="false">IF($B131=CL$12,$U131,"")</f>
        <v/>
      </c>
      <c r="CM131" s="101" t="str">
        <f aca="false">IF($B131=CM$12,$U131,"")</f>
        <v/>
      </c>
      <c r="CN131" s="101" t="str">
        <f aca="false">IF($B131=CN$12,$U131,"")</f>
        <v/>
      </c>
      <c r="CO131" s="101" t="str">
        <f aca="false">IF($B131=CO$12,$U131,"")</f>
        <v/>
      </c>
      <c r="CP131" s="101" t="str">
        <f aca="false">IF($B131=CP$12,$U131,"")</f>
        <v/>
      </c>
      <c r="CQ131" s="101" t="str">
        <f aca="false">IF($B131=CQ$12,$U131,"")</f>
        <v/>
      </c>
      <c r="CR131" s="101" t="str">
        <f aca="false">IF($B131=CR$12,$U131,"")</f>
        <v/>
      </c>
      <c r="CS131" s="101" t="str">
        <f aca="false">IF($B131=CS$12,$U131,"")</f>
        <v/>
      </c>
      <c r="CT131" s="101" t="str">
        <f aca="false">IF($B131=CT$12,$U131,"")</f>
        <v/>
      </c>
      <c r="CU131" s="101" t="str">
        <f aca="false">IF($B131=CU$12,$U131,"")</f>
        <v/>
      </c>
      <c r="CV131" s="101" t="str">
        <f aca="false">IF($B131=CV$12,$U131,"")</f>
        <v/>
      </c>
      <c r="CW131" s="101" t="str">
        <f aca="false">IF($B131=CW$12,$U131,"")</f>
        <v/>
      </c>
      <c r="CX131" s="101" t="str">
        <f aca="false">IF($B131=CX$12,$U131,"")</f>
        <v/>
      </c>
      <c r="CY131" s="101" t="str">
        <f aca="false">IF($B131=CY$12,$U131,"")</f>
        <v/>
      </c>
      <c r="CZ131" s="101" t="str">
        <f aca="false">IF($B131=CZ$12,$U131,"")</f>
        <v/>
      </c>
      <c r="DA131" s="101" t="str">
        <f aca="false">IF($B131=DA$12,$U131,"")</f>
        <v/>
      </c>
      <c r="DB131" s="101" t="str">
        <f aca="false">IF($B131=DB$12,$U131,"")</f>
        <v/>
      </c>
      <c r="DC131" s="101" t="str">
        <f aca="false">IF($B131=DC$12,$U131,"")</f>
        <v/>
      </c>
      <c r="DD131" s="101" t="str">
        <f aca="false">IF($B131=DD$12,$U131,"")</f>
        <v/>
      </c>
      <c r="DE131" s="101" t="str">
        <f aca="false">IF($B131=DE$12,$U131,"")</f>
        <v/>
      </c>
      <c r="DF131" s="101" t="str">
        <f aca="false">IF($B131=DF$12,$U131,"")</f>
        <v/>
      </c>
      <c r="DG131" s="101" t="str">
        <f aca="false">IF($B131=DG$12,$U131,"")</f>
        <v/>
      </c>
      <c r="DH131" s="101" t="str">
        <f aca="false">IF($B131=DH$12,$U131,"")</f>
        <v/>
      </c>
      <c r="DI131" s="101" t="str">
        <f aca="false">IF($B131=DI$12,$U131,"")</f>
        <v/>
      </c>
      <c r="DJ131" s="101" t="str">
        <f aca="false">IF($B131=DJ$12,$U131,"")</f>
        <v/>
      </c>
      <c r="DK131" s="101" t="str">
        <f aca="false">IF($B131=DK$12,$U131,"")</f>
        <v/>
      </c>
      <c r="DL131" s="101" t="str">
        <f aca="false">IF($B131=DL$12,$U131,"")</f>
        <v/>
      </c>
      <c r="DM131" s="101" t="str">
        <f aca="false">IF($B131=DM$12,$U131,"")</f>
        <v/>
      </c>
      <c r="DN131" s="101" t="str">
        <f aca="false">IF($B131=DN$12,$U131,"")</f>
        <v/>
      </c>
      <c r="DO131" s="101" t="str">
        <f aca="false">IF($B131=DO$12,$U131,"")</f>
        <v/>
      </c>
      <c r="DP131" s="101" t="str">
        <f aca="false">IF($B131=DP$12,$U131,"")</f>
        <v/>
      </c>
      <c r="DQ131" s="101" t="str">
        <f aca="false">IF($B131=DQ$12,$U131,"")</f>
        <v/>
      </c>
      <c r="DR131" s="101" t="str">
        <f aca="false">IF($B131=DR$12,$U131,"")</f>
        <v/>
      </c>
      <c r="DS131" s="101" t="str">
        <f aca="false">IF($B131=DS$12,$U131,"")</f>
        <v/>
      </c>
      <c r="DT131" s="102" t="str">
        <f aca="false">IF($B131=DT$12,$U131,"")</f>
        <v/>
      </c>
      <c r="DU131" s="55"/>
      <c r="DV131" s="47"/>
      <c r="DW131" s="103" t="str">
        <f aca="false">IF($B131=DW$12,$O131,"")</f>
        <v/>
      </c>
      <c r="DX131" s="104" t="str">
        <f aca="false">IF($B131=DX$12,$O131,"")</f>
        <v/>
      </c>
      <c r="DY131" s="104" t="str">
        <f aca="false">IF($B131=DY$12,$O131,"")</f>
        <v/>
      </c>
      <c r="DZ131" s="104" t="str">
        <f aca="false">IF($B131=DZ$12,$O131,"")</f>
        <v/>
      </c>
      <c r="EA131" s="104" t="str">
        <f aca="false">IF($B131=EA$12,$O131,"")</f>
        <v/>
      </c>
      <c r="EB131" s="104" t="str">
        <f aca="false">IF($B131=EB$12,$O131,"")</f>
        <v/>
      </c>
      <c r="EC131" s="104" t="str">
        <f aca="false">IF($B131=EC$12,$O131,"")</f>
        <v/>
      </c>
      <c r="ED131" s="104" t="str">
        <f aca="false">IF($B131=ED$12,$O131,"")</f>
        <v/>
      </c>
      <c r="EE131" s="104" t="str">
        <f aca="false">IF($B131=EE$12,$O131,"")</f>
        <v/>
      </c>
      <c r="EF131" s="104" t="str">
        <f aca="false">IF($B131=EF$12,$O131,"")</f>
        <v/>
      </c>
      <c r="EG131" s="104" t="str">
        <f aca="false">IF($B131=EG$12,$O131,"")</f>
        <v/>
      </c>
      <c r="EH131" s="104" t="str">
        <f aca="false">IF($B131=EH$12,$O131,"")</f>
        <v/>
      </c>
      <c r="EI131" s="104" t="str">
        <f aca="false">IF($B131=EI$12,$O131,"")</f>
        <v/>
      </c>
      <c r="EJ131" s="104" t="str">
        <f aca="false">IF($B131=EJ$12,$O131,"")</f>
        <v/>
      </c>
      <c r="EK131" s="104" t="str">
        <f aca="false">IF($B131=EK$12,$O131,"")</f>
        <v/>
      </c>
      <c r="EL131" s="104" t="str">
        <f aca="false">IF($B131=EL$12,$O131,"")</f>
        <v/>
      </c>
      <c r="EM131" s="104" t="str">
        <f aca="false">IF($B131=EM$12,$O131,"")</f>
        <v/>
      </c>
      <c r="EN131" s="104" t="str">
        <f aca="false">IF($B131=EN$12,$O131,"")</f>
        <v/>
      </c>
      <c r="EO131" s="104" t="str">
        <f aca="false">IF($B131=EO$12,$O131,"")</f>
        <v/>
      </c>
      <c r="EP131" s="104" t="str">
        <f aca="false">IF($B131=EP$12,$O131,"")</f>
        <v/>
      </c>
      <c r="EQ131" s="104" t="str">
        <f aca="false">IF($B131=EQ$12,$O131,"")</f>
        <v/>
      </c>
      <c r="ER131" s="104" t="str">
        <f aca="false">IF($B131=ER$12,$O131,"")</f>
        <v/>
      </c>
      <c r="ES131" s="104" t="str">
        <f aca="false">IF($B131=ES$12,$O131,"")</f>
        <v/>
      </c>
      <c r="ET131" s="104" t="str">
        <f aca="false">IF($B131=ET$12,$O131,"")</f>
        <v/>
      </c>
      <c r="EU131" s="104" t="str">
        <f aca="false">IF($B131=EU$12,$O131,"")</f>
        <v/>
      </c>
      <c r="EV131" s="104" t="str">
        <f aca="false">IF($B131=EV$12,$O131,"")</f>
        <v/>
      </c>
      <c r="EW131" s="104" t="str">
        <f aca="false">IF($B131=EW$12,$O131,"")</f>
        <v/>
      </c>
      <c r="EX131" s="104" t="str">
        <f aca="false">IF($B131=EX$12,$O131,"")</f>
        <v/>
      </c>
      <c r="EY131" s="104" t="str">
        <f aca="false">IF($B131=EY$12,$O131,"")</f>
        <v/>
      </c>
      <c r="EZ131" s="104" t="str">
        <f aca="false">IF($B131=EZ$12,$O131,"")</f>
        <v/>
      </c>
      <c r="FA131" s="104" t="str">
        <f aca="false">IF($B131=FA$12,$O131,"")</f>
        <v/>
      </c>
      <c r="FB131" s="104" t="str">
        <f aca="false">IF($B131=FB$12,$O131,"")</f>
        <v/>
      </c>
      <c r="FC131" s="104" t="str">
        <f aca="false">IF($B131=FC$12,$O131,"")</f>
        <v/>
      </c>
      <c r="FD131" s="104" t="str">
        <f aca="false">IF($B131=FD$12,$O131,"")</f>
        <v/>
      </c>
      <c r="FE131" s="104" t="str">
        <f aca="false">IF($B131=FE$12,$O131,"")</f>
        <v/>
      </c>
      <c r="FF131" s="104" t="str">
        <f aca="false">IF($B131=FF$12,$O131,"")</f>
        <v/>
      </c>
      <c r="FG131" s="104" t="str">
        <f aca="false">IF($B131=FG$12,$O131,"")</f>
        <v/>
      </c>
      <c r="FH131" s="104" t="str">
        <f aca="false">IF($B131=FH$12,$O131,"")</f>
        <v/>
      </c>
      <c r="FI131" s="104" t="str">
        <f aca="false">IF($B131=FI$12,$O131,"")</f>
        <v/>
      </c>
      <c r="FJ131" s="104" t="str">
        <f aca="false">IF($B131=FJ$12,$O131,"")</f>
        <v/>
      </c>
      <c r="FK131" s="104" t="str">
        <f aca="false">IF($B131=FK$12,$O131,"")</f>
        <v/>
      </c>
      <c r="FL131" s="104" t="str">
        <f aca="false">IF($B131=FL$12,$O131,"")</f>
        <v/>
      </c>
      <c r="FM131" s="104" t="str">
        <f aca="false">IF($B131=FM$12,$O131,"")</f>
        <v/>
      </c>
      <c r="FN131" s="104" t="str">
        <f aca="false">IF($B131=FN$12,$O131,"")</f>
        <v/>
      </c>
      <c r="FO131" s="104" t="str">
        <f aca="false">IF($B131=FO$12,$O131,"")</f>
        <v/>
      </c>
      <c r="FP131" s="104" t="str">
        <f aca="false">IF($B131=FP$12,$O131,"")</f>
        <v/>
      </c>
      <c r="FQ131" s="104" t="str">
        <f aca="false">IF($B131=FQ$12,$O131,"")</f>
        <v/>
      </c>
      <c r="FR131" s="104" t="str">
        <f aca="false">IF($B131=FR$12,$O131,"")</f>
        <v/>
      </c>
      <c r="FS131" s="104" t="str">
        <f aca="false">IF($B131=FS$12,$O131,"")</f>
        <v/>
      </c>
      <c r="FT131" s="104" t="str">
        <f aca="false">IF($B131=FT$12,$O131,"")</f>
        <v/>
      </c>
      <c r="FU131" s="104" t="str">
        <f aca="false">IF($B131=FU$12,$O131,"")</f>
        <v/>
      </c>
      <c r="FV131" s="104" t="str">
        <f aca="false">IF($B131=FV$12,$O131,"")</f>
        <v/>
      </c>
      <c r="FW131" s="104" t="str">
        <f aca="false">IF($B131=FW$12,$O131,"")</f>
        <v/>
      </c>
      <c r="FX131" s="104" t="str">
        <f aca="false">IF($B131=FX$12,$O131,"")</f>
        <v/>
      </c>
      <c r="FY131" s="104" t="str">
        <f aca="false">IF($B131=FY$12,$O131,"")</f>
        <v/>
      </c>
      <c r="FZ131" s="104" t="str">
        <f aca="false">IF($B131=FZ$12,$O131,"")</f>
        <v/>
      </c>
      <c r="GA131" s="104" t="str">
        <f aca="false">IF($B131=GA$12,$O131,"")</f>
        <v/>
      </c>
      <c r="GB131" s="104" t="str">
        <f aca="false">IF($B131=GB$12,$O131,"")</f>
        <v/>
      </c>
      <c r="GC131" s="104" t="str">
        <f aca="false">IF($B131=GC$12,$O131,"")</f>
        <v/>
      </c>
      <c r="GD131" s="104" t="str">
        <f aca="false">IF($B131=GD$12,$O131,"")</f>
        <v/>
      </c>
      <c r="GE131" s="104" t="str">
        <f aca="false">IF($B131=GE$12,$O131,"")</f>
        <v/>
      </c>
      <c r="GF131" s="104" t="str">
        <f aca="false">IF($B131=GF$12,$O131,"")</f>
        <v/>
      </c>
      <c r="GG131" s="104" t="str">
        <f aca="false">IF($B131=GG$12,$O131,"")</f>
        <v/>
      </c>
      <c r="GH131" s="104" t="str">
        <f aca="false">IF($B131=GH$12,$O131,"")</f>
        <v/>
      </c>
      <c r="GI131" s="104" t="str">
        <f aca="false">IF($B131=GI$12,$O131,"")</f>
        <v/>
      </c>
      <c r="GJ131" s="104" t="str">
        <f aca="false">IF($B131=GJ$12,$O131,"")</f>
        <v/>
      </c>
      <c r="GK131" s="104" t="str">
        <f aca="false">IF($B131=GK$12,$O131,"")</f>
        <v/>
      </c>
      <c r="GL131" s="104" t="str">
        <f aca="false">IF($B131=GL$12,$O131,"")</f>
        <v/>
      </c>
      <c r="GM131" s="104" t="str">
        <f aca="false">IF($B131=GM$12,$O131,"")</f>
        <v/>
      </c>
      <c r="GN131" s="104" t="str">
        <f aca="false">IF($B131=GN$12,$O131,"")</f>
        <v/>
      </c>
      <c r="GO131" s="104" t="str">
        <f aca="false">IF($B131=GO$12,$O131,"")</f>
        <v/>
      </c>
      <c r="GP131" s="104" t="str">
        <f aca="false">IF($B131=GP$12,$O131,"")</f>
        <v/>
      </c>
      <c r="GQ131" s="104" t="str">
        <f aca="false">IF($B131=GQ$12,$O131,"")</f>
        <v/>
      </c>
      <c r="GR131" s="104" t="str">
        <f aca="false">IF($B131=GR$12,$O131,"")</f>
        <v/>
      </c>
      <c r="GS131" s="104" t="str">
        <f aca="false">IF($B131=GS$12,$O131,"")</f>
        <v/>
      </c>
      <c r="GT131" s="104" t="str">
        <f aca="false">IF($B131=GT$12,$O131,"")</f>
        <v/>
      </c>
      <c r="GU131" s="104" t="str">
        <f aca="false">IF($B131=GU$12,$O131,"")</f>
        <v/>
      </c>
      <c r="GV131" s="104" t="str">
        <f aca="false">IF($B131=GV$12,$O131,"")</f>
        <v/>
      </c>
      <c r="GW131" s="104" t="str">
        <f aca="false">IF($B131=GW$12,$O131,"")</f>
        <v/>
      </c>
      <c r="GX131" s="104" t="str">
        <f aca="false">IF($B131=GX$12,$O131,"")</f>
        <v/>
      </c>
      <c r="GY131" s="104" t="str">
        <f aca="false">IF($B131=GY$12,$O131,"")</f>
        <v/>
      </c>
      <c r="GZ131" s="104" t="str">
        <f aca="false">IF($B131=GZ$12,$O131,"")</f>
        <v/>
      </c>
      <c r="HA131" s="104" t="str">
        <f aca="false">IF($B131=HA$12,$O131,"")</f>
        <v/>
      </c>
      <c r="HB131" s="104" t="str">
        <f aca="false">IF($B131=HB$12,$O131,"")</f>
        <v/>
      </c>
      <c r="HC131" s="104" t="str">
        <f aca="false">IF($B131=HC$12,$O131,"")</f>
        <v/>
      </c>
      <c r="HD131" s="104" t="str">
        <f aca="false">IF($B131=HD$12,$O131,"")</f>
        <v/>
      </c>
      <c r="HE131" s="104" t="str">
        <f aca="false">IF($B131=HE$12,$O131,"")</f>
        <v/>
      </c>
      <c r="HF131" s="104" t="str">
        <f aca="false">IF($B131=HF$12,$O131,"")</f>
        <v/>
      </c>
      <c r="HG131" s="104" t="str">
        <f aca="false">IF($B131=HG$12,$O131,"")</f>
        <v/>
      </c>
      <c r="HH131" s="104" t="str">
        <f aca="false">IF($B131=HH$12,$O131,"")</f>
        <v/>
      </c>
      <c r="HI131" s="104" t="str">
        <f aca="false">IF($B131=HI$12,$O131,"")</f>
        <v/>
      </c>
      <c r="HJ131" s="104" t="str">
        <f aca="false">IF($B131=HJ$12,$O131,"")</f>
        <v/>
      </c>
      <c r="HK131" s="104" t="str">
        <f aca="false">IF($B131=HK$12,$O131,"")</f>
        <v/>
      </c>
      <c r="HL131" s="104" t="str">
        <f aca="false">IF($B131=HL$12,$O131,"")</f>
        <v/>
      </c>
      <c r="HM131" s="104" t="str">
        <f aca="false">IF($B131=HM$12,$O131,"")</f>
        <v/>
      </c>
      <c r="HN131" s="104" t="str">
        <f aca="false">IF($B131=HN$12,$O131,"")</f>
        <v/>
      </c>
      <c r="HO131" s="104" t="str">
        <f aca="false">IF($B131=HO$12,$O131,"")</f>
        <v/>
      </c>
      <c r="HP131" s="104" t="str">
        <f aca="false">IF($B131=HP$12,$O131,"")</f>
        <v/>
      </c>
      <c r="HQ131" s="104" t="str">
        <f aca="false">IF($B131=HQ$12,$O131,"")</f>
        <v/>
      </c>
      <c r="HR131" s="105" t="str">
        <f aca="false">IF($B131=HR$12,$O131,"")</f>
        <v/>
      </c>
    </row>
    <row r="132" customFormat="false" ht="9.75" hidden="false" customHeight="true" outlineLevel="0" collapsed="false">
      <c r="A132" s="137"/>
      <c r="B132" s="138"/>
      <c r="C132" s="138" t="str">
        <f aca="false">IF(A132=0,"",VLOOKUP(A132,#REF!,2,0))</f>
        <v/>
      </c>
      <c r="D132" s="138"/>
      <c r="E132" s="138"/>
      <c r="F132" s="138"/>
      <c r="G132" s="138"/>
      <c r="H132" s="138"/>
      <c r="I132" s="139"/>
      <c r="J132" s="139"/>
      <c r="K132" s="139"/>
      <c r="L132" s="139"/>
      <c r="M132" s="140"/>
      <c r="N132" s="140"/>
      <c r="O132" s="140"/>
      <c r="P132" s="138"/>
      <c r="Q132" s="138"/>
      <c r="R132" s="138"/>
      <c r="S132" s="5"/>
      <c r="T132" s="47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47"/>
      <c r="AM132" s="47"/>
      <c r="AN132" s="47"/>
      <c r="AO132" s="47"/>
      <c r="AP132" s="47"/>
      <c r="AQ132" s="47"/>
      <c r="AR132" s="47"/>
      <c r="AS132" s="47"/>
      <c r="AT132" s="47"/>
      <c r="AU132" s="47"/>
      <c r="AV132" s="47"/>
      <c r="AW132" s="47"/>
      <c r="AX132" s="47"/>
      <c r="AY132" s="47"/>
      <c r="AZ132" s="47"/>
      <c r="BA132" s="47"/>
      <c r="BB132" s="47"/>
      <c r="BC132" s="47"/>
      <c r="BD132" s="47"/>
      <c r="BE132" s="47"/>
      <c r="BF132" s="47"/>
      <c r="BG132" s="47"/>
      <c r="BH132" s="47"/>
      <c r="BI132" s="47"/>
      <c r="BJ132" s="47"/>
      <c r="BK132" s="47"/>
      <c r="BL132" s="47"/>
      <c r="BM132" s="47"/>
      <c r="BN132" s="47"/>
      <c r="BO132" s="47"/>
      <c r="BP132" s="47"/>
      <c r="BQ132" s="47"/>
      <c r="BR132" s="47"/>
      <c r="BS132" s="47"/>
      <c r="BT132" s="47"/>
      <c r="BU132" s="47"/>
      <c r="BV132" s="47"/>
      <c r="BW132" s="47"/>
      <c r="BX132" s="47"/>
      <c r="BY132" s="47"/>
      <c r="BZ132" s="47"/>
      <c r="CA132" s="47"/>
      <c r="CB132" s="47"/>
      <c r="CC132" s="47"/>
      <c r="CD132" s="47"/>
      <c r="CE132" s="47"/>
      <c r="CF132" s="47"/>
      <c r="CG132" s="47"/>
      <c r="CH132" s="47"/>
      <c r="CI132" s="47"/>
      <c r="CJ132" s="47"/>
      <c r="CK132" s="47"/>
      <c r="CL132" s="47"/>
      <c r="CM132" s="47"/>
      <c r="CN132" s="47"/>
      <c r="CO132" s="47"/>
      <c r="CP132" s="47"/>
      <c r="CQ132" s="47"/>
      <c r="CR132" s="47"/>
      <c r="CS132" s="47"/>
      <c r="CT132" s="47"/>
      <c r="CU132" s="47"/>
      <c r="CV132" s="47"/>
      <c r="CW132" s="47"/>
      <c r="CX132" s="47"/>
      <c r="CY132" s="47"/>
      <c r="CZ132" s="47"/>
      <c r="DA132" s="47"/>
      <c r="DB132" s="47"/>
      <c r="DC132" s="47"/>
      <c r="DD132" s="47"/>
      <c r="DE132" s="47"/>
      <c r="DF132" s="47"/>
      <c r="DG132" s="47"/>
      <c r="DH132" s="47"/>
      <c r="DI132" s="47"/>
      <c r="DJ132" s="47"/>
      <c r="DK132" s="47"/>
      <c r="DL132" s="47"/>
      <c r="DM132" s="47"/>
      <c r="DN132" s="47"/>
      <c r="DO132" s="47"/>
      <c r="DP132" s="47"/>
      <c r="DQ132" s="47"/>
      <c r="DR132" s="47"/>
      <c r="DS132" s="47"/>
      <c r="DT132" s="47"/>
      <c r="DU132" s="47"/>
      <c r="DV132" s="47"/>
      <c r="DW132" s="47"/>
      <c r="DX132" s="47"/>
      <c r="DY132" s="47"/>
      <c r="DZ132" s="47"/>
      <c r="EA132" s="47"/>
      <c r="EB132" s="47"/>
      <c r="EC132" s="47"/>
      <c r="ED132" s="47"/>
      <c r="EE132" s="47"/>
      <c r="EF132" s="47"/>
      <c r="EG132" s="47"/>
      <c r="EH132" s="47"/>
      <c r="EI132" s="47"/>
      <c r="EJ132" s="47"/>
      <c r="EK132" s="47"/>
      <c r="EL132" s="47"/>
      <c r="EM132" s="47"/>
      <c r="EN132" s="47"/>
      <c r="EO132" s="47"/>
      <c r="EP132" s="47"/>
      <c r="EQ132" s="47"/>
      <c r="ER132" s="47"/>
      <c r="ES132" s="47"/>
      <c r="ET132" s="141"/>
      <c r="EU132" s="141"/>
      <c r="EV132" s="141"/>
    </row>
    <row r="133" customFormat="false" ht="12.75" hidden="false" customHeight="true" outlineLevel="0" collapsed="false">
      <c r="A133" s="137"/>
      <c r="B133" s="138"/>
      <c r="C133" s="138"/>
      <c r="D133" s="138"/>
      <c r="E133" s="138"/>
      <c r="F133" s="138"/>
      <c r="G133" s="138"/>
      <c r="H133" s="138"/>
      <c r="I133" s="139"/>
      <c r="J133" s="139"/>
      <c r="K133" s="139"/>
      <c r="L133" s="139"/>
      <c r="M133" s="140"/>
      <c r="N133" s="140"/>
      <c r="O133" s="106" t="s">
        <v>25</v>
      </c>
      <c r="P133" s="107"/>
      <c r="Q133" s="1" t="n">
        <f aca="false">SUM(Q125:Q131)</f>
        <v>0</v>
      </c>
      <c r="R133" s="1" t="n">
        <f aca="false">SUM(R125:R131)</f>
        <v>0</v>
      </c>
      <c r="T133" s="47"/>
      <c r="U133" s="66"/>
      <c r="V133" s="66"/>
      <c r="W133" s="66"/>
      <c r="X133" s="66"/>
      <c r="EV133" s="141"/>
    </row>
    <row r="134" customFormat="false" ht="12" hidden="false" customHeight="true" outlineLevel="0" collapsed="false">
      <c r="A134" s="137"/>
      <c r="B134" s="138"/>
      <c r="C134" s="138"/>
      <c r="D134" s="138"/>
      <c r="E134" s="138"/>
      <c r="F134" s="138"/>
      <c r="G134" s="138"/>
      <c r="H134" s="138"/>
      <c r="I134" s="139"/>
      <c r="J134" s="139"/>
      <c r="K134" s="139"/>
      <c r="L134" s="139"/>
      <c r="M134" s="140"/>
      <c r="N134" s="140"/>
      <c r="O134" s="140"/>
      <c r="P134" s="138"/>
      <c r="Q134" s="138"/>
      <c r="R134" s="138"/>
      <c r="S134" s="5"/>
      <c r="T134" s="47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47"/>
      <c r="AM134" s="47"/>
      <c r="AN134" s="47"/>
      <c r="AO134" s="47"/>
      <c r="AP134" s="47"/>
      <c r="AQ134" s="47"/>
      <c r="AR134" s="47"/>
      <c r="AS134" s="47"/>
      <c r="AT134" s="47"/>
      <c r="AU134" s="47"/>
      <c r="AV134" s="47"/>
      <c r="AW134" s="47"/>
      <c r="AX134" s="47"/>
      <c r="AY134" s="47"/>
      <c r="AZ134" s="47"/>
      <c r="BA134" s="47"/>
      <c r="BB134" s="47"/>
      <c r="BC134" s="47"/>
      <c r="BD134" s="47"/>
      <c r="BE134" s="47"/>
      <c r="BF134" s="47"/>
      <c r="BG134" s="47"/>
      <c r="BH134" s="47"/>
      <c r="BI134" s="47"/>
      <c r="BJ134" s="47"/>
      <c r="BK134" s="47"/>
      <c r="BL134" s="47"/>
      <c r="BM134" s="47"/>
      <c r="BN134" s="47"/>
      <c r="BO134" s="47"/>
      <c r="BP134" s="47"/>
      <c r="BQ134" s="47"/>
      <c r="BR134" s="47"/>
      <c r="BS134" s="47"/>
      <c r="BT134" s="47"/>
      <c r="BU134" s="47"/>
      <c r="BV134" s="47"/>
      <c r="BW134" s="47"/>
      <c r="BX134" s="47"/>
      <c r="BY134" s="47"/>
      <c r="BZ134" s="47"/>
      <c r="CA134" s="47"/>
      <c r="CB134" s="47"/>
      <c r="CC134" s="47"/>
      <c r="CD134" s="47"/>
      <c r="CE134" s="47"/>
      <c r="CF134" s="47"/>
      <c r="CG134" s="47"/>
      <c r="CH134" s="47"/>
      <c r="CI134" s="47"/>
      <c r="CJ134" s="47"/>
      <c r="CK134" s="47"/>
      <c r="CL134" s="47"/>
      <c r="CM134" s="47"/>
      <c r="CN134" s="47"/>
      <c r="CO134" s="47"/>
      <c r="CP134" s="47"/>
      <c r="CQ134" s="47"/>
      <c r="CR134" s="47"/>
      <c r="CS134" s="47"/>
      <c r="CT134" s="47"/>
      <c r="CU134" s="47"/>
      <c r="CV134" s="47"/>
      <c r="CW134" s="47"/>
      <c r="CX134" s="47"/>
      <c r="CY134" s="47"/>
      <c r="CZ134" s="47"/>
      <c r="DA134" s="47"/>
      <c r="DB134" s="47"/>
      <c r="DC134" s="47"/>
      <c r="DD134" s="47"/>
      <c r="DE134" s="47"/>
      <c r="DF134" s="47"/>
      <c r="DG134" s="47"/>
      <c r="DH134" s="47"/>
      <c r="DI134" s="47"/>
      <c r="DJ134" s="47"/>
      <c r="DK134" s="47"/>
      <c r="DL134" s="47"/>
      <c r="DM134" s="47"/>
      <c r="DN134" s="47"/>
      <c r="DO134" s="47"/>
      <c r="DP134" s="47"/>
      <c r="DQ134" s="47"/>
      <c r="DR134" s="47"/>
      <c r="DS134" s="47"/>
      <c r="DT134" s="47"/>
      <c r="DU134" s="47"/>
      <c r="DV134" s="47"/>
      <c r="DW134" s="47"/>
      <c r="DX134" s="47"/>
      <c r="DY134" s="47"/>
      <c r="DZ134" s="47"/>
      <c r="EA134" s="47"/>
      <c r="EB134" s="47"/>
      <c r="EC134" s="47"/>
      <c r="ED134" s="47"/>
      <c r="EE134" s="47"/>
      <c r="EF134" s="47"/>
      <c r="EG134" s="47"/>
      <c r="EH134" s="47"/>
      <c r="EI134" s="47"/>
      <c r="EJ134" s="47"/>
      <c r="EK134" s="47"/>
      <c r="EL134" s="47"/>
      <c r="EM134" s="47"/>
      <c r="EN134" s="47"/>
      <c r="EO134" s="47"/>
      <c r="EP134" s="47"/>
      <c r="EQ134" s="47"/>
      <c r="ER134" s="47"/>
      <c r="ES134" s="47"/>
      <c r="ET134" s="141"/>
      <c r="EU134" s="141"/>
      <c r="EV134" s="141"/>
    </row>
    <row r="135" customFormat="false" ht="12" hidden="false" customHeight="true" outlineLevel="0" collapsed="false">
      <c r="A135" s="137"/>
      <c r="B135" s="138"/>
      <c r="C135" s="138"/>
      <c r="D135" s="138"/>
      <c r="E135" s="138"/>
      <c r="F135" s="138"/>
      <c r="G135" s="138"/>
      <c r="H135" s="138"/>
      <c r="I135" s="139"/>
      <c r="J135" s="139"/>
      <c r="K135" s="139"/>
      <c r="L135" s="139"/>
      <c r="M135" s="140"/>
      <c r="N135" s="140"/>
      <c r="O135" s="106" t="s">
        <v>28</v>
      </c>
      <c r="P135" s="138"/>
      <c r="Q135" s="1" t="n">
        <f aca="false">Q107+Q121+Q133</f>
        <v>2365.86</v>
      </c>
      <c r="S135" s="5"/>
      <c r="T135" s="47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  <c r="AX135" s="47"/>
      <c r="AY135" s="47"/>
      <c r="AZ135" s="47"/>
      <c r="BA135" s="47"/>
      <c r="BB135" s="47"/>
      <c r="BC135" s="47"/>
      <c r="BD135" s="47"/>
      <c r="BE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  <c r="BS135" s="47"/>
      <c r="BT135" s="47"/>
      <c r="BU135" s="47"/>
      <c r="BV135" s="47"/>
      <c r="BW135" s="47"/>
      <c r="BX135" s="47"/>
      <c r="BY135" s="47"/>
      <c r="BZ135" s="47"/>
      <c r="CA135" s="47"/>
      <c r="CB135" s="47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7"/>
      <c r="CU135" s="47"/>
      <c r="CV135" s="47"/>
      <c r="CW135" s="47"/>
      <c r="CX135" s="47"/>
      <c r="CY135" s="47"/>
      <c r="CZ135" s="47"/>
      <c r="DA135" s="47"/>
      <c r="DB135" s="47"/>
      <c r="DC135" s="47"/>
      <c r="DD135" s="47"/>
      <c r="DE135" s="47"/>
      <c r="DF135" s="47"/>
      <c r="DG135" s="47"/>
      <c r="DH135" s="47"/>
      <c r="DI135" s="47"/>
      <c r="DJ135" s="47"/>
      <c r="DK135" s="47"/>
      <c r="DL135" s="47"/>
      <c r="DM135" s="47"/>
      <c r="DN135" s="47"/>
      <c r="DO135" s="47"/>
      <c r="DP135" s="47"/>
      <c r="DQ135" s="47"/>
      <c r="DR135" s="47"/>
      <c r="DS135" s="47"/>
      <c r="DT135" s="47"/>
      <c r="DU135" s="47"/>
      <c r="DV135" s="47"/>
      <c r="DW135" s="47"/>
      <c r="DX135" s="47"/>
      <c r="DY135" s="47"/>
      <c r="DZ135" s="47"/>
      <c r="EA135" s="47"/>
      <c r="EB135" s="47"/>
      <c r="EC135" s="47"/>
      <c r="ED135" s="47"/>
      <c r="EE135" s="47"/>
      <c r="EF135" s="47"/>
      <c r="EG135" s="47"/>
      <c r="EH135" s="47"/>
      <c r="EI135" s="47"/>
      <c r="EJ135" s="47"/>
      <c r="EK135" s="47"/>
      <c r="EL135" s="47"/>
      <c r="EM135" s="47"/>
      <c r="EN135" s="47"/>
      <c r="EO135" s="47"/>
      <c r="EP135" s="47"/>
      <c r="EQ135" s="47"/>
      <c r="ER135" s="47"/>
      <c r="ES135" s="47"/>
      <c r="ET135" s="141"/>
      <c r="EU135" s="141"/>
      <c r="EV135" s="141"/>
    </row>
    <row r="136" customFormat="false" ht="9.75" hidden="false" customHeight="true" outlineLevel="0" collapsed="false"/>
    <row r="137" customFormat="false" ht="9.75" hidden="false" customHeight="true" outlineLevel="0" collapsed="false"/>
    <row r="138" customFormat="false" ht="9.75" hidden="false" customHeight="true" outlineLevel="0" collapsed="false"/>
    <row r="139" customFormat="false" ht="9.75" hidden="false" customHeight="true" outlineLevel="0" collapsed="false"/>
    <row r="140" customFormat="false" ht="9.75" hidden="false" customHeight="true" outlineLevel="0" collapsed="false"/>
  </sheetData>
  <mergeCells count="11"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  <mergeCell ref="D8:O8"/>
  </mergeCells>
  <dataValidations count="1">
    <dataValidation allowBlank="false" errorStyle="stop" operator="between" prompt="Unicamente introducir numeros enteros entre 1 y 50" promptTitle="Valor Numerico" showDropDown="false" showErrorMessage="true" showInputMessage="true" sqref="J10" type="whole">
      <formula1>1</formula1>
      <formula2>50</formula2>
    </dataValidation>
  </dataValidations>
  <printOptions headings="false" gridLines="false" gridLinesSet="true" horizontalCentered="true" verticalCentered="false"/>
  <pageMargins left="0.118055555555556" right="0.118055555555556" top="0.747916666666667" bottom="1.14166666666667" header="0.511811023622047" footer="0.865972222222222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>&amp;L&amp;8 ________________________________________x005F_x000a_AUTORIZO: ARQ. JORGE CHAVEZ ALVAREZ&amp;CNumero de Hoja:_x005F_x000a_&amp;P / &amp;N&amp;R&amp;8 __________________________________x005F_x000a_LEVANTO: ARQ. ROBERTO E. VIDAL O.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2015-06-05T14:18:37Z</dcterms:created>
  <dc:creator>Ing. Gallo VI</dc:creator>
  <dc:description/>
  <dc:language>en-US</dc:language>
  <cp:lastModifiedBy/>
  <cp:lastPrinted>2023-02-17T16:42:46Z</cp:lastPrinted>
  <dcterms:modified xsi:type="dcterms:W3CDTF">2023-02-26T09:53:31Z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