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externalLinks/_rels/externalLink3.xml.rels" ContentType="application/vnd.openxmlformats-package.relationships+xml"/>
  <Override PartName="/xl/externalLinks/_rels/externalLink2.xml.rels" ContentType="application/vnd.openxmlformats-package.relationships+xml"/>
  <Override PartName="/xl/externalLinks/_rels/externalLink1.xml.rels" ContentType="application/vnd.openxmlformats-package.relationship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ctrlProps/ctrlProps2.xml" ContentType="application/vnd.ms-excel.controlproperties+xml"/>
  <Override PartName="/xl/ctrlProps/ctrlProps3.xml" ContentType="application/vnd.ms-excel.controlproperties+xml"/>
  <Override PartName="/xl/ctrlProps/ctrlProps4.xml" ContentType="application/vnd.ms-excel.controlproperties+xml"/>
  <Override PartName="/xl/ctrlProps/ctrlProps5.xml" ContentType="application/vnd.ms-excel.controlproperties+xml"/>
  <Override PartName="/xl/ctrlProps/ctrlProps6.xml" ContentType="application/vnd.ms-excel.controlproperties+xml"/>
  <Override PartName="/xl/ctrlProps/ctrlProps7.xml" ContentType="application/vnd.ms-excel.controlproperties+xml"/>
  <Override PartName="/xl/ctrlProps/ctrlProps8.xml" ContentType="application/vnd.ms-excel.controlproperties+xml"/>
  <Override PartName="/xl/ctrlProps/ctrlProps9.xml" ContentType="application/vnd.ms-excel.controlproperties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media/image1.jpeg" ContentType="image/jpeg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007" sheetId="1" state="visible" r:id="rId3"/>
  </sheets>
  <externalReferences>
    <externalReference r:id="rId4"/>
    <externalReference r:id="rId5"/>
    <externalReference r:id="rId6"/>
  </externalReferences>
  <definedNames>
    <definedName function="false" hidden="false" localSheetId="0" name="_xlnm.Print_Area" vbProcedure="false">'007'!$A$1:$R$61</definedName>
    <definedName function="false" hidden="false" localSheetId="0" name="_xlnm.Print_Titles" vbProcedure="false">'007'!$1:$13</definedName>
    <definedName function="false" hidden="false" name="Pagina" vbProcedure="false">IF(ISNA(MATCH(ROW(), get.document(64),1)),1, MATCH(ROW(), get.document(64),1)+1)</definedName>
    <definedName function="false" hidden="false" name="PaginadePaginas" vbProcedure="false">"Pagina" &amp; IF(ISNA(MATCH(ROW(), get.document(64),1)),1,MATCH(ROW(), get.document(64),1)+1) &amp; " de " &amp; get.document(50) + 0*NOW()</definedName>
    <definedName function="false" hidden="false" name="Paginas" vbProcedure="false">get.document(50)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<sst xmlns="http://schemas.openxmlformats.org/spreadsheetml/2006/main" count="35" uniqueCount="29">
  <si>
    <t xml:space="preserve">GRUPO CONSTRUCTOR Y PROMOTOR INDUSTRIAL, S.A. DE C.V.</t>
  </si>
  <si>
    <t xml:space="preserve">CLAVE</t>
  </si>
  <si>
    <t xml:space="preserve">UNIDAD NACIONAL 94, CONJUNTO RESIDENCIAL PATRIA, ZAPOPAN, JALISCO CP 45160</t>
  </si>
  <si>
    <t xml:space="preserve">Tels. 36-15-36-94</t>
  </si>
  <si>
    <t xml:space="preserve">OBRA:</t>
  </si>
  <si>
    <t xml:space="preserve">A-002B</t>
  </si>
  <si>
    <t xml:space="preserve">SEMANA 007</t>
  </si>
  <si>
    <t xml:space="preserve">PERIODO 2023</t>
  </si>
  <si>
    <t xml:space="preserve">LABORATORIOS PISA SA DE CV</t>
  </si>
  <si>
    <t xml:space="preserve">SEMANA</t>
  </si>
  <si>
    <t xml:space="preserve">C:\Users\rvidal.GCPI.002\Documents\Programa gallo\Destajos\AcuGen GCPI 2023.xlsm</t>
  </si>
  <si>
    <t xml:space="preserve">CONCEPTO</t>
  </si>
  <si>
    <t xml:space="preserve">U</t>
  </si>
  <si>
    <t xml:space="preserve">%</t>
  </si>
  <si>
    <t xml:space="preserve">largo</t>
  </si>
  <si>
    <t xml:space="preserve">ancho</t>
  </si>
  <si>
    <t xml:space="preserve">alto</t>
  </si>
  <si>
    <t xml:space="preserve">pza</t>
  </si>
  <si>
    <t xml:space="preserve">CANT.</t>
  </si>
  <si>
    <t xml:space="preserve">P.U. $</t>
  </si>
  <si>
    <t xml:space="preserve">IMPORTE $</t>
  </si>
  <si>
    <t xml:space="preserve">TOTAL</t>
  </si>
  <si>
    <t xml:space="preserve">PAGAR $</t>
  </si>
  <si>
    <t xml:space="preserve">∑ =</t>
  </si>
  <si>
    <t xml:space="preserve">SUBTOTAL</t>
  </si>
  <si>
    <t xml:space="preserve">RESIDENTES, SUPERVISORES Y DESTAJISTAS DE OBRA</t>
  </si>
  <si>
    <t xml:space="preserve">MANDOS INTERMEDIOS</t>
  </si>
  <si>
    <t xml:space="preserve">lote</t>
  </si>
  <si>
    <t xml:space="preserve">TOTAL DESTAJO</t>
  </si>
</sst>
</file>

<file path=xl/styles.xml><?xml version="1.0" encoding="utf-8"?>
<styleSheet xmlns="http://schemas.openxmlformats.org/spreadsheetml/2006/main">
  <numFmts count="12">
    <numFmt numFmtId="164" formatCode="General"/>
    <numFmt numFmtId="165" formatCode="0%"/>
    <numFmt numFmtId="166" formatCode="General"/>
    <numFmt numFmtId="167" formatCode="d\-mmm\-yy"/>
    <numFmt numFmtId="168" formatCode="#,##0.00;[RED]\-#,##0.00;;"/>
    <numFmt numFmtId="169" formatCode="#,##0.00"/>
    <numFmt numFmtId="170" formatCode="\$#,##0.00"/>
    <numFmt numFmtId="171" formatCode="0.00%"/>
    <numFmt numFmtId="172" formatCode="#,##0;[RED]\-#,##0;;"/>
    <numFmt numFmtId="173" formatCode="#,##0"/>
    <numFmt numFmtId="174" formatCode="_-\$* #,##0.00_-;&quot;-$&quot;* #,##0.00_-;_-\$* \-??_-;_-@_-"/>
    <numFmt numFmtId="175" formatCode="#,##0.0"/>
  </numFmts>
  <fonts count="19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b val="true"/>
      <sz val="14"/>
      <name val="Arial"/>
      <family val="2"/>
      <charset val="1"/>
    </font>
    <font>
      <b val="true"/>
      <sz val="8"/>
      <name val="Arial"/>
      <family val="2"/>
      <charset val="1"/>
    </font>
    <font>
      <b val="true"/>
      <sz val="12"/>
      <name val="Arial"/>
      <family val="2"/>
      <charset val="1"/>
    </font>
    <font>
      <b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  <font>
      <sz val="10"/>
      <color rgb="FFFFFFFF"/>
      <name val="Arial"/>
      <family val="2"/>
      <charset val="1"/>
    </font>
    <font>
      <b val="true"/>
      <sz val="20"/>
      <name val="Arial"/>
      <family val="2"/>
      <charset val="1"/>
    </font>
    <font>
      <b val="true"/>
      <sz val="9"/>
      <name val="Arial"/>
      <family val="2"/>
      <charset val="1"/>
    </font>
    <font>
      <sz val="5"/>
      <name val="Arial"/>
      <family val="2"/>
      <charset val="1"/>
    </font>
    <font>
      <sz val="8"/>
      <name val="Arial"/>
      <family val="2"/>
      <charset val="1"/>
    </font>
    <font>
      <sz val="8"/>
      <name val="Calibri"/>
      <family val="2"/>
      <charset val="1"/>
    </font>
    <font>
      <u val="single"/>
      <sz val="10"/>
      <name val="Arial"/>
      <family val="2"/>
      <charset val="1"/>
    </font>
    <font>
      <b val="true"/>
      <sz val="11"/>
      <color rgb="FF000000"/>
      <name val="Arial Black"/>
      <family val="0"/>
      <charset val="1"/>
    </font>
    <font>
      <sz val="10"/>
      <color rgb="FF000000"/>
      <name val="Arial"/>
      <family val="0"/>
      <charset val="1"/>
    </font>
  </fonts>
  <fills count="5">
    <fill>
      <patternFill patternType="none"/>
    </fill>
    <fill>
      <patternFill patternType="gray125"/>
    </fill>
    <fill>
      <patternFill patternType="solid">
        <fgColor rgb="FFB7DEE8"/>
        <bgColor rgb="FFC0C0C0"/>
      </patternFill>
    </fill>
    <fill>
      <patternFill patternType="solid">
        <fgColor rgb="FF8EB4E3"/>
        <bgColor rgb="FF9999FF"/>
      </patternFill>
    </fill>
    <fill>
      <patternFill patternType="solid">
        <fgColor rgb="FFC0C0C0"/>
        <bgColor rgb="FFB7DEE8"/>
      </patternFill>
    </fill>
  </fills>
  <borders count="66">
    <border diagonalUp="false" diagonalDown="false">
      <left/>
      <right/>
      <top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 style="medium"/>
      <top style="medium"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medium"/>
      <right style="thin"/>
      <top/>
      <bottom/>
      <diagonal/>
    </border>
    <border diagonalUp="false" diagonalDown="false">
      <left style="thin"/>
      <right style="medium"/>
      <top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thin"/>
      <top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/>
      <top style="medium"/>
      <bottom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thin"/>
      <right style="thick"/>
      <top style="medium"/>
      <bottom style="medium"/>
      <diagonal/>
    </border>
    <border diagonalUp="false" diagonalDown="false">
      <left style="medium"/>
      <right/>
      <top style="thick"/>
      <bottom/>
      <diagonal/>
    </border>
    <border diagonalUp="false" diagonalDown="false">
      <left/>
      <right style="thin"/>
      <top style="thick"/>
      <bottom/>
      <diagonal/>
    </border>
    <border diagonalUp="false" diagonalDown="false">
      <left style="thin"/>
      <right/>
      <top style="thick"/>
      <bottom/>
      <diagonal/>
    </border>
    <border diagonalUp="false" diagonalDown="false">
      <left/>
      <right/>
      <top style="thick"/>
      <bottom/>
      <diagonal/>
    </border>
    <border diagonalUp="false" diagonalDown="false">
      <left/>
      <right style="medium"/>
      <top style="thick"/>
      <bottom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thick"/>
      <top style="medium"/>
      <bottom style="thin"/>
      <diagonal/>
    </border>
    <border diagonalUp="false" diagonalDown="false">
      <left style="medium"/>
      <right/>
      <top/>
      <bottom/>
      <diagonal/>
    </border>
    <border diagonalUp="false" diagonalDown="false">
      <left/>
      <right style="thin"/>
      <top style="thin">
        <color rgb="FFC0C0C0"/>
      </top>
      <bottom style="thin">
        <color rgb="FFC0C0C0"/>
      </bottom>
      <diagonal/>
    </border>
    <border diagonalUp="false" diagonalDown="false">
      <left style="thin"/>
      <right/>
      <top style="thin">
        <color rgb="FFC0C0C0"/>
      </top>
      <bottom style="thin">
        <color rgb="FFC0C0C0"/>
      </bottom>
      <diagonal/>
    </border>
    <border diagonalUp="false" diagonalDown="false">
      <left/>
      <right/>
      <top style="thin">
        <color rgb="FFC0C0C0"/>
      </top>
      <bottom style="thin">
        <color rgb="FFC0C0C0"/>
      </bottom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ck"/>
      <top style="thin"/>
      <bottom style="thin"/>
      <diagonal/>
    </border>
    <border diagonalUp="false" diagonalDown="false">
      <left style="medium"/>
      <right/>
      <top/>
      <bottom style="thick"/>
      <diagonal/>
    </border>
    <border diagonalUp="false" diagonalDown="false">
      <left/>
      <right style="thin"/>
      <top style="thin">
        <color rgb="FFC0C0C0"/>
      </top>
      <bottom style="thick"/>
      <diagonal/>
    </border>
    <border diagonalUp="false" diagonalDown="false">
      <left style="thin"/>
      <right/>
      <top style="thin">
        <color rgb="FFC0C0C0"/>
      </top>
      <bottom style="thick"/>
      <diagonal/>
    </border>
    <border diagonalUp="false" diagonalDown="false">
      <left/>
      <right/>
      <top style="thin">
        <color rgb="FFC0C0C0"/>
      </top>
      <bottom style="thick"/>
      <diagonal/>
    </border>
    <border diagonalUp="false" diagonalDown="false">
      <left/>
      <right style="thin"/>
      <top/>
      <bottom style="thick"/>
      <diagonal/>
    </border>
    <border diagonalUp="false" diagonalDown="false">
      <left/>
      <right style="medium"/>
      <top/>
      <bottom style="thick"/>
      <diagonal/>
    </border>
    <border diagonalUp="false" diagonalDown="false">
      <left style="medium"/>
      <right style="thin"/>
      <top style="thin"/>
      <bottom style="thick"/>
      <diagonal/>
    </border>
    <border diagonalUp="false" diagonalDown="false">
      <left style="thin"/>
      <right style="thin"/>
      <top style="thin"/>
      <bottom style="thick"/>
      <diagonal/>
    </border>
    <border diagonalUp="false" diagonalDown="false">
      <left style="thin"/>
      <right style="thick"/>
      <top style="thin"/>
      <bottom style="thick"/>
      <diagonal/>
    </border>
    <border diagonalUp="false" diagonalDown="false">
      <left/>
      <right style="thin"/>
      <top style="thick"/>
      <bottom style="thin">
        <color rgb="FFC0C0C0"/>
      </bottom>
      <diagonal/>
    </border>
    <border diagonalUp="false" diagonalDown="false">
      <left style="thin"/>
      <right/>
      <top style="thick"/>
      <bottom style="thin">
        <color rgb="FFC0C0C0"/>
      </bottom>
      <diagonal/>
    </border>
    <border diagonalUp="false" diagonalDown="false">
      <left/>
      <right/>
      <top style="thick"/>
      <bottom style="thin">
        <color rgb="FFC0C0C0"/>
      </bottom>
      <diagonal/>
    </border>
    <border diagonalUp="false" diagonalDown="false">
      <left style="medium"/>
      <right style="thin"/>
      <top style="thick"/>
      <bottom style="thin"/>
      <diagonal/>
    </border>
    <border diagonalUp="false" diagonalDown="false">
      <left style="thin"/>
      <right style="thin"/>
      <top style="thick"/>
      <bottom style="thin"/>
      <diagonal/>
    </border>
    <border diagonalUp="false" diagonalDown="false">
      <left style="thin"/>
      <right style="thick"/>
      <top style="thick"/>
      <bottom style="thin"/>
      <diagonal/>
    </border>
    <border diagonalUp="false" diagonalDown="false">
      <left style="thin"/>
      <right/>
      <top/>
      <bottom style="medium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174" fontId="0" fillId="0" borderId="0" applyFont="true" applyBorder="false" applyAlignment="true" applyProtection="false">
      <alignment horizontal="general" vertical="bottom" textRotation="0" wrapText="false" indent="0" shrinkToFit="false"/>
    </xf>
    <xf numFmtId="42" fontId="1" fillId="0" borderId="0" applyFont="true" applyBorder="false" applyAlignment="false" applyProtection="false"/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5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2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3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5" fillId="0" borderId="4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6" fillId="0" borderId="5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5" fillId="0" borderId="6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4" fillId="0" borderId="7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8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9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10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6" fontId="7" fillId="0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2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13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14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15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16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17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6" fontId="7" fillId="0" borderId="1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2" borderId="1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7" fillId="2" borderId="2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9" fillId="2" borderId="2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2" borderId="22" xfId="0" applyFont="false" applyBorder="true" applyAlignment="true" applyProtection="true">
      <alignment horizontal="general" vertical="center" textRotation="0" wrapText="false" indent="0" shrinkToFit="false"/>
      <protection locked="false" hidden="false"/>
    </xf>
    <xf numFmtId="166" fontId="10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6" fontId="11" fillId="2" borderId="2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2" borderId="15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2" borderId="23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7" fillId="2" borderId="2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16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6" fillId="3" borderId="25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6" fontId="6" fillId="3" borderId="26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7" fontId="8" fillId="3" borderId="2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8" fillId="3" borderId="26" xfId="0" applyFont="true" applyBorder="true" applyAlignment="true" applyProtection="true">
      <alignment horizontal="center" vertical="center" textRotation="0" wrapText="false" indent="0" shrinkToFit="false"/>
      <protection locked="true" hidden="true"/>
    </xf>
    <xf numFmtId="167" fontId="12" fillId="3" borderId="26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0" fillId="3" borderId="26" xfId="0" applyFont="fals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4" fillId="3" borderId="2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6" fillId="3" borderId="26" xfId="0" applyFont="true" applyBorder="true" applyAlignment="true" applyProtection="true">
      <alignment horizontal="center" vertical="center" textRotation="0" wrapText="false" indent="0" shrinkToFit="false"/>
      <protection locked="true" hidden="true"/>
    </xf>
    <xf numFmtId="164" fontId="4" fillId="3" borderId="2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3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6" fillId="4" borderId="2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6" fillId="4" borderId="2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6" fillId="4" borderId="29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14" fillId="4" borderId="29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6" fillId="4" borderId="3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6" fillId="4" borderId="19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4" fillId="0" borderId="0" xfId="0" applyFont="true" applyBorder="false" applyAlignment="false" applyProtection="true">
      <alignment horizontal="general" vertical="bottom" textRotation="0" wrapText="false" indent="0" shrinkToFit="false"/>
      <protection locked="true" hidden="true"/>
    </xf>
    <xf numFmtId="164" fontId="14" fillId="0" borderId="31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14" fillId="0" borderId="32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14" fillId="0" borderId="33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5" fontId="14" fillId="0" borderId="0" xfId="19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15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true"/>
    </xf>
    <xf numFmtId="168" fontId="14" fillId="0" borderId="31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8" fontId="14" fillId="0" borderId="32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8" fontId="14" fillId="0" borderId="33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8" fontId="14" fillId="0" borderId="0" xfId="0" applyFont="true" applyBorder="false" applyAlignment="false" applyProtection="true">
      <alignment horizontal="general" vertical="bottom" textRotation="0" wrapText="false" indent="0" shrinkToFit="false"/>
      <protection locked="true" hidden="true"/>
    </xf>
    <xf numFmtId="164" fontId="14" fillId="0" borderId="34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4" fillId="0" borderId="35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14" fillId="0" borderId="36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14" fillId="0" borderId="37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14" fillId="0" borderId="37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9" fontId="14" fillId="0" borderId="37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9" fontId="14" fillId="0" borderId="37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70" fontId="14" fillId="0" borderId="35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70" fontId="6" fillId="0" borderId="38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71" fontId="14" fillId="0" borderId="0" xfId="19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72" fontId="14" fillId="0" borderId="0" xfId="0" applyFont="true" applyBorder="false" applyAlignment="false" applyProtection="true">
      <alignment horizontal="general" vertical="bottom" textRotation="0" wrapText="false" indent="0" shrinkToFit="false"/>
      <protection locked="true" hidden="true"/>
    </xf>
    <xf numFmtId="169" fontId="14" fillId="0" borderId="0" xfId="0" applyFont="true" applyBorder="false" applyAlignment="false" applyProtection="true">
      <alignment horizontal="general" vertical="bottom" textRotation="0" wrapText="false" indent="0" shrinkToFit="false"/>
      <protection locked="true" hidden="true"/>
    </xf>
    <xf numFmtId="168" fontId="14" fillId="0" borderId="39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8" fontId="14" fillId="0" borderId="40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8" fontId="14" fillId="0" borderId="41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9" fontId="14" fillId="0" borderId="39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9" fontId="14" fillId="0" borderId="40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9" fontId="14" fillId="0" borderId="41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14" fillId="0" borderId="4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4" fillId="0" borderId="43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14" fillId="0" borderId="44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14" fillId="0" borderId="45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14" fillId="0" borderId="45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9" fontId="14" fillId="0" borderId="45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9" fontId="14" fillId="0" borderId="45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14" fillId="0" borderId="10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70" fontId="14" fillId="0" borderId="10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70" fontId="6" fillId="0" borderId="46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8" fontId="14" fillId="0" borderId="47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8" fontId="14" fillId="0" borderId="48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8" fontId="14" fillId="0" borderId="49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9" fontId="14" fillId="0" borderId="47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9" fontId="14" fillId="0" borderId="48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9" fontId="14" fillId="0" borderId="49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73" fontId="14" fillId="0" borderId="0" xfId="0" applyFont="true" applyBorder="false" applyAlignment="false" applyProtection="true">
      <alignment horizontal="general" vertical="bottom" textRotation="0" wrapText="false" indent="0" shrinkToFit="false"/>
      <protection locked="true" hidden="true"/>
    </xf>
    <xf numFmtId="164" fontId="14" fillId="0" borderId="50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4" fillId="0" borderId="51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14" fillId="0" borderId="52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14" fillId="0" borderId="53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14" fillId="0" borderId="53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9" fontId="14" fillId="0" borderId="53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9" fontId="14" fillId="0" borderId="53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14" fillId="0" borderId="54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70" fontId="14" fillId="0" borderId="54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70" fontId="6" fillId="0" borderId="55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8" fontId="14" fillId="0" borderId="56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8" fontId="14" fillId="0" borderId="57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8" fontId="14" fillId="0" borderId="58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9" fontId="14" fillId="0" borderId="56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9" fontId="14" fillId="0" borderId="57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9" fontId="14" fillId="0" borderId="58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14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9" fontId="12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12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74" fontId="12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8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4" borderId="28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7" fillId="4" borderId="29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7" fillId="4" borderId="2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7" fillId="4" borderId="30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14" fillId="0" borderId="59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14" fillId="0" borderId="60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14" fillId="0" borderId="61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14" fillId="0" borderId="61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5" fontId="14" fillId="0" borderId="61" xfId="19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9" fontId="14" fillId="0" borderId="61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9" fontId="14" fillId="0" borderId="61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8" fontId="14" fillId="0" borderId="62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8" fontId="14" fillId="0" borderId="63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8" fontId="14" fillId="0" borderId="64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9" fontId="14" fillId="0" borderId="62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9" fontId="14" fillId="0" borderId="63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9" fontId="14" fillId="0" borderId="64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5" fontId="14" fillId="0" borderId="45" xfId="19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5" fontId="14" fillId="0" borderId="53" xfId="19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6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45" xfId="2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14" fillId="0" borderId="4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15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4" fillId="0" borderId="17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6" fontId="14" fillId="0" borderId="65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14" fillId="0" borderId="16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6" fontId="14" fillId="0" borderId="1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14" fillId="0" borderId="16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5" fontId="14" fillId="0" borderId="16" xfId="19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9" fontId="14" fillId="0" borderId="16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9" fontId="14" fillId="0" borderId="16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70" fontId="14" fillId="0" borderId="17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70" fontId="6" fillId="0" borderId="23" xfId="0" applyFont="true" applyBorder="true" applyAlignment="false" applyProtection="true">
      <alignment horizontal="general" vertical="bottom" textRotation="0" wrapText="false" indent="0" shrinkToFit="false"/>
      <protection locked="true" hidden="true"/>
    </xf>
    <xf numFmtId="164" fontId="14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75" fontId="14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9" fontId="14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false" applyAlignment="false" applyProtection="true">
      <alignment horizontal="general" vertical="bottom" textRotation="0" wrapText="false" indent="0" shrinkToFit="false"/>
      <protection locked="true" hidden="true"/>
    </xf>
  </cellXfs>
  <cellStyles count="8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  <cellStyle name="Normal 2 2" xfId="21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B7DEE8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8EB4E3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externalLink" Target="externalLinks/externalLink1.xml"/><Relationship Id="rId5" Type="http://schemas.openxmlformats.org/officeDocument/2006/relationships/externalLink" Target="externalLinks/externalLink2.xml"/><Relationship Id="rId6" Type="http://schemas.openxmlformats.org/officeDocument/2006/relationships/externalLink" Target="externalLinks/externalLink3.xml"/><Relationship Id="rId7" Type="http://schemas.openxmlformats.org/officeDocument/2006/relationships/sharedStrings" Target="sharedStrings.xml"/>
</Relationships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ctrlProps/ctrlProps5.xml><?xml version="1.0" encoding="utf-8"?>
<formControlPr xmlns="http://schemas.microsoft.com/office/spreadsheetml/2009/9/main" objectType="Button" lockText="1"/>
</file>

<file path=xl/ctrlProps/ctrlProps6.xml><?xml version="1.0" encoding="utf-8"?>
<formControlPr xmlns="http://schemas.microsoft.com/office/spreadsheetml/2009/9/main" objectType="Button" lockText="1"/>
</file>

<file path=xl/ctrlProps/ctrlProps7.xml><?xml version="1.0" encoding="utf-8"?>
<formControlPr xmlns="http://schemas.microsoft.com/office/spreadsheetml/2009/9/main" objectType="Button" lockText="1"/>
</file>

<file path=xl/ctrlProps/ctrlProps8.xml><?xml version="1.0" encoding="utf-8"?>
<formControlPr xmlns="http://schemas.microsoft.com/office/spreadsheetml/2009/9/main" objectType="Button" lockText="1"/>
</file>

<file path=xl/ctrlProps/ctrlProps9.xml><?xml version="1.0" encoding="utf-8"?>
<formControlPr xmlns="http://schemas.microsoft.com/office/spreadsheetml/2009/9/main" objectType="Button" lockText="1"/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jpe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0</xdr:col>
      <xdr:colOff>9360</xdr:colOff>
      <xdr:row>0</xdr:row>
      <xdr:rowOff>19080</xdr:rowOff>
    </xdr:from>
    <xdr:to>
      <xdr:col>2</xdr:col>
      <xdr:colOff>29520</xdr:colOff>
      <xdr:row>4</xdr:row>
      <xdr:rowOff>9360</xdr:rowOff>
    </xdr:to>
    <xdr:pic>
      <xdr:nvPicPr>
        <xdr:cNvPr id="0" name="Picture 1" descr=""/>
        <xdr:cNvPicPr/>
      </xdr:nvPicPr>
      <xdr:blipFill>
        <a:blip r:embed="rId1">
          <a:grayscl/>
          <a:alphaModFix amt="50000"/>
        </a:blip>
        <a:stretch/>
      </xdr:blipFill>
      <xdr:spPr>
        <a:xfrm>
          <a:off x="9360" y="19080"/>
          <a:ext cx="725760" cy="857160"/>
        </a:xfrm>
        <a:prstGeom prst="rect">
          <a:avLst/>
        </a:prstGeom>
        <a:ln w="0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+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+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2" descr="Exportar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Exportar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3" name="Button 3" descr="Actualizar&#10;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Actualizar
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4" name="Button 4" descr="Regen Link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Regen Links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5" name="Button 5" descr="Desactualizar&#10;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Desactualizar
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6" name="Button 6" descr="Agregar Renglone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Agregar Renglones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7" name="Button 7" descr="Movilizar / Inmovilizar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Movilizar / Inmovilizar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8" name="Button 8" descr="Regen Link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Regen Links</a:t>
              </a:r>
            </a:p>
          </xdr:txBody>
        </xdr:sp>
        <xdr:clientData/>
      </xdr:twoCellAnchor>
    </mc:Choice>
  </mc:AlternateContent>
</xdr:wsDr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../../../../../../G:/.shortcut-targets-by-id/0Bw9byDl25H49eHZ3YjlhTXRRQzQ/GCPI%20-%20TRABAJO/Programa%20gallo/Bases%20de%20Datos/Listado%20de%20Obras.xlsx" TargetMode="External"/>
</Relationships>
</file>

<file path=xl/externalLinks/_rels/externalLink2.xml.rels><?xml version="1.0" encoding="UTF-8"?>
<Relationships xmlns="http://schemas.openxmlformats.org/package/2006/relationships"><Relationship Id="rId1" Type="http://schemas.openxmlformats.org/officeDocument/2006/relationships/externalLinkPath" Target="../../../../../../Users/rvidal/Documents/Programa%20gallo/Bases%20de%20Datos/Listado%20de%20Fechas.xlsx" TargetMode="External"/>
</Relationships>
</file>

<file path=xl/externalLinks/_rels/externalLink3.xml.rels><?xml version="1.0" encoding="UTF-8"?>
<Relationships xmlns="http://schemas.openxmlformats.org/package/2006/relationships"><Relationship Id="rId1" Type="http://schemas.openxmlformats.org/officeDocument/2006/relationships/externalLinkPath" Target="../../../../../../G:/.shortcut-targets-by-id/0Bw9byDl25H49eHZ3YjlhTXRRQzQ/GCPI%20-%20TRABAJO/Programa%20gallo/Bases%20de%20Datos/Base%20de%20Datos.xlsx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B"/>
      <sheetName val="OB_TOTALES"/>
      <sheetName val="Listado de Obras"/>
    </sheetNames>
    <sheetDataSet>
      <sheetData sheetId="0">
        <row r="2">
          <cell r="A2" t="str">
            <v>A-001</v>
          </cell>
          <cell r="B2" t="str">
            <v>GP</v>
          </cell>
          <cell r="C2" t="str">
            <v>CALLE 6 # 2694, ZONA INDUSTRIAL</v>
          </cell>
          <cell r="D2" t="str">
            <v>MANTENIMIENTO CALLE 7 #1308 ZONA INDUSTRIAL - inmediato -</v>
          </cell>
        </row>
        <row r="2">
          <cell r="F2" t="str">
            <v>R</v>
          </cell>
          <cell r="G2" t="str">
            <v>FAVOR DE NO ENTREGAR MATERIALES DE 1:00 A 2:00 PM ESTARA CERRADO</v>
          </cell>
          <cell r="H2" t="str">
            <v>LP</v>
          </cell>
          <cell r="I2">
            <v>65095702</v>
          </cell>
        </row>
        <row r="3">
          <cell r="A3" t="str">
            <v>A-001-02</v>
          </cell>
          <cell r="B3" t="str">
            <v>GP</v>
          </cell>
          <cell r="C3" t="str">
            <v>CALLE 6 # 2694, ZONA INDUSTRIAL</v>
          </cell>
          <cell r="D3" t="str">
            <v>MANTENIMIENTO CALLE 7 #1308 ZONA INDUSTRIAL - correctivo mantto -</v>
          </cell>
        </row>
        <row r="3">
          <cell r="F3" t="str">
            <v>R</v>
          </cell>
          <cell r="G3" t="str">
            <v>FAVOR DE NO ENTREGAR MATERIALES DE 1:00 A 2:00 PM ESTARA CERRADO</v>
          </cell>
          <cell r="H3" t="str">
            <v>LP</v>
          </cell>
          <cell r="I3">
            <v>65095702</v>
          </cell>
        </row>
        <row r="4">
          <cell r="A4" t="str">
            <v>A-001-03</v>
          </cell>
          <cell r="B4" t="str">
            <v>GP</v>
          </cell>
          <cell r="C4" t="str">
            <v>CALLE 6 # 2694, ZONA INDUSTRIAL</v>
          </cell>
          <cell r="D4" t="str">
            <v>MANTENIMIENTO CALLE 7 #1308 ZONA INDUSTRIAL - almacen de materiales -</v>
          </cell>
        </row>
        <row r="4">
          <cell r="F4" t="str">
            <v>R</v>
          </cell>
          <cell r="G4" t="str">
            <v>FAVOR DE NO ENTREGAR MATERIALES DE 1:00 A 2:00 PM ESTARA CERRADO</v>
          </cell>
          <cell r="H4" t="str">
            <v>LP</v>
          </cell>
          <cell r="I4">
            <v>65095702</v>
          </cell>
        </row>
        <row r="5">
          <cell r="A5" t="str">
            <v>A-001-06</v>
          </cell>
          <cell r="B5" t="str">
            <v>GP</v>
          </cell>
          <cell r="C5" t="str">
            <v>CALLE 6 # 2694, ZONA INDUSTRIAL</v>
          </cell>
          <cell r="D5" t="str">
            <v>MANTENIMIENTO CALLE 7 #1308 ZONA INDUSTRIAL - pasillo soluciones oticas -</v>
          </cell>
        </row>
        <row r="6">
          <cell r="A6" t="str">
            <v>A-001-07</v>
          </cell>
          <cell r="B6" t="str">
            <v>GP</v>
          </cell>
          <cell r="C6" t="str">
            <v>CALLE 6 # 2694, ZONA INDUSTRIAL</v>
          </cell>
          <cell r="D6" t="str">
            <v>MANTENIMIENTO CALLE 7 #1308 ZONA INDUSTRIAL - correctivo mantto -</v>
          </cell>
        </row>
        <row r="7">
          <cell r="A7" t="str">
            <v>A-001-08</v>
          </cell>
          <cell r="B7" t="str">
            <v>GP</v>
          </cell>
          <cell r="C7" t="str">
            <v>CALLE 6 # 2694, ZONA INDUSTRIAL</v>
          </cell>
          <cell r="D7" t="str">
            <v>MANTENIMIENTO CALLE 7 #1308 ZONA INDUSTRIAL - correctivo biotecnologicos -</v>
          </cell>
        </row>
        <row r="8">
          <cell r="A8" t="str">
            <v>A-001-09</v>
          </cell>
          <cell r="B8" t="str">
            <v>GP</v>
          </cell>
          <cell r="C8" t="str">
            <v>CALLE 6 # 2694, ZONA INDUSTRIAL</v>
          </cell>
          <cell r="D8" t="str">
            <v>MANTENIMIENTO CALLE 7 #1308 ZONA INDUSTRIAL - correctivo planta piloto -</v>
          </cell>
        </row>
        <row r="9">
          <cell r="A9" t="str">
            <v>A-001-10</v>
          </cell>
          <cell r="B9" t="str">
            <v>GP</v>
          </cell>
          <cell r="C9" t="str">
            <v>CALLE 6 # 2694, ZONA INDUSTRIAL</v>
          </cell>
          <cell r="D9" t="str">
            <v>MANTENIMIENTO CALLE 7 #1308 ZONA INDUSTRIAL - correctivo cefalos -</v>
          </cell>
        </row>
        <row r="10">
          <cell r="A10" t="str">
            <v>A-001-11</v>
          </cell>
          <cell r="B10" t="str">
            <v>GP</v>
          </cell>
          <cell r="C10" t="str">
            <v>CALLE 6 # 2694, ZONA INDUSTRIAL</v>
          </cell>
          <cell r="D10" t="str">
            <v>MANTENIMIENTO CALLE 7 #1308 ZONA INDUSTRIAL - penicilínico</v>
          </cell>
        </row>
        <row r="11">
          <cell r="A11" t="str">
            <v>A-001-12</v>
          </cell>
          <cell r="B11" t="str">
            <v>GP</v>
          </cell>
          <cell r="C11" t="str">
            <v>CALLE 6 # 2694, ZONA INDUSTRIAL</v>
          </cell>
          <cell r="D11" t="str">
            <v>MANTENIMIENTO CALLE 7 #1308 ZONA INDUSTRIAL - almacén de materiales-</v>
          </cell>
        </row>
        <row r="12">
          <cell r="A12" t="str">
            <v>A-001-13</v>
          </cell>
          <cell r="B12" t="str">
            <v>GP</v>
          </cell>
          <cell r="C12" t="str">
            <v>CALLE 6 # 2694, ZONA INDUSTRIAL</v>
          </cell>
          <cell r="D12" t="str">
            <v>MANTENIMIENTO CALLE 7 #1308 ZONA INDUSTRIAL - pasillo mecano -</v>
          </cell>
        </row>
        <row r="13">
          <cell r="A13" t="str">
            <v>A-001-14</v>
          </cell>
          <cell r="B13" t="str">
            <v>GP</v>
          </cell>
          <cell r="C13" t="str">
            <v>CALLE 6 # 2694, ZONA INDUSTRIAL</v>
          </cell>
          <cell r="D13" t="str">
            <v>MANTENIMIENTO CALLE 7 #1308 ZONA INDUSTRIAL - area de silos -</v>
          </cell>
        </row>
        <row r="14">
          <cell r="A14" t="str">
            <v>A-001-15</v>
          </cell>
          <cell r="B14" t="str">
            <v>GP</v>
          </cell>
          <cell r="C14" t="str">
            <v>CALLE 6 # 2694, ZONA INDUSTRIAL</v>
          </cell>
          <cell r="D14" t="str">
            <v>MANTENIMIENTO CALLE 7 #1308 ZONA INDUSTRIAL - bioterio -</v>
          </cell>
        </row>
        <row r="15">
          <cell r="A15" t="str">
            <v>A-001-16</v>
          </cell>
          <cell r="B15" t="str">
            <v>GP</v>
          </cell>
          <cell r="C15" t="str">
            <v>CALLE 6 # 2694, ZONA INDUSTRIAL</v>
          </cell>
          <cell r="D15" t="str">
            <v>MANTENIMIENTO CALLE 7 #1308 ZONA INDUSTRIAL - estabilidades -</v>
          </cell>
        </row>
        <row r="16">
          <cell r="A16" t="str">
            <v>A-001-17</v>
          </cell>
          <cell r="B16" t="str">
            <v>GP</v>
          </cell>
          <cell r="C16" t="str">
            <v>CALLE 6 # 2694, ZONA INDUSTRIAL</v>
          </cell>
          <cell r="D16" t="str">
            <v>MANTENIMIENTO CALLE 7 #1308 ZONA INDUSTRIAL - silos -</v>
          </cell>
        </row>
        <row r="17">
          <cell r="A17" t="str">
            <v>A-001A</v>
          </cell>
          <cell r="B17" t="str">
            <v>GP</v>
          </cell>
          <cell r="C17" t="str">
            <v>CALLE 6 # 2694, ZONA INDUSTRIAL</v>
          </cell>
          <cell r="D17" t="str">
            <v>MANTENIMIENTO CALLE 7 #1308 ZONA INDUSTRIAL</v>
          </cell>
        </row>
        <row r="17">
          <cell r="F17" t="str">
            <v>R</v>
          </cell>
        </row>
        <row r="18">
          <cell r="A18" t="str">
            <v>A-002</v>
          </cell>
          <cell r="B18" t="str">
            <v>GP</v>
          </cell>
          <cell r="C18" t="str">
            <v>AV. ESPAÑA #1840 COL. MODERNA</v>
          </cell>
          <cell r="D18" t="str">
            <v>MANTENIMIENTO AV ESPAÑA #1840</v>
          </cell>
        </row>
        <row r="18">
          <cell r="F18" t="str">
            <v>JP</v>
          </cell>
        </row>
        <row r="18">
          <cell r="H18" t="str">
            <v>LP</v>
          </cell>
          <cell r="I18">
            <v>65224565</v>
          </cell>
        </row>
        <row r="19">
          <cell r="A19" t="str">
            <v>A-002B</v>
          </cell>
          <cell r="B19" t="str">
            <v>GP</v>
          </cell>
          <cell r="C19" t="str">
            <v>AV. ESPAÑA #1840 COL. MODERNA</v>
          </cell>
          <cell r="D19" t="str">
            <v>MANTENIMIENTO DE APOYO VICKY AV ESPAÑA #1840</v>
          </cell>
        </row>
        <row r="19">
          <cell r="F19" t="str">
            <v>JP</v>
          </cell>
        </row>
        <row r="19">
          <cell r="H19" t="str">
            <v>LP</v>
          </cell>
          <cell r="I19">
            <v>65224565</v>
          </cell>
        </row>
        <row r="20">
          <cell r="A20" t="str">
            <v>A-003</v>
          </cell>
          <cell r="B20" t="str">
            <v>GP</v>
          </cell>
          <cell r="C20" t="str">
            <v>ANTIGUA CARRETERA A CHAPALA O JUAN DE LA BARRERA # 3609-2</v>
          </cell>
          <cell r="D20" t="str">
            <v>CENTRO NACIONAL DE DISTRIBUCION</v>
          </cell>
        </row>
        <row r="20">
          <cell r="F20" t="str">
            <v>JP</v>
          </cell>
        </row>
        <row r="20">
          <cell r="H20" t="str">
            <v>LP</v>
          </cell>
          <cell r="I20">
            <v>65095701</v>
          </cell>
        </row>
        <row r="21">
          <cell r="A21" t="str">
            <v>A-004</v>
          </cell>
          <cell r="B21" t="str">
            <v>GP</v>
          </cell>
          <cell r="C21" t="str">
            <v>ANTIGUA CARRETERA A CHAPALA O JUAN DE LA BARRERA # 3609-2</v>
          </cell>
          <cell r="D21" t="str">
            <v>PLASTICOS Y MATERIAS PRIMAS SA DE CV</v>
          </cell>
        </row>
        <row r="21">
          <cell r="F21" t="str">
            <v>JP</v>
          </cell>
        </row>
        <row r="21">
          <cell r="H21" t="str">
            <v>PM</v>
          </cell>
          <cell r="I21">
            <v>65095701</v>
          </cell>
        </row>
        <row r="22">
          <cell r="A22" t="str">
            <v>A-038</v>
          </cell>
          <cell r="B22" t="str">
            <v>GP</v>
          </cell>
          <cell r="C22" t="str">
            <v>PASEOS DEL BOSQUE #298, COL. COLINAS DE SAN JAVIER</v>
          </cell>
          <cell r="D22" t="str">
            <v>PB</v>
          </cell>
        </row>
        <row r="22">
          <cell r="F22" t="str">
            <v>JP</v>
          </cell>
        </row>
        <row r="22">
          <cell r="H22" t="str">
            <v>LP</v>
          </cell>
        </row>
        <row r="23">
          <cell r="A23" t="str">
            <v>A-047</v>
          </cell>
          <cell r="B23" t="str">
            <v>GP</v>
          </cell>
          <cell r="C23" t="str">
            <v>KM 7 CARRETERA A SAN ISIDRO MAZATEPEC EN TLAJOMULCO DE ZUÑIGA JAL.</v>
          </cell>
          <cell r="D23" t="str">
            <v>RANCHO SAN ISIDRO</v>
          </cell>
        </row>
        <row r="23">
          <cell r="F23" t="str">
            <v>JP</v>
          </cell>
        </row>
        <row r="23">
          <cell r="H23" t="str">
            <v>IP</v>
          </cell>
        </row>
        <row r="24">
          <cell r="A24" t="str">
            <v>A-425</v>
          </cell>
          <cell r="B24" t="str">
            <v>GP</v>
          </cell>
          <cell r="C24" t="str">
            <v>CASA SANTIAGO TPP</v>
          </cell>
          <cell r="D24" t="str">
            <v>SAV TTP</v>
          </cell>
        </row>
        <row r="24">
          <cell r="F24" t="str">
            <v>ARQ</v>
          </cell>
        </row>
        <row r="24">
          <cell r="H24" t="str">
            <v>LP</v>
          </cell>
          <cell r="I24" t="str">
            <v>SUSTITUYE A-410</v>
          </cell>
        </row>
        <row r="25">
          <cell r="A25" t="str">
            <v>A-426</v>
          </cell>
        </row>
        <row r="25">
          <cell r="D25" t="str">
            <v>STELLA MARIS SJA</v>
          </cell>
        </row>
        <row r="26">
          <cell r="A26" t="str">
            <v>A-499</v>
          </cell>
          <cell r="B26" t="str">
            <v>GP</v>
          </cell>
          <cell r="C26" t="str">
            <v>HIDALGO 206, CENTO, TAPALPA, JALISCO</v>
          </cell>
          <cell r="D26" t="str">
            <v>CASA ING CARLOS ALVAREZ BERMEJILLO</v>
          </cell>
        </row>
        <row r="26">
          <cell r="F26" t="str">
            <v>N/A</v>
          </cell>
        </row>
        <row r="27">
          <cell r="A27" t="str">
            <v>A-628</v>
          </cell>
          <cell r="B27" t="str">
            <v>GP</v>
          </cell>
          <cell r="C27" t="str">
            <v>HACIENDA DE SAN FRANCISCO TAPALPA JAL.</v>
          </cell>
          <cell r="D27" t="str">
            <v>STELLA Y VIVIANA ALVAREZ VEGA</v>
          </cell>
        </row>
        <row r="28">
          <cell r="A28" t="str">
            <v>A-775</v>
          </cell>
          <cell r="B28" t="str">
            <v>GP</v>
          </cell>
          <cell r="C28" t="str">
            <v>AV. LAS PALMAS No300 LOTE 18 FRACCIONAMIENTO LOS JALES HASTA EL FONDO</v>
          </cell>
          <cell r="D28" t="str">
            <v>LOS JALES  ( ESTEBAN ALVAREZ )</v>
          </cell>
        </row>
        <row r="28">
          <cell r="F28" t="str">
            <v>N/A</v>
          </cell>
        </row>
        <row r="28">
          <cell r="I28">
            <v>65759459</v>
          </cell>
        </row>
        <row r="29">
          <cell r="A29" t="str">
            <v>A-800</v>
          </cell>
          <cell r="B29" t="str">
            <v>GP</v>
          </cell>
          <cell r="C29" t="str">
            <v>S/D</v>
          </cell>
          <cell r="D29" t="str">
            <v>EAV TTP</v>
          </cell>
        </row>
        <row r="29">
          <cell r="F29" t="str">
            <v>N/A</v>
          </cell>
        </row>
        <row r="30">
          <cell r="A30" t="str">
            <v>B-026</v>
          </cell>
          <cell r="B30" t="str">
            <v>VJL29</v>
          </cell>
          <cell r="C30" t="str">
            <v>AV. LAS PALMAS No. 100 LOTE 29 FRACC. VILLA MAGNA ZAPOPAN JAL.</v>
          </cell>
          <cell r="D30" t="str">
            <v>CASA LIC JAIME LOPEZ HIDALGO ( LOTE 29 )</v>
          </cell>
        </row>
        <row r="30">
          <cell r="F30" t="str">
            <v>JP</v>
          </cell>
          <cell r="G30" t="str">
            <v>NO ENTREGAR EN EL HORARIO DE 2 A 4 DE LA TARDE ESTARA CERRADO</v>
          </cell>
          <cell r="H30" t="str">
            <v>ARQ</v>
          </cell>
        </row>
        <row r="31">
          <cell r="A31" t="str">
            <v>B-040</v>
          </cell>
          <cell r="B31" t="str">
            <v>GP</v>
          </cell>
          <cell r="C31" t="str">
            <v>COTO ANDALUCIA CALLE FLAMINGOS No.62  PUERTA DE HIERRO</v>
          </cell>
          <cell r="D31" t="str">
            <v>CASA SRA. VIVIANA</v>
          </cell>
        </row>
        <row r="31">
          <cell r="F31" t="str">
            <v>JP</v>
          </cell>
          <cell r="G31" t="str">
            <v>SRA VIVIANA ALVAREZ</v>
          </cell>
          <cell r="H31" t="str">
            <v>ARQ</v>
          </cell>
        </row>
        <row r="32">
          <cell r="A32" t="str">
            <v>B-061</v>
          </cell>
          <cell r="B32" t="str">
            <v>GP</v>
          </cell>
          <cell r="C32" t="str">
            <v>TAPALPA</v>
          </cell>
          <cell r="D32" t="str">
            <v>STELLA Y VIVIANA ALVAREZ VEGA</v>
          </cell>
        </row>
        <row r="33">
          <cell r="A33" t="str">
            <v>B-128</v>
          </cell>
          <cell r="B33" t="str">
            <v>GP</v>
          </cell>
          <cell r="C33" t="str">
            <v>AV. LAS PALMAS No300 LOTE 28 FRACCIONAMIENTO LOS JALES HASTA EL FONDO</v>
          </cell>
          <cell r="D33" t="str">
            <v>JAVIER ALVAREZ BERMEJILLO</v>
          </cell>
        </row>
        <row r="33">
          <cell r="F33" t="str">
            <v>N/A</v>
          </cell>
        </row>
        <row r="34">
          <cell r="A34" t="str">
            <v>B-199</v>
          </cell>
          <cell r="B34" t="str">
            <v>GP</v>
          </cell>
          <cell r="C34" t="str">
            <v>AV. LAS PALMAS No. 100 FRACC. VILLA MAGNA ZAPOPAN JAL.</v>
          </cell>
          <cell r="D34" t="str">
            <v>VILLA MAGNA LOTE 58 (ALFONSO ALVAREZ)</v>
          </cell>
        </row>
        <row r="34">
          <cell r="F34" t="str">
            <v>N/A</v>
          </cell>
        </row>
        <row r="35">
          <cell r="A35" t="str">
            <v>B-351</v>
          </cell>
          <cell r="B35" t="str">
            <v>GP</v>
          </cell>
          <cell r="C35" t="str">
            <v>KM 7 CARRETERA A SAN ISIDRO MAZATEPEC EN TLAJOMULCO DE ZUÑIGA JAL.</v>
          </cell>
          <cell r="D35" t="str">
            <v>KIOSKO CDN</v>
          </cell>
        </row>
        <row r="35">
          <cell r="F35" t="str">
            <v>N/A</v>
          </cell>
        </row>
        <row r="36">
          <cell r="A36" t="str">
            <v>B-382</v>
          </cell>
        </row>
        <row r="36">
          <cell r="D36" t="str">
            <v>JUAN CARLOS ALVAREZ SJA</v>
          </cell>
        </row>
        <row r="37">
          <cell r="A37" t="str">
            <v>B-390</v>
          </cell>
          <cell r="B37" t="str">
            <v>GP</v>
          </cell>
          <cell r="C37" t="str">
            <v>S/D</v>
          </cell>
          <cell r="D37" t="str">
            <v>TRABAJOS DE MANTENIMIENTO  EN INSTALACIONES INDUSTRIALES </v>
          </cell>
        </row>
        <row r="37">
          <cell r="F37" t="str">
            <v>N/A</v>
          </cell>
        </row>
        <row r="38">
          <cell r="A38" t="str">
            <v>B-409</v>
          </cell>
        </row>
        <row r="38">
          <cell r="D38" t="str">
            <v>JCAV J2</v>
          </cell>
        </row>
        <row r="39">
          <cell r="A39" t="str">
            <v>B-445</v>
          </cell>
        </row>
        <row r="39">
          <cell r="D39" t="str">
            <v>JALES3 SAV</v>
          </cell>
        </row>
        <row r="40">
          <cell r="A40" t="str">
            <v>B-452</v>
          </cell>
        </row>
        <row r="40">
          <cell r="D40" t="str">
            <v>CASA PABLO</v>
          </cell>
        </row>
        <row r="41">
          <cell r="A41" t="str">
            <v>B-457</v>
          </cell>
        </row>
        <row r="41">
          <cell r="D41" t="str">
            <v>BODYLOGIC TLAJOMULCO</v>
          </cell>
        </row>
        <row r="42">
          <cell r="A42" t="str">
            <v>B-468</v>
          </cell>
        </row>
        <row r="42">
          <cell r="D42" t="str">
            <v>BODEGA GCPI</v>
          </cell>
        </row>
        <row r="43">
          <cell r="A43" t="str">
            <v>B-471</v>
          </cell>
        </row>
        <row r="43">
          <cell r="D43" t="str">
            <v>LOS REFLEJOS LOTE R8</v>
          </cell>
        </row>
        <row r="44">
          <cell r="A44" t="str">
            <v>B-479</v>
          </cell>
        </row>
        <row r="44">
          <cell r="D44" t="str">
            <v>CASA MARCO CORTÉS</v>
          </cell>
        </row>
        <row r="45">
          <cell r="A45" t="str">
            <v>B-531</v>
          </cell>
        </row>
        <row r="45">
          <cell r="D45" t="str">
            <v>TRABAJOS DE MANTENIMIENTO Y REPARACION DE INSTALACIONES EDIFICIO F CDN</v>
          </cell>
        </row>
        <row r="46">
          <cell r="A46" t="str">
            <v>B-577</v>
          </cell>
        </row>
        <row r="46">
          <cell r="C46" t="str">
            <v>SANTA ANITA</v>
          </cell>
          <cell r="D46" t="str">
            <v>CASA HERIBERTO CASTAÑEDA</v>
          </cell>
        </row>
        <row r="47">
          <cell r="A47" t="str">
            <v>B-592</v>
          </cell>
        </row>
        <row r="47">
          <cell r="D47" t="str">
            <v>MANTENIMIENTO ALMACÉN COLÓN</v>
          </cell>
        </row>
        <row r="48">
          <cell r="A48" t="str">
            <v>B-616</v>
          </cell>
        </row>
        <row r="48">
          <cell r="D48" t="str">
            <v>LOCAL PLAZA OTTAWA</v>
          </cell>
        </row>
        <row r="49">
          <cell r="A49" t="str">
            <v>B-619</v>
          </cell>
        </row>
        <row r="49">
          <cell r="D49" t="str">
            <v>CASA OCHOA</v>
          </cell>
        </row>
        <row r="50">
          <cell r="A50" t="str">
            <v>B-656</v>
          </cell>
        </row>
        <row r="50">
          <cell r="D50" t="str">
            <v>RTN BLOQUE 2 2DA ETAPA</v>
          </cell>
        </row>
        <row r="51">
          <cell r="A51" t="str">
            <v>B-664</v>
          </cell>
        </row>
        <row r="51">
          <cell r="C51" t="str">
            <v>TERRENO LA MOJONERA FERNANDO ALVAREZ RAMON CORONA 4601</v>
          </cell>
          <cell r="D51" t="str">
            <v>MANTENIMIENTO GALBER</v>
          </cell>
        </row>
        <row r="52">
          <cell r="A52" t="str">
            <v>B-712</v>
          </cell>
        </row>
        <row r="52">
          <cell r="C52" t="str">
            <v>TLAJOMULCO</v>
          </cell>
          <cell r="D52" t="str">
            <v>TRABAJOS DE MANTENIMIENTO TALLER VEHICULAR TRANSLIMA</v>
          </cell>
        </row>
        <row r="53">
          <cell r="A53" t="str">
            <v>B-715</v>
          </cell>
        </row>
        <row r="53">
          <cell r="C53" t="str">
            <v>TLAJOMULCO</v>
          </cell>
          <cell r="D53" t="str">
            <v>PROYECTO DE AMPLIACION OFICINAS EDIFICIO E</v>
          </cell>
        </row>
        <row r="54">
          <cell r="A54" t="str">
            <v>B-745</v>
          </cell>
        </row>
        <row r="54">
          <cell r="C54" t="str">
            <v>EL CIELO COUNTRY CLUB</v>
          </cell>
          <cell r="D54" t="str">
            <v>CASA HABITACION SR ALEJANDRO TROYA</v>
          </cell>
        </row>
        <row r="55">
          <cell r="A55" t="str">
            <v>B-769</v>
          </cell>
        </row>
        <row r="55">
          <cell r="C55" t="str">
            <v>TLAJOMULCO</v>
          </cell>
          <cell r="D55" t="str">
            <v>FORMAS SOLIDAS 3</v>
          </cell>
        </row>
        <row r="56">
          <cell r="A56" t="str">
            <v>B-769A</v>
          </cell>
        </row>
        <row r="56">
          <cell r="C56" t="str">
            <v>TLAJOMULCO</v>
          </cell>
          <cell r="D56" t="str">
            <v>NAVE DE SERVICIOS EN EDIFICIO B</v>
          </cell>
        </row>
        <row r="57">
          <cell r="A57" t="str">
            <v>B-790</v>
          </cell>
        </row>
        <row r="57">
          <cell r="C57" t="str">
            <v>TEJABANES</v>
          </cell>
          <cell r="D57" t="str">
            <v>PARQUE CAB LAS JUNTAS</v>
          </cell>
        </row>
        <row r="58">
          <cell r="A58" t="str">
            <v>B-790A</v>
          </cell>
        </row>
        <row r="58">
          <cell r="C58" t="str">
            <v>TEJABANES</v>
          </cell>
          <cell r="D58" t="str">
            <v>PARQUE CAB LAS JUNTAS MANZANA 1</v>
          </cell>
        </row>
        <row r="59">
          <cell r="A59" t="str">
            <v>B-790B</v>
          </cell>
        </row>
        <row r="59">
          <cell r="C59" t="str">
            <v>TEJABANES</v>
          </cell>
          <cell r="D59" t="str">
            <v>PARQUE CAB LAS JUNTAS MANZANA 2</v>
          </cell>
        </row>
        <row r="60">
          <cell r="A60" t="str">
            <v>B-790C</v>
          </cell>
        </row>
        <row r="60">
          <cell r="C60" t="str">
            <v>TEJABANES</v>
          </cell>
          <cell r="D60" t="str">
            <v>PARQUE CAB LAS JUNTAS MANZANA 3</v>
          </cell>
        </row>
        <row r="61">
          <cell r="A61" t="str">
            <v>B-790D</v>
          </cell>
        </row>
        <row r="61">
          <cell r="C61" t="str">
            <v>TEJABANES</v>
          </cell>
          <cell r="D61" t="str">
            <v>PARQUE CAB LAS JUNTAS MANZANA 4</v>
          </cell>
        </row>
        <row r="62">
          <cell r="A62" t="str">
            <v>B-792</v>
          </cell>
        </row>
        <row r="62">
          <cell r="C62" t="str">
            <v>SAN ISIDRO</v>
          </cell>
          <cell r="D62" t="str">
            <v>BODEGAS GCPI ING JPCA y ARQ JLJCA</v>
          </cell>
        </row>
        <row r="63">
          <cell r="A63" t="str">
            <v>B-795</v>
          </cell>
        </row>
        <row r="63">
          <cell r="C63" t="str">
            <v>GUADALAJARA</v>
          </cell>
          <cell r="D63" t="str">
            <v>NERIUM</v>
          </cell>
        </row>
        <row r="64">
          <cell r="A64" t="str">
            <v>B-802</v>
          </cell>
        </row>
        <row r="64">
          <cell r="C64" t="str">
            <v>TAPALPA</v>
          </cell>
          <cell r="D64" t="str">
            <v>CASA GODOY TAPALPA</v>
          </cell>
        </row>
        <row r="65">
          <cell r="A65" t="str">
            <v>B-861</v>
          </cell>
        </row>
        <row r="65">
          <cell r="C65" t="str">
            <v>ZAPOPAN</v>
          </cell>
          <cell r="D65" t="str">
            <v>AMPLIACION DE OFICINAS PAT</v>
          </cell>
        </row>
        <row r="66">
          <cell r="A66" t="str">
            <v>B-878</v>
          </cell>
        </row>
        <row r="66">
          <cell r="C66" t="str">
            <v>TLAJOMULCO</v>
          </cell>
          <cell r="D66" t="str">
            <v>MANTENIMIENTO EDIFICIO B FORMAS SÓLIDAS</v>
          </cell>
        </row>
        <row r="67">
          <cell r="A67" t="str">
            <v>B-898</v>
          </cell>
        </row>
        <row r="67">
          <cell r="C67" t="str">
            <v>PRADERAS DEL NOGAL TAPALPA</v>
          </cell>
          <cell r="D67" t="str">
            <v>MANTENIMIENTO EN RANCHO PRADERAS DEL NOGAL</v>
          </cell>
        </row>
        <row r="68">
          <cell r="A68" t="str">
            <v>B-899</v>
          </cell>
        </row>
        <row r="68">
          <cell r="C68" t="str">
            <v>MAR EGEO 1310-4 EL COUNTRY</v>
          </cell>
          <cell r="D68" t="str">
            <v>TERE ROBLES</v>
          </cell>
        </row>
        <row r="69">
          <cell r="A69" t="str">
            <v>B-905</v>
          </cell>
        </row>
        <row r="69">
          <cell r="C69" t="str">
            <v>TEJABANES</v>
          </cell>
          <cell r="D69" t="str">
            <v>OFICINAS SUMITOMO</v>
          </cell>
        </row>
        <row r="70">
          <cell r="A70" t="str">
            <v>B-911</v>
          </cell>
        </row>
        <row r="70">
          <cell r="C70" t="str">
            <v>ZAPOPAN</v>
          </cell>
          <cell r="D70" t="str">
            <v>CASA CHÁVEZ MARTÍNEZ</v>
          </cell>
        </row>
        <row r="71">
          <cell r="A71" t="str">
            <v>B-920</v>
          </cell>
        </row>
        <row r="71">
          <cell r="C71" t="str">
            <v>ZAPOPAN</v>
          </cell>
          <cell r="D71" t="str">
            <v>SAN PASCUAL 1676 FRACCIONAMIENTO SANTA ISABEL</v>
          </cell>
        </row>
        <row r="72">
          <cell r="A72" t="str">
            <v>B-970</v>
          </cell>
        </row>
        <row r="72">
          <cell r="C72" t="str">
            <v>COLINAS DE SAN JAVIER</v>
          </cell>
          <cell r="D72" t="str">
            <v>CASA DIEGO CHÁVEZ NAVARRO</v>
          </cell>
        </row>
        <row r="73">
          <cell r="A73" t="str">
            <v>B-982</v>
          </cell>
        </row>
        <row r="73">
          <cell r="C73" t="str">
            <v>COLON</v>
          </cell>
          <cell r="D73" t="str">
            <v>REMODELACION ALMACEN COLÓN</v>
          </cell>
        </row>
        <row r="74">
          <cell r="A74" t="str">
            <v>B-984</v>
          </cell>
        </row>
        <row r="74">
          <cell r="C74" t="str">
            <v>TLAJOMULCO</v>
          </cell>
          <cell r="D74" t="str">
            <v>MANTENIMIENTO PARA CDN</v>
          </cell>
        </row>
        <row r="75">
          <cell r="A75" t="str">
            <v>C-001</v>
          </cell>
        </row>
        <row r="75">
          <cell r="C75" t="str">
            <v>CALZADA OLÍMPICA</v>
          </cell>
          <cell r="D75" t="str">
            <v>MANIJAUTO</v>
          </cell>
        </row>
        <row r="76">
          <cell r="A76" t="str">
            <v>C-038</v>
          </cell>
        </row>
        <row r="76">
          <cell r="C76" t="str">
            <v>TLAJOMULCO</v>
          </cell>
          <cell r="D76" t="str">
            <v>LABORATORIO DE PENICILINICOS</v>
          </cell>
        </row>
        <row r="77">
          <cell r="A77" t="str">
            <v>C-039</v>
          </cell>
        </row>
        <row r="77">
          <cell r="C77" t="str">
            <v>DESTINO VALLARTA</v>
          </cell>
          <cell r="D77" t="str">
            <v>PONTO QUITO </v>
          </cell>
        </row>
        <row r="78">
          <cell r="A78" t="str">
            <v>C-046</v>
          </cell>
        </row>
        <row r="78">
          <cell r="C78" t="str">
            <v>AVANT</v>
          </cell>
          <cell r="D78" t="str">
            <v>NAVE 3 AVANT</v>
          </cell>
        </row>
        <row r="79">
          <cell r="A79" t="str">
            <v>C-085</v>
          </cell>
        </row>
        <row r="79">
          <cell r="C79" t="str">
            <v>CONDOMINIO PLAZA COUNTRY</v>
          </cell>
          <cell r="D79" t="str">
            <v>CASA INT 30 SR ALEJANDRO GARCIARCE ALVAREZ</v>
          </cell>
        </row>
        <row r="80">
          <cell r="A80" t="str">
            <v>C-092</v>
          </cell>
        </row>
        <row r="80">
          <cell r="C80" t="str">
            <v>TLAJOMULCO</v>
          </cell>
          <cell r="D80" t="str">
            <v>MANTENIMIENTO Y CONSERVACIÓN EDIFICIO E INSTALACIONES ELÉCTRICAS ALMACÉN AUTOMATIZADO</v>
          </cell>
        </row>
        <row r="81">
          <cell r="A81" t="str">
            <v>C-101</v>
          </cell>
        </row>
        <row r="81">
          <cell r="C81" t="str">
            <v>TAPALPA</v>
          </cell>
          <cell r="D81" t="str">
            <v>MTTO. CASA Y PLANTA DE EMERGENCIA CABAÑA MÁGICA</v>
          </cell>
        </row>
        <row r="82">
          <cell r="A82" t="str">
            <v>C-105</v>
          </cell>
        </row>
        <row r="82">
          <cell r="C82" t="str">
            <v>PYMPSA</v>
          </cell>
          <cell r="D82" t="str">
            <v>ADECUACIÓN RED CONTRA-INCENDIOS </v>
          </cell>
        </row>
        <row r="83">
          <cell r="A83" t="str">
            <v>C-106</v>
          </cell>
        </row>
        <row r="83">
          <cell r="C83" t="str">
            <v>CONJUNTO RESIDENCIAL PATRIA</v>
          </cell>
          <cell r="D83" t="str">
            <v>TERRENO HIMNO PATRIO LORENA CHÁVEZ</v>
          </cell>
        </row>
        <row r="84">
          <cell r="A84" t="str">
            <v>C-112</v>
          </cell>
        </row>
        <row r="84">
          <cell r="C84" t="str">
            <v>TLAJOMULCO</v>
          </cell>
          <cell r="D84" t="str">
            <v>MANTENIMIENTO A EDIFICIO ONCOLÓGICOS E INMUNOLÓGICOS</v>
          </cell>
        </row>
        <row r="85">
          <cell r="A85" t="str">
            <v>C-115</v>
          </cell>
        </row>
        <row r="85">
          <cell r="C85" t="str">
            <v>VISTAS DE LA CAÑADA</v>
          </cell>
          <cell r="D85" t="str">
            <v>MANTENIMIENTO CASA ÁLVARO SOTO</v>
          </cell>
        </row>
        <row r="86">
          <cell r="A86" t="str">
            <v>C-121</v>
          </cell>
        </row>
        <row r="86">
          <cell r="C86" t="str">
            <v>TAPALPA</v>
          </cell>
          <cell r="D86" t="str">
            <v>CABAÑA EL JAGUEY</v>
          </cell>
        </row>
        <row r="87">
          <cell r="A87" t="str">
            <v>C-127</v>
          </cell>
        </row>
        <row r="87">
          <cell r="C87" t="str">
            <v>TLAJOMULCO</v>
          </cell>
          <cell r="D87" t="str">
            <v>PRODUCTOS CONTROLADOS EDIFICIO B</v>
          </cell>
        </row>
        <row r="88">
          <cell r="A88" t="str">
            <v>C-143</v>
          </cell>
        </row>
        <row r="88">
          <cell r="C88" t="str">
            <v>TAPALPA</v>
          </cell>
          <cell r="D88" t="str">
            <v>CASA STELLA ÁLVAREZ</v>
          </cell>
        </row>
        <row r="89">
          <cell r="A89" t="str">
            <v>C-146</v>
          </cell>
        </row>
        <row r="89">
          <cell r="C89" t="str">
            <v>TAPALPA</v>
          </cell>
          <cell r="D89" t="str">
            <v>MANTENIMIENTO CASA JCAV</v>
          </cell>
        </row>
        <row r="90">
          <cell r="A90" t="str">
            <v>C-147</v>
          </cell>
        </row>
        <row r="90">
          <cell r="C90" t="str">
            <v>TAPALPA</v>
          </cell>
          <cell r="D90" t="str">
            <v>MANTENIMIENTO RANCHO JCAV</v>
          </cell>
        </row>
        <row r="91">
          <cell r="A91" t="str">
            <v>C-149</v>
          </cell>
        </row>
        <row r="91">
          <cell r="C91" t="str">
            <v>TAPALPA</v>
          </cell>
          <cell r="D91" t="str">
            <v>TERRAZA MARIANO BERDEGUÉ SAINZ</v>
          </cell>
        </row>
        <row r="92">
          <cell r="A92" t="str">
            <v>C-154</v>
          </cell>
        </row>
        <row r="92">
          <cell r="C92" t="str">
            <v>ZONA IND</v>
          </cell>
          <cell r="D92" t="str">
            <v>LABORATORIO FÍSICO-QUÍMICOS</v>
          </cell>
        </row>
        <row r="93">
          <cell r="A93" t="str">
            <v>C-155</v>
          </cell>
        </row>
        <row r="93">
          <cell r="C93" t="str">
            <v>PUERTA PLATA</v>
          </cell>
          <cell r="D93" t="str">
            <v>VIVIANA MARTÍNEZ ÁLVAREZ</v>
          </cell>
        </row>
        <row r="94">
          <cell r="A94" t="str">
            <v>C-158</v>
          </cell>
        </row>
        <row r="94">
          <cell r="C94" t="str">
            <v>ZONA IND</v>
          </cell>
          <cell r="D94" t="str">
            <v>LÍNEA VA3</v>
          </cell>
        </row>
        <row r="95">
          <cell r="A95" t="str">
            <v>C-160</v>
          </cell>
        </row>
        <row r="95">
          <cell r="C95" t="str">
            <v>PASEO DE LOS VIRREYES LOTE 43 ,COL. SAN WENCESLAO</v>
          </cell>
          <cell r="D95" t="str">
            <v>CASA JORGE PABLO CHÁVEZ NAVARRO</v>
          </cell>
        </row>
        <row r="96">
          <cell r="A96" t="str">
            <v>C-162</v>
          </cell>
        </row>
        <row r="96">
          <cell r="C96" t="str">
            <v>TAPALPA</v>
          </cell>
          <cell r="D96" t="str">
            <v>CASA OLMOS</v>
          </cell>
        </row>
        <row r="97">
          <cell r="A97" t="str">
            <v>C-165</v>
          </cell>
        </row>
        <row r="97">
          <cell r="C97" t="str">
            <v>TLAJOMULCO</v>
          </cell>
          <cell r="D97" t="str">
            <v>BODYLOGIC II</v>
          </cell>
        </row>
        <row r="98">
          <cell r="A98" t="str">
            <v>C-170</v>
          </cell>
        </row>
        <row r="98">
          <cell r="C98" t="str">
            <v>HIMNO PATRIO S/N</v>
          </cell>
          <cell r="D98" t="str">
            <v>TERRENO HIMNO PATRIO ANA PAULA CHÁVEZ</v>
          </cell>
        </row>
        <row r="99">
          <cell r="A99" t="str">
            <v>C-176</v>
          </cell>
        </row>
        <row r="99">
          <cell r="C99" t="str">
            <v>CIRCUITO MADRIGAL</v>
          </cell>
          <cell r="D99" t="str">
            <v>COTO COLINAS</v>
          </cell>
        </row>
        <row r="100">
          <cell r="A100" t="str">
            <v>C-180</v>
          </cell>
        </row>
        <row r="100">
          <cell r="C100" t="str">
            <v>ZONA IND</v>
          </cell>
          <cell r="D100" t="str">
            <v>REMEDIACIÓN SISTEMA DE AGUA ORALES</v>
          </cell>
        </row>
        <row r="101">
          <cell r="A101" t="str">
            <v>C-183</v>
          </cell>
        </row>
        <row r="101">
          <cell r="C101" t="str">
            <v>TLAJOMULCO</v>
          </cell>
          <cell r="D101" t="str">
            <v>RELACIÓN DE GASTOS EFECTUADOS MANTENIMIENTO DIRECCIÓN ELECTROLIT</v>
          </cell>
        </row>
        <row r="102">
          <cell r="A102" t="str">
            <v>C-188</v>
          </cell>
        </row>
        <row r="102">
          <cell r="C102" t="str">
            <v>PUERTA PLATA</v>
          </cell>
          <cell r="D102" t="str">
            <v>CRISTÓBAL GARCIARCE ÁLVAREZ</v>
          </cell>
        </row>
        <row r="103">
          <cell r="A103" t="str">
            <v>C-193</v>
          </cell>
        </row>
        <row r="103">
          <cell r="C103" t="str">
            <v>TLAJOMULCO</v>
          </cell>
          <cell r="D103" t="str">
            <v>INSUMOS 3 EN MANZANA 3</v>
          </cell>
        </row>
        <row r="104">
          <cell r="A104" t="str">
            <v>C-193A</v>
          </cell>
        </row>
        <row r="104">
          <cell r="C104" t="str">
            <v>TLAJOMULCO</v>
          </cell>
          <cell r="D104" t="str">
            <v>ALMACÉN DE INSUMOS 3 EN MANZANA 3 OBRA INTERNA</v>
          </cell>
        </row>
        <row r="105">
          <cell r="A105" t="str">
            <v>C-194</v>
          </cell>
        </row>
        <row r="105">
          <cell r="C105" t="str">
            <v>TLAJOMULCO</v>
          </cell>
          <cell r="D105" t="str">
            <v>PRODUCCIÓN 3 EN MANZANA 3</v>
          </cell>
        </row>
        <row r="106">
          <cell r="A106" t="str">
            <v>C-194A</v>
          </cell>
        </row>
        <row r="106">
          <cell r="C106" t="str">
            <v>TLAJOMULCO</v>
          </cell>
          <cell r="D106" t="str">
            <v>NAVE DE PRODUCCIÓN 3 EN MANZANA 3 OBRA INTERNA</v>
          </cell>
        </row>
        <row r="107">
          <cell r="A107" t="str">
            <v>C-195</v>
          </cell>
        </row>
        <row r="107">
          <cell r="C107" t="str">
            <v>TLAJOMULCO</v>
          </cell>
          <cell r="D107" t="str">
            <v>ALMACÉN DE MATERIALES 3 EN MANZANA 3</v>
          </cell>
        </row>
        <row r="108">
          <cell r="A108" t="str">
            <v>C-195A</v>
          </cell>
        </row>
        <row r="108">
          <cell r="C108" t="str">
            <v>TLAJOMULCO</v>
          </cell>
          <cell r="D108" t="str">
            <v>ALMACÉN DE MATERIALES 3 EN MANZANA 3 OBRA INTERNA</v>
          </cell>
        </row>
        <row r="109">
          <cell r="A109" t="str">
            <v>C-196</v>
          </cell>
        </row>
        <row r="109">
          <cell r="C109" t="str">
            <v>TLAJOMULCO</v>
          </cell>
          <cell r="D109" t="str">
            <v>PATIOS DE MATERIALES EN MANZANA 3</v>
          </cell>
        </row>
        <row r="110">
          <cell r="A110" t="str">
            <v>C-199</v>
          </cell>
        </row>
        <row r="110">
          <cell r="C110" t="str">
            <v>PARQUE CAB</v>
          </cell>
          <cell r="D110" t="str">
            <v>CUARTO DE BOMBAS PYMPSA/CAB</v>
          </cell>
        </row>
        <row r="111">
          <cell r="A111" t="str">
            <v>C-202</v>
          </cell>
        </row>
        <row r="111">
          <cell r="C111" t="str">
            <v>TLAJOMULCO</v>
          </cell>
          <cell r="D111" t="str">
            <v>REMEDIACIÓN PASILLOS GENERALES ISO 9 EDIFICIO A</v>
          </cell>
        </row>
        <row r="112">
          <cell r="A112" t="str">
            <v>C-205</v>
          </cell>
        </row>
        <row r="112">
          <cell r="C112" t="str">
            <v>TLAJOMULCO</v>
          </cell>
          <cell r="D112" t="str">
            <v>REMEDIACIÓN PASILLOS ISO 09 VIALES</v>
          </cell>
        </row>
        <row r="113">
          <cell r="A113" t="str">
            <v>C-206</v>
          </cell>
        </row>
        <row r="113">
          <cell r="C113" t="str">
            <v>TLAJOMULCO</v>
          </cell>
          <cell r="D113" t="str">
            <v>BASE PUENTE Y SILO EDIFICIO A</v>
          </cell>
        </row>
        <row r="114">
          <cell r="A114" t="str">
            <v>C-207</v>
          </cell>
        </row>
        <row r="114">
          <cell r="C114" t="str">
            <v>TLAJOMULCO</v>
          </cell>
          <cell r="D114" t="str">
            <v>ARCHIVOS REGULATORIOS EDIFICIO B</v>
          </cell>
        </row>
        <row r="115">
          <cell r="A115" t="str">
            <v>C-209</v>
          </cell>
        </row>
        <row r="115">
          <cell r="C115" t="str">
            <v>TEJABANES</v>
          </cell>
          <cell r="D115" t="str">
            <v>ADECUACIONES DE NAVES 5 y 6</v>
          </cell>
        </row>
        <row r="116">
          <cell r="A116" t="str">
            <v>C-214</v>
          </cell>
        </row>
        <row r="116">
          <cell r="C116" t="str">
            <v>TLAJOMULCO</v>
          </cell>
          <cell r="D116" t="str">
            <v>TRABAJOS DE MANTENIMIENTO EN EXTERIORES Y ÁREAS GENERALES</v>
          </cell>
        </row>
        <row r="117">
          <cell r="A117" t="str">
            <v>C-215</v>
          </cell>
        </row>
        <row r="117">
          <cell r="C117" t="str">
            <v>ZONA IND</v>
          </cell>
          <cell r="D117" t="str">
            <v>OFICINAS DE MANTENIMIENTO</v>
          </cell>
        </row>
        <row r="118">
          <cell r="A118" t="str">
            <v>C-216</v>
          </cell>
        </row>
        <row r="118">
          <cell r="C118" t="str">
            <v>ZONA IND</v>
          </cell>
          <cell r="D118" t="str">
            <v>MEZANINNE PARA ARCHIVOS DE DOCUMENTACIÓN</v>
          </cell>
        </row>
        <row r="119">
          <cell r="A119" t="str">
            <v>C-221</v>
          </cell>
        </row>
        <row r="119">
          <cell r="C119" t="str">
            <v>TLAJOMULCO</v>
          </cell>
          <cell r="D119" t="str">
            <v>REMEDIACIÓN PLANTA PENICILÍNICOS</v>
          </cell>
        </row>
        <row r="120">
          <cell r="A120" t="str">
            <v>C-224</v>
          </cell>
        </row>
        <row r="120">
          <cell r="C120" t="str">
            <v>ZONA IND</v>
          </cell>
          <cell r="D120" t="str">
            <v>CLASIFICACIÓN DE PASILLOS PLANTA</v>
          </cell>
        </row>
        <row r="121">
          <cell r="A121" t="str">
            <v>C-225</v>
          </cell>
        </row>
        <row r="121">
          <cell r="C121" t="str">
            <v>TLAJOMULCO</v>
          </cell>
          <cell r="D121" t="str">
            <v>SALAS DE CAPACITACIÓN NAVE 3, EDIFICIO B</v>
          </cell>
        </row>
        <row r="122">
          <cell r="A122" t="str">
            <v>C-226</v>
          </cell>
        </row>
        <row r="122">
          <cell r="C122" t="str">
            <v>16 DE SEPTIEMBRE 1066 COL. MODERNA, GUADALAJARA, JALISCO</v>
          </cell>
          <cell r="D122" t="str">
            <v>REMODELACIÓN AGENCIA AUTONOVA</v>
          </cell>
        </row>
        <row r="123">
          <cell r="A123" t="str">
            <v>C-228</v>
          </cell>
        </row>
        <row r="123">
          <cell r="C123" t="str">
            <v>ZAPOPAN, JALISCO</v>
          </cell>
          <cell r="D123" t="str">
            <v>PARQUE INDUSTRIAL INDORAMA</v>
          </cell>
        </row>
        <row r="124">
          <cell r="A124" t="str">
            <v>C-231</v>
          </cell>
        </row>
        <row r="124">
          <cell r="C124" t="str">
            <v>TLAJOMULCO</v>
          </cell>
          <cell r="D124" t="str">
            <v>RECUPERACIÓN DE AGUAS RESIDUALES DEL COMPLEJO TLAJOMULCO</v>
          </cell>
        </row>
        <row r="125">
          <cell r="A125" t="str">
            <v>C-232</v>
          </cell>
        </row>
        <row r="125">
          <cell r="C125" t="str">
            <v>TLAJOMULCO</v>
          </cell>
          <cell r="D125" t="str">
            <v>MANTENIMIENTO A INGRESO DE OFICINAS DE MANTENIMIENTO</v>
          </cell>
        </row>
        <row r="126">
          <cell r="A126" t="str">
            <v>C-234</v>
          </cell>
        </row>
        <row r="126">
          <cell r="C126" t="str">
            <v>TLAJOMULCO</v>
          </cell>
          <cell r="D126" t="str">
            <v>INCREMENTO DE CAPACIDAD POZO 7</v>
          </cell>
        </row>
        <row r="127">
          <cell r="A127" t="str">
            <v>C-244</v>
          </cell>
        </row>
        <row r="127">
          <cell r="C127" t="str">
            <v>ZONA IND</v>
          </cell>
          <cell r="D127" t="str">
            <v>ALMACÉN MP CALLE 6</v>
          </cell>
        </row>
        <row r="128">
          <cell r="A128" t="str">
            <v>C-247</v>
          </cell>
        </row>
        <row r="128">
          <cell r="C128" t="str">
            <v>EL COTO</v>
          </cell>
          <cell r="D128" t="str">
            <v>PÉRGOLA Y ASADORES EL COTO</v>
          </cell>
        </row>
        <row r="129">
          <cell r="A129" t="str">
            <v>C-249</v>
          </cell>
        </row>
        <row r="129">
          <cell r="C129" t="str">
            <v>TLAJOMULCO</v>
          </cell>
          <cell r="D129" t="str">
            <v>MANTENIMIENTO EDIFICIO B VIALES</v>
          </cell>
        </row>
        <row r="130">
          <cell r="A130" t="str">
            <v>C-255</v>
          </cell>
        </row>
        <row r="130">
          <cell r="C130" t="str">
            <v>ZONA INDUSTRIAL</v>
          </cell>
          <cell r="D130" t="str">
            <v>MUESTREO DE ESTÉRIL MATERIAS PRIMAS</v>
          </cell>
        </row>
        <row r="131">
          <cell r="A131" t="str">
            <v>C-256</v>
          </cell>
        </row>
        <row r="131">
          <cell r="C131" t="str">
            <v>AV ESPAÑA</v>
          </cell>
          <cell r="D131" t="str">
            <v>CONEXIÓN DE TRANSFORMADOR BODYLOGIC AV. ESPAÑA</v>
          </cell>
        </row>
        <row r="132">
          <cell r="A132" t="str">
            <v>C-258</v>
          </cell>
        </row>
        <row r="132">
          <cell r="C132" t="str">
            <v>TLAJOMULCO</v>
          </cell>
          <cell r="D132" t="str">
            <v>MANTENIMIENTO DE TUBERÍA DE AFORO PARA AGUA DE LAVANDERÍA</v>
          </cell>
        </row>
        <row r="133">
          <cell r="A133" t="str">
            <v>C-259</v>
          </cell>
        </row>
        <row r="133">
          <cell r="C133" t="str">
            <v>TLAJOMULCO</v>
          </cell>
          <cell r="D133" t="str">
            <v>OBRA CIVIL MEJORA INCUBACIÓN LABORATORIO EDIFICIO E</v>
          </cell>
        </row>
        <row r="134">
          <cell r="A134" t="str">
            <v>C-260</v>
          </cell>
        </row>
        <row r="134">
          <cell r="C134" t="str">
            <v>TLAJOMULCO</v>
          </cell>
          <cell r="D134" t="str">
            <v>OBRA CIVIL MEJORA LABORATORIO DE METROLOGÍA NAVE 5 EDIFICIO E</v>
          </cell>
        </row>
        <row r="135">
          <cell r="A135" t="str">
            <v>C-261</v>
          </cell>
        </row>
        <row r="135">
          <cell r="C135" t="str">
            <v>TLAJOMULCO</v>
          </cell>
          <cell r="D135" t="str">
            <v>OBRA CIVIL MEJORA ESTABILIDADES LABORATORIO EDIFICIO E</v>
          </cell>
        </row>
        <row r="136">
          <cell r="A136" t="str">
            <v>C-262</v>
          </cell>
        </row>
        <row r="136">
          <cell r="C136" t="str">
            <v>TLAJOMULCO</v>
          </cell>
          <cell r="D136" t="str">
            <v>MANTENIMIENTO DE FOSA PARA BÁSCULA EREMA</v>
          </cell>
        </row>
        <row r="137">
          <cell r="A137" t="str">
            <v>C-263</v>
          </cell>
        </row>
        <row r="137">
          <cell r="C137" t="str">
            <v>TLAJOMULCO</v>
          </cell>
          <cell r="D137" t="str">
            <v>MANTENIMIENTO EREMA PP</v>
          </cell>
        </row>
        <row r="138">
          <cell r="A138" t="str">
            <v>C-264</v>
          </cell>
        </row>
        <row r="138">
          <cell r="C138" t="str">
            <v>TLAJOMULCO</v>
          </cell>
          <cell r="D138" t="str">
            <v>INSTALACIÓN DE SISTEMA DE INSPECCIÓN DE FUGAS L2 EDIF A ELECTROLIT</v>
          </cell>
        </row>
        <row r="139">
          <cell r="A139" t="str">
            <v>C-265</v>
          </cell>
        </row>
        <row r="139">
          <cell r="C139" t="str">
            <v>TLAJOMULCO</v>
          </cell>
          <cell r="D139" t="str">
            <v>MEJORA RECUPERACIÓN DE BOLSA OVER LÍNEA 5</v>
          </cell>
        </row>
        <row r="140">
          <cell r="A140" t="str">
            <v>C-266</v>
          </cell>
        </row>
        <row r="140">
          <cell r="C140" t="str">
            <v>TLAJOMULCO</v>
          </cell>
          <cell r="D140" t="str">
            <v>MANTENIMIENTO DE LABORATORIO PRUEBAS DE ESTERILIDAD EDIFICIO E</v>
          </cell>
        </row>
        <row r="141">
          <cell r="A141" t="str">
            <v>C-267</v>
          </cell>
        </row>
        <row r="141">
          <cell r="C141" t="str">
            <v>ZONA INDUSTRIAL</v>
          </cell>
          <cell r="D141" t="str">
            <v>PASO DE GATO LABORATORIO</v>
          </cell>
        </row>
        <row r="142">
          <cell r="A142" t="str">
            <v>C-268</v>
          </cell>
        </row>
        <row r="142">
          <cell r="C142" t="str">
            <v>TLAJOMULCO</v>
          </cell>
          <cell r="D142" t="str">
            <v>SALA DE JUNTAS EN TALLERES DE MANTENIMIENTO EDIFICIO A</v>
          </cell>
        </row>
        <row r="143">
          <cell r="A143" t="str">
            <v>C-269</v>
          </cell>
        </row>
        <row r="143">
          <cell r="C143" t="str">
            <v>ZONA INDUSTRIAL</v>
          </cell>
          <cell r="D143" t="str">
            <v>REFORZAMIENTO DE LOSA ALMACÉN CALLE 6</v>
          </cell>
        </row>
        <row r="144">
          <cell r="A144" t="str">
            <v>C-270</v>
          </cell>
        </row>
        <row r="144">
          <cell r="C144" t="str">
            <v>TLAJOMULCO</v>
          </cell>
          <cell r="D144" t="str">
            <v>REJA TERRENO TECNAAL</v>
          </cell>
        </row>
        <row r="145">
          <cell r="A145" t="str">
            <v>C-271</v>
          </cell>
        </row>
        <row r="145">
          <cell r="C145" t="str">
            <v>TLAJOMULCO</v>
          </cell>
          <cell r="D145" t="str">
            <v>INSUMOS 4 EN MANZANA 3</v>
          </cell>
        </row>
        <row r="146">
          <cell r="A146" t="str">
            <v>C-272</v>
          </cell>
        </row>
        <row r="146">
          <cell r="D146" t="str">
            <v>JUAN FRANCISCO LÓPEZ GALINDO</v>
          </cell>
        </row>
        <row r="147">
          <cell r="A147" t="str">
            <v>C-273</v>
          </cell>
        </row>
        <row r="147">
          <cell r="C147" t="str">
            <v>TLAJOMULCO</v>
          </cell>
          <cell r="D147" t="str">
            <v>MANTENIMIENTO A PISO TÉCNICO DE RTN EDIFICIO E</v>
          </cell>
        </row>
        <row r="148">
          <cell r="A148" t="str">
            <v>C-274</v>
          </cell>
        </row>
        <row r="148">
          <cell r="C148" t="str">
            <v>PYMPSA</v>
          </cell>
          <cell r="D148" t="str">
            <v>CLORHEXIDINA TEJABANES</v>
          </cell>
        </row>
        <row r="149">
          <cell r="A149" t="str">
            <v>C-275</v>
          </cell>
        </row>
        <row r="149">
          <cell r="C149" t="str">
            <v>COAHUILA</v>
          </cell>
          <cell r="D149" t="str">
            <v>2 CABAÑAS</v>
          </cell>
        </row>
        <row r="150">
          <cell r="A150" t="str">
            <v>C-277</v>
          </cell>
        </row>
        <row r="150">
          <cell r="C150" t="str">
            <v>TLAJOMULCO</v>
          </cell>
          <cell r="D150" t="str">
            <v>NAVE DE PRODUCCIÓN 4 LÍNEA 10</v>
          </cell>
        </row>
        <row r="151">
          <cell r="A151" t="str">
            <v>C-278</v>
          </cell>
        </row>
        <row r="151">
          <cell r="C151" t="str">
            <v>PYMPSA</v>
          </cell>
          <cell r="D151" t="str">
            <v>CUARTO DE HORNOS PYMPSA</v>
          </cell>
        </row>
        <row r="152">
          <cell r="A152" t="str">
            <v>C-279</v>
          </cell>
        </row>
        <row r="152">
          <cell r="C152" t="str">
            <v>ZONA INDUSTRIAL</v>
          </cell>
          <cell r="D152" t="str">
            <v>SALIDA DE DESECHOS ALMACÉN PT</v>
          </cell>
        </row>
        <row r="153">
          <cell r="A153" t="str">
            <v>C-281</v>
          </cell>
        </row>
        <row r="153">
          <cell r="C153" t="str">
            <v>TAPALPA</v>
          </cell>
          <cell r="D153" t="str">
            <v>HUGO CUESTA</v>
          </cell>
        </row>
        <row r="154">
          <cell r="A154" t="str">
            <v>C-282</v>
          </cell>
        </row>
        <row r="154">
          <cell r="C154" t="str">
            <v>TEJABANES</v>
          </cell>
          <cell r="D154" t="str">
            <v>TRABAJOS DE DUROCK PARA PUENTE ESTRUCTURAL DE CASETA PPAL CDN</v>
          </cell>
        </row>
        <row r="155">
          <cell r="A155" t="str">
            <v>C-283</v>
          </cell>
        </row>
        <row r="155">
          <cell r="C155" t="str">
            <v>ZONA INDUSTRIAL</v>
          </cell>
          <cell r="D155" t="str">
            <v>SISTEMA DE GENERACIÓN DE AGUA PURIFICADA</v>
          </cell>
        </row>
        <row r="156">
          <cell r="A156" t="str">
            <v>C-284</v>
          </cell>
        </row>
        <row r="156">
          <cell r="C156" t="str">
            <v>TLAJOMULCO</v>
          </cell>
          <cell r="D156" t="str">
            <v>ADECUACIÓN DE OBRA CIVIL EN NAVE DE SERVICIOS EDIFICIO C</v>
          </cell>
        </row>
        <row r="157">
          <cell r="A157" t="str">
            <v>C-285</v>
          </cell>
        </row>
        <row r="157">
          <cell r="C157" t="str">
            <v>ZONA INDUSTRIAL</v>
          </cell>
          <cell r="D157" t="str">
            <v>LÍNEA 3 Y 4 AMPOLLETAS VIDRIO CALLE 6</v>
          </cell>
        </row>
        <row r="158">
          <cell r="A158" t="str">
            <v>C-290</v>
          </cell>
        </row>
        <row r="158">
          <cell r="C158" t="str">
            <v>TLAJOMULCO</v>
          </cell>
          <cell r="D158" t="str">
            <v>PROYECTO REMEDIACIÓN HVAC LÍNEAS BOLSAS EDIFICIO A</v>
          </cell>
        </row>
        <row r="159">
          <cell r="A159" t="str">
            <v>C-292</v>
          </cell>
        </row>
        <row r="159">
          <cell r="C159" t="str">
            <v>ZONA INDUSTRIAL</v>
          </cell>
          <cell r="D159" t="str">
            <v>BASE REACTOR GALBER</v>
          </cell>
        </row>
        <row r="160">
          <cell r="A160" t="str">
            <v>C-294</v>
          </cell>
        </row>
        <row r="160">
          <cell r="C160" t="str">
            <v>TLAJOMULCO</v>
          </cell>
          <cell r="D160" t="str">
            <v>AMPLIACIÓN LABORATORIO CONTROL ANALÍTICO</v>
          </cell>
        </row>
        <row r="161">
          <cell r="A161" t="str">
            <v>C-295</v>
          </cell>
        </row>
        <row r="161">
          <cell r="C161" t="str">
            <v>TLAJOMULCO</v>
          </cell>
          <cell r="D161" t="str">
            <v>CDN 2 PISA TLAJOMULCO</v>
          </cell>
        </row>
        <row r="162">
          <cell r="A162" t="str">
            <v>C-296</v>
          </cell>
        </row>
        <row r="162">
          <cell r="C162" t="str">
            <v>ZONA INDUSTRIAL</v>
          </cell>
          <cell r="D162" t="str">
            <v>BAÑOS DE PASILLO INGENIERÍA</v>
          </cell>
        </row>
        <row r="163">
          <cell r="A163" t="str">
            <v>C-297</v>
          </cell>
        </row>
        <row r="163">
          <cell r="C163" t="str">
            <v>TLAJOMULCO</v>
          </cell>
          <cell r="D163" t="str">
            <v>PLANTA DE TAPAS</v>
          </cell>
        </row>
        <row r="164">
          <cell r="A164" t="str">
            <v>C-298</v>
          </cell>
        </row>
        <row r="164">
          <cell r="C164" t="str">
            <v>ZONA INDUSTRIAL</v>
          </cell>
          <cell r="D164" t="str">
            <v>REGISTROS PARA CONTADORES DE PARTÍCULAS</v>
          </cell>
        </row>
        <row r="165">
          <cell r="A165" t="str">
            <v>C-299</v>
          </cell>
        </row>
        <row r="165">
          <cell r="C165" t="str">
            <v>TEJABANES</v>
          </cell>
          <cell r="D165" t="str">
            <v>OFICINAS NAVE 14 PARQUE CAB</v>
          </cell>
        </row>
        <row r="166">
          <cell r="A166" t="str">
            <v>C-300</v>
          </cell>
        </row>
        <row r="166">
          <cell r="C166" t="str">
            <v>TAPALPA ( FERNANDO SOLÍS )</v>
          </cell>
          <cell r="D166" t="str">
            <v>LOTE D y E OLMOS</v>
          </cell>
        </row>
        <row r="167">
          <cell r="A167" t="str">
            <v>C-301</v>
          </cell>
        </row>
        <row r="167">
          <cell r="C167" t="str">
            <v>TLAJOMULCO</v>
          </cell>
          <cell r="D167" t="str">
            <v>PLANTA DE TRATAMIENTO DE AGUAS RESIDUALES 24 LTS</v>
          </cell>
        </row>
        <row r="168">
          <cell r="A168" t="str">
            <v>C-302</v>
          </cell>
        </row>
        <row r="168">
          <cell r="C168" t="str">
            <v>ZONA INDUSTRIAL</v>
          </cell>
          <cell r="D168" t="str">
            <v>OFICINA DE INGENIERÍA DE PROYECTOS</v>
          </cell>
        </row>
        <row r="169">
          <cell r="A169" t="str">
            <v>C-303</v>
          </cell>
        </row>
        <row r="169">
          <cell r="C169" t="str">
            <v>TLAJOMULCO</v>
          </cell>
          <cell r="D169" t="str">
            <v>NAVE 5 DE PRODUCCIÓN M3 LÍNEA 11 ELECTROLIT</v>
          </cell>
        </row>
        <row r="170">
          <cell r="A170" t="str">
            <v>C-304</v>
          </cell>
        </row>
        <row r="170">
          <cell r="C170" t="str">
            <v>TLAJOMULCO</v>
          </cell>
          <cell r="D170" t="str">
            <v>OI PARA OBRA CIVIL ESTABILIDADES</v>
          </cell>
        </row>
        <row r="171">
          <cell r="A171" t="str">
            <v>C-305</v>
          </cell>
        </row>
        <row r="171">
          <cell r="C171" t="str">
            <v>TAPALPA</v>
          </cell>
          <cell r="D171" t="str">
            <v>ANTIGUO CAMINO A FERRERÍA</v>
          </cell>
        </row>
        <row r="172">
          <cell r="A172" t="str">
            <v>C-307</v>
          </cell>
        </row>
        <row r="172">
          <cell r="C172" t="str">
            <v>TLAJOMULCO</v>
          </cell>
          <cell r="D172" t="str">
            <v>CONSTRUCCIÓN DE ANDÉN ASRS</v>
          </cell>
        </row>
        <row r="173">
          <cell r="A173" t="str">
            <v>C-308</v>
          </cell>
        </row>
        <row r="173">
          <cell r="C173" t="str">
            <v>TLAJOMULCO</v>
          </cell>
          <cell r="D173" t="str">
            <v>PROYECTO PUNTOS DE REUNIÓN</v>
          </cell>
        </row>
        <row r="174">
          <cell r="A174" t="str">
            <v>C-309</v>
          </cell>
        </row>
        <row r="174">
          <cell r="C174" t="str">
            <v>TLAJOMULCO</v>
          </cell>
          <cell r="D174" t="str">
            <v>ALMACÉN PT5 ONCOLÓGICOS</v>
          </cell>
        </row>
        <row r="175">
          <cell r="A175" t="str">
            <v>C-310</v>
          </cell>
        </row>
        <row r="175">
          <cell r="C175" t="str">
            <v>ZONA INDUSTRIAL</v>
          </cell>
          <cell r="D175" t="str">
            <v>ADECUACIÓN CUARTO DE SUB-ESTACIÓN</v>
          </cell>
        </row>
        <row r="176">
          <cell r="A176" t="str">
            <v>C-311</v>
          </cell>
        </row>
        <row r="176">
          <cell r="C176" t="str">
            <v>ZONA INDUSTRIAL</v>
          </cell>
          <cell r="D176" t="str">
            <v>PLATAFORMA PARA CUARTO ELÉCTRICO</v>
          </cell>
        </row>
        <row r="177">
          <cell r="A177" t="str">
            <v>C-312</v>
          </cell>
        </row>
        <row r="177">
          <cell r="C177" t="str">
            <v>ZONA INDUSTRIAL</v>
          </cell>
          <cell r="D177" t="str">
            <v>ARREGLO DE BANQUETAS Y VÍAS DEL TREN CALLE 7</v>
          </cell>
        </row>
        <row r="178">
          <cell r="A178" t="str">
            <v>C-313</v>
          </cell>
        </row>
        <row r="178">
          <cell r="C178" t="str">
            <v>ZONA INDUSTRIAL</v>
          </cell>
          <cell r="D178" t="str">
            <v>REMEDIACIÓN DE SOLUCIONES ORALES</v>
          </cell>
        </row>
        <row r="179">
          <cell r="A179" t="str">
            <v>C-314</v>
          </cell>
        </row>
        <row r="179">
          <cell r="C179" t="str">
            <v>LA ALAMEDA</v>
          </cell>
          <cell r="D179" t="str">
            <v>PARQUE INDUSTRIAL LA ALAMEDA</v>
          </cell>
        </row>
        <row r="180">
          <cell r="A180" t="str">
            <v>C-315</v>
          </cell>
        </row>
        <row r="180">
          <cell r="C180" t="str">
            <v>TLAJOMULCO</v>
          </cell>
          <cell r="D180" t="str">
            <v>REMODELACIÓN OFICINAS BODYLOGIC</v>
          </cell>
        </row>
        <row r="181">
          <cell r="A181" t="str">
            <v>C-316</v>
          </cell>
        </row>
        <row r="181">
          <cell r="C181" t="str">
            <v>JALES ESTEBAN ÁLVAREZ VEGA</v>
          </cell>
          <cell r="D181" t="str">
            <v>TERRAZA Y ALBERCA</v>
          </cell>
        </row>
        <row r="182">
          <cell r="A182" t="str">
            <v>C-317</v>
          </cell>
        </row>
        <row r="182">
          <cell r="C182" t="str">
            <v>CLUB ATLAS COLOMOS</v>
          </cell>
          <cell r="D182" t="str">
            <v>CASA HABITACIÓN DIEGO VILLASEÑOR</v>
          </cell>
        </row>
        <row r="183">
          <cell r="A183" t="str">
            <v>C-318</v>
          </cell>
        </row>
        <row r="183">
          <cell r="C183" t="str">
            <v>TAPALPA</v>
          </cell>
          <cell r="D183" t="str">
            <v>JUAN CARLOS ÁLVAREZ LA ESTRELLA</v>
          </cell>
        </row>
        <row r="184">
          <cell r="A184" t="str">
            <v>C-321</v>
          </cell>
        </row>
        <row r="184">
          <cell r="C184" t="str">
            <v>TLAJOMULCO</v>
          </cell>
          <cell r="D184" t="str">
            <v>AMPLIACIÓN DE OFICINAS DE CALIDAD EN NAVE 4 EDIFICIO A</v>
          </cell>
        </row>
        <row r="185">
          <cell r="A185" t="str">
            <v>C-322</v>
          </cell>
        </row>
        <row r="185">
          <cell r="C185" t="str">
            <v>TLAJOMULCO</v>
          </cell>
          <cell r="D185" t="str">
            <v>TALLER DE MOLDES PARA HUSKY EDIFICIO A, E y C</v>
          </cell>
        </row>
        <row r="186">
          <cell r="A186" t="str">
            <v>C-325</v>
          </cell>
        </row>
        <row r="186">
          <cell r="C186" t="str">
            <v>TLAJOMULCO</v>
          </cell>
          <cell r="D186" t="str">
            <v>ALMACÉN DE EQUIPOS EDF</v>
          </cell>
        </row>
        <row r="187">
          <cell r="A187" t="str">
            <v>C-326</v>
          </cell>
        </row>
        <row r="187">
          <cell r="C187" t="str">
            <v>TLAJOMULCO</v>
          </cell>
          <cell r="D187" t="str">
            <v>ARCHIVO REGULATORIO EDIFICIO E</v>
          </cell>
        </row>
        <row r="188">
          <cell r="A188" t="str">
            <v>C-327</v>
          </cell>
        </row>
        <row r="188">
          <cell r="C188" t="str">
            <v>TLAJOMULCO</v>
          </cell>
          <cell r="D188" t="str">
            <v>ALMACÉN DE PT4 y PT5 Y SALAS DE PESADOS</v>
          </cell>
        </row>
        <row r="189">
          <cell r="A189" t="str">
            <v>C-329</v>
          </cell>
        </row>
        <row r="189">
          <cell r="C189" t="str">
            <v>TLAJOMULCO</v>
          </cell>
          <cell r="D189" t="str">
            <v>PLANTA PILOTO</v>
          </cell>
        </row>
        <row r="190">
          <cell r="A190" t="str">
            <v>C-330</v>
          </cell>
        </row>
        <row r="190">
          <cell r="C190" t="str">
            <v>TLAJOMULCO</v>
          </cell>
          <cell r="D190" t="str">
            <v>ADECUACIONES OBRA CIVIL PASILLOS ISO 9 AGROPECUARIA</v>
          </cell>
        </row>
        <row r="191">
          <cell r="A191" t="str">
            <v>C-331</v>
          </cell>
        </row>
        <row r="191">
          <cell r="C191" t="str">
            <v>ZONA INDUSTRIAL</v>
          </cell>
          <cell r="D191" t="str">
            <v>ACONDICIONADO AV L-2</v>
          </cell>
        </row>
        <row r="192">
          <cell r="A192" t="str">
            <v>C-332</v>
          </cell>
        </row>
        <row r="192">
          <cell r="C192" t="str">
            <v>TLAJOMULCO</v>
          </cell>
          <cell r="D192" t="str">
            <v>REDUCCIÓN RIESGOS NORMATIVOS LIOFILIZADOS NO ONCOLÓGICOS</v>
          </cell>
        </row>
        <row r="193">
          <cell r="A193" t="str">
            <v>C-333</v>
          </cell>
        </row>
        <row r="193">
          <cell r="C193" t="str">
            <v>ALCOLAHUAS 3467 FRACCIONAMIENTO MONRAZ, GUADALAJARA, JALISCO CP 44670</v>
          </cell>
          <cell r="D193" t="str">
            <v>CASA MONRAZ</v>
          </cell>
        </row>
        <row r="194">
          <cell r="A194" t="str">
            <v>C-334</v>
          </cell>
        </row>
        <row r="194">
          <cell r="C194" t="str">
            <v>TLAJOMULCO</v>
          </cell>
          <cell r="D194" t="str">
            <v>CANCHA DE PADEL ENRIQUE PARTIDA</v>
          </cell>
        </row>
        <row r="195">
          <cell r="A195" t="str">
            <v>C-335</v>
          </cell>
        </row>
        <row r="195">
          <cell r="C195" t="str">
            <v>TEJABANES</v>
          </cell>
          <cell r="D195" t="str">
            <v>OFICINAS ( NAVE A ) ÁLAMO PARK</v>
          </cell>
        </row>
        <row r="196">
          <cell r="A196" t="str">
            <v>C-336</v>
          </cell>
        </row>
        <row r="196">
          <cell r="C196" t="str">
            <v>ZONA INDUSTRIAL</v>
          </cell>
          <cell r="D196" t="str">
            <v>ALMACÉN DE CALLE 6</v>
          </cell>
        </row>
        <row r="197">
          <cell r="A197" t="str">
            <v>C-339</v>
          </cell>
        </row>
        <row r="197">
          <cell r="C197" t="str">
            <v>LA LLAVE L-38</v>
          </cell>
          <cell r="D197" t="str">
            <v>LA LLAVE L-38</v>
          </cell>
        </row>
        <row r="198">
          <cell r="A198" t="str">
            <v>C-340</v>
          </cell>
        </row>
        <row r="198">
          <cell r="C198" t="str">
            <v>LA LLAVE L-40</v>
          </cell>
          <cell r="D198" t="str">
            <v>LA LLAVE L-40</v>
          </cell>
        </row>
        <row r="199">
          <cell r="A199" t="str">
            <v>C-341</v>
          </cell>
        </row>
        <row r="199">
          <cell r="C199" t="str">
            <v>ZONA INDUSTRIAL</v>
          </cell>
          <cell r="D199" t="str">
            <v>DRENAJES TANQUES 100,000 CALLE 6</v>
          </cell>
        </row>
        <row r="200">
          <cell r="A200" t="str">
            <v>C-342</v>
          </cell>
        </row>
        <row r="200">
          <cell r="C200" t="str">
            <v>TLAJOMULCO</v>
          </cell>
          <cell r="D200" t="str">
            <v>LÍNEA DE VIALES 3 EN EDIFICIO B</v>
          </cell>
        </row>
        <row r="201">
          <cell r="A201" t="str">
            <v>C-343</v>
          </cell>
        </row>
        <row r="201">
          <cell r="C201" t="str">
            <v>ZONA INDUSTRIAL</v>
          </cell>
          <cell r="D201" t="str">
            <v>DEMOLICIONES AMPOLLETAS PLÁSTICO</v>
          </cell>
        </row>
        <row r="202">
          <cell r="A202" t="str">
            <v>C-344</v>
          </cell>
        </row>
        <row r="202">
          <cell r="C202" t="str">
            <v>TLAJOMULCO</v>
          </cell>
          <cell r="D202" t="str">
            <v>INSUMOS 5 EN MANZANA 3</v>
          </cell>
        </row>
        <row r="203">
          <cell r="A203" t="str">
            <v>C-345</v>
          </cell>
        </row>
        <row r="203">
          <cell r="C203" t="str">
            <v>TEJABANES</v>
          </cell>
          <cell r="D203" t="str">
            <v>DIVISIÓN IARE/TECNOMED CDN ÁLAMO</v>
          </cell>
        </row>
        <row r="204">
          <cell r="A204" t="str">
            <v>C-347</v>
          </cell>
        </row>
        <row r="204">
          <cell r="C204" t="str">
            <v>ZONA INDUSTRIAL</v>
          </cell>
          <cell r="D204" t="str">
            <v>MEZANINNE 2DO NIVEL</v>
          </cell>
        </row>
        <row r="205">
          <cell r="A205" t="str">
            <v>C-348</v>
          </cell>
        </row>
        <row r="205">
          <cell r="C205" t="str">
            <v>ZONA INDUSTRIAL</v>
          </cell>
          <cell r="D205" t="str">
            <v>PERFORACIÓN DE POZO 10 JARDÍN CENTRAL</v>
          </cell>
        </row>
        <row r="206">
          <cell r="A206" t="str">
            <v>C-349</v>
          </cell>
        </row>
        <row r="206">
          <cell r="C206" t="str">
            <v>PYMPSA</v>
          </cell>
          <cell r="D206" t="str">
            <v>ACCESO TALLER DE TORNO PYMPSA</v>
          </cell>
        </row>
        <row r="207">
          <cell r="A207" t="str">
            <v>C-350</v>
          </cell>
        </row>
        <row r="207">
          <cell r="C207" t="str">
            <v>TLAJOMULCO</v>
          </cell>
          <cell r="D207" t="str">
            <v>ALMACÉN DE MATERIALES 04</v>
          </cell>
        </row>
        <row r="208">
          <cell r="A208" t="str">
            <v>C-352</v>
          </cell>
        </row>
        <row r="208">
          <cell r="C208" t="str">
            <v>TLAJOMULCO</v>
          </cell>
          <cell r="D208" t="str">
            <v>NAVE DE SERVICIOS 2 MZ3</v>
          </cell>
        </row>
        <row r="209">
          <cell r="A209" t="str">
            <v>C-354</v>
          </cell>
        </row>
        <row r="209">
          <cell r="C209" t="str">
            <v>TLAJOMULCO</v>
          </cell>
          <cell r="D209" t="str">
            <v>AUTOCLAVES DE DESECHO DE LABORATORIOS DE MICROBIOLOGÍA EDIF A y E</v>
          </cell>
        </row>
        <row r="210">
          <cell r="A210" t="str">
            <v>C-355</v>
          </cell>
        </row>
        <row r="210">
          <cell r="C210" t="str">
            <v>TLAJOMULCO</v>
          </cell>
          <cell r="D210" t="str">
            <v>PROYECTO BARDA PERIMETRAL</v>
          </cell>
        </row>
        <row r="211">
          <cell r="A211" t="str">
            <v>C-356</v>
          </cell>
        </row>
        <row r="211">
          <cell r="C211" t="str">
            <v>TLAJOMULCO</v>
          </cell>
          <cell r="D211" t="str">
            <v>REVISIÓN AV3</v>
          </cell>
        </row>
        <row r="212">
          <cell r="A212" t="str">
            <v>C-357</v>
          </cell>
        </row>
        <row r="212">
          <cell r="C212" t="str">
            <v>ZONA INDUSTRIAL</v>
          </cell>
          <cell r="D212" t="str">
            <v>CONTENEDORES DE SUB-ESTACIONES</v>
          </cell>
        </row>
        <row r="213">
          <cell r="A213" t="str">
            <v>C-363</v>
          </cell>
        </row>
        <row r="213">
          <cell r="C213" t="str">
            <v>CORPORATIVO BELENES</v>
          </cell>
          <cell r="D213" t="str">
            <v>NAVES FLOR DE CÓRDOBA</v>
          </cell>
        </row>
        <row r="214">
          <cell r="A214" t="str">
            <v>C-364</v>
          </cell>
        </row>
        <row r="214">
          <cell r="C214" t="str">
            <v>ACAPULCO</v>
          </cell>
          <cell r="D214" t="str">
            <v>RADEC ACAPULCO</v>
          </cell>
        </row>
        <row r="215">
          <cell r="A215" t="str">
            <v>C-365</v>
          </cell>
        </row>
        <row r="215">
          <cell r="C215" t="str">
            <v>TLAJOMULCO</v>
          </cell>
          <cell r="D215" t="str">
            <v>PLANTA DE ACONDICIONADO FORMAS SÓLIDAS ( BAJO VOLUMEN )</v>
          </cell>
        </row>
        <row r="216">
          <cell r="A216" t="str">
            <v>C-366</v>
          </cell>
        </row>
        <row r="216">
          <cell r="C216" t="str">
            <v>TLAJOMULCO</v>
          </cell>
          <cell r="D216" t="str">
            <v>NAVE DE PRODUCCIÓN 6 LÍNEA 12</v>
          </cell>
        </row>
        <row r="217">
          <cell r="A217" t="str">
            <v>C-367</v>
          </cell>
        </row>
        <row r="217">
          <cell r="C217" t="str">
            <v>TESISTÁN</v>
          </cell>
          <cell r="D217" t="str">
            <v>FRACCIONAMIENTO TESISTÁN</v>
          </cell>
        </row>
        <row r="218">
          <cell r="A218" t="str">
            <v>C-368</v>
          </cell>
        </row>
        <row r="218">
          <cell r="C218" t="str">
            <v>TLAJOMULCO</v>
          </cell>
          <cell r="D218" t="str">
            <v>TRABAJOS ESCLUSA MICROBIOLOGÍA EDIF A</v>
          </cell>
        </row>
        <row r="219">
          <cell r="A219" t="str">
            <v>C-371</v>
          </cell>
        </row>
        <row r="219">
          <cell r="C219" t="str">
            <v>TEJABANES</v>
          </cell>
          <cell r="D219" t="str">
            <v>EQUIPOS BIOMÉDICOS</v>
          </cell>
        </row>
        <row r="220">
          <cell r="A220" t="str">
            <v>C-372</v>
          </cell>
        </row>
        <row r="220">
          <cell r="C220" t="str">
            <v>ZONA INDUSTRIAL</v>
          </cell>
          <cell r="D220" t="str">
            <v>RAMPA SALIDA DE DESECHOS BIOTECNOLÓGICOS</v>
          </cell>
        </row>
        <row r="221">
          <cell r="A221" t="str">
            <v>C-374</v>
          </cell>
        </row>
        <row r="221">
          <cell r="C221" t="str">
            <v>AVANT</v>
          </cell>
          <cell r="D221" t="str">
            <v>NAVE 4 PARQUE AVANT</v>
          </cell>
        </row>
        <row r="222">
          <cell r="A222" t="str">
            <v>C-375</v>
          </cell>
        </row>
        <row r="222">
          <cell r="C222" t="str">
            <v>RADEC ACATLÁN</v>
          </cell>
          <cell r="D222" t="str">
            <v>CEDIS RADEC 2</v>
          </cell>
        </row>
        <row r="223">
          <cell r="A223" t="str">
            <v>C-377</v>
          </cell>
        </row>
        <row r="223">
          <cell r="C223" t="str">
            <v>ZONA INDUSTRIAL</v>
          </cell>
          <cell r="D223" t="str">
            <v>TRABAJOS MANTENIMIENTO PLATAFORMA TORRES DE ENFRIAMIENTO</v>
          </cell>
        </row>
        <row r="224">
          <cell r="A224" t="str">
            <v>C-378</v>
          </cell>
        </row>
        <row r="224">
          <cell r="C224" t="str">
            <v>SAN JUAN DE ALIMA</v>
          </cell>
          <cell r="D224" t="str">
            <v>REPARACIÓN TEMBLOR STELLA MARIS</v>
          </cell>
        </row>
        <row r="225">
          <cell r="A225" t="str">
            <v>C-379</v>
          </cell>
        </row>
        <row r="225">
          <cell r="C225" t="str">
            <v>SAN JUAN DE ALIMA</v>
          </cell>
          <cell r="D225" t="str">
            <v>REPARACIÓN TEMBLOR VILLA</v>
          </cell>
        </row>
        <row r="226">
          <cell r="A226" t="str">
            <v>C-380</v>
          </cell>
        </row>
        <row r="226">
          <cell r="C226" t="str">
            <v>SAN JUAN DE ALIMA</v>
          </cell>
          <cell r="D226" t="str">
            <v>REPARACIÓN TEMBLOR JUAN CARLOS</v>
          </cell>
        </row>
        <row r="227">
          <cell r="A227" t="str">
            <v>C-381</v>
          </cell>
        </row>
        <row r="227">
          <cell r="C227" t="str">
            <v>SAN JUAN DE ALIMA</v>
          </cell>
          <cell r="D227" t="str">
            <v>REPARACIÓN TEMBLOR ESTEBAN ÁLVAREZ</v>
          </cell>
        </row>
        <row r="228">
          <cell r="A228" t="str">
            <v>C-382</v>
          </cell>
        </row>
        <row r="228">
          <cell r="C228" t="str">
            <v>TLAJOMULCO</v>
          </cell>
          <cell r="D228" t="str">
            <v>CDN 3 PISA TLAJOMULCO</v>
          </cell>
        </row>
        <row r="229">
          <cell r="A229" t="str">
            <v>C-383</v>
          </cell>
        </row>
        <row r="229">
          <cell r="C229" t="str">
            <v>TLAJOMULCO</v>
          </cell>
          <cell r="D229" t="str">
            <v>SEGREGACIÓN PISA GLOBAL</v>
          </cell>
        </row>
        <row r="230">
          <cell r="A230" t="str">
            <v>C-384</v>
          </cell>
        </row>
        <row r="230">
          <cell r="C230" t="str">
            <v>ZAPOPAN</v>
          </cell>
          <cell r="D230" t="str">
            <v>MIXTÓN 18</v>
          </cell>
        </row>
        <row r="231">
          <cell r="A231" t="str">
            <v>C-385</v>
          </cell>
        </row>
        <row r="231">
          <cell r="C231" t="str">
            <v>SAN JUAN DE ALIMA</v>
          </cell>
          <cell r="D231" t="str">
            <v>BUNGALOWS STELLA MARIS TEMBLOR</v>
          </cell>
        </row>
        <row r="232">
          <cell r="A232" t="str">
            <v>C-386</v>
          </cell>
        </row>
        <row r="232">
          <cell r="C232" t="str">
            <v>TLAJOMULCO</v>
          </cell>
          <cell r="D232" t="str">
            <v>ALMACÉN DE MATERIALES 5 EN MANZANA 3</v>
          </cell>
        </row>
        <row r="233">
          <cell r="A233" t="str">
            <v>C-387</v>
          </cell>
        </row>
        <row r="233">
          <cell r="C233" t="str">
            <v>COLIMA</v>
          </cell>
          <cell r="D233" t="str">
            <v>AMPLIACIÓN SANEFRO COLIMA</v>
          </cell>
        </row>
        <row r="234">
          <cell r="A234" t="str">
            <v>C-388</v>
          </cell>
        </row>
        <row r="234">
          <cell r="C234" t="str">
            <v>ÁLAMO INDUSTRIAL</v>
          </cell>
          <cell r="D234" t="str">
            <v>CAMBIO DE RAMPAS NIVELADORAS AMSA </v>
          </cell>
        </row>
        <row r="235">
          <cell r="A235" t="str">
            <v>C-389</v>
          </cell>
        </row>
        <row r="235">
          <cell r="C235" t="str">
            <v>COLINAS DE SAN JAVIER</v>
          </cell>
          <cell r="D235" t="str">
            <v>PASEO DEL TORREÓN</v>
          </cell>
        </row>
        <row r="236">
          <cell r="A236" t="str">
            <v>C-390</v>
          </cell>
        </row>
        <row r="236">
          <cell r="C236" t="str">
            <v>COUNTRY</v>
          </cell>
          <cell r="D236" t="str">
            <v>DEPARTAMENTO OTTAWA</v>
          </cell>
        </row>
        <row r="237">
          <cell r="A237" t="str">
            <v>C-391</v>
          </cell>
        </row>
        <row r="237">
          <cell r="C237" t="str">
            <v>ZONA INDUSTRIAL</v>
          </cell>
          <cell r="D237" t="str">
            <v>TRABAJO DE REMODELACIÓN EN OFICINAS DE ABASTECIMIENTO</v>
          </cell>
        </row>
        <row r="238">
          <cell r="A238" t="str">
            <v>C-392</v>
          </cell>
        </row>
        <row r="238">
          <cell r="C238" t="str">
            <v>TIJUANA</v>
          </cell>
          <cell r="D238" t="str">
            <v>AMPLIACIÓN SANEFRO TIJUANA 2022</v>
          </cell>
        </row>
        <row r="239">
          <cell r="A239" t="str">
            <v>C-393</v>
          </cell>
        </row>
        <row r="239">
          <cell r="C239" t="str">
            <v>MANZANILLO</v>
          </cell>
          <cell r="D239" t="str">
            <v>MANTENIMIENTO SANEFRO MANZANILLO</v>
          </cell>
        </row>
        <row r="240">
          <cell r="A240" t="str">
            <v>C-395</v>
          </cell>
        </row>
        <row r="240">
          <cell r="C240" t="str">
            <v>SANEFRO VENEZUELA</v>
          </cell>
          <cell r="D240" t="str">
            <v>TARJAS INOXIDABLE SANEFRO</v>
          </cell>
        </row>
        <row r="241">
          <cell r="A241" t="str">
            <v>C-396</v>
          </cell>
        </row>
        <row r="241">
          <cell r="C241" t="str">
            <v>TLAJOMULCO</v>
          </cell>
          <cell r="D241" t="str">
            <v>REMEDIACIÓN DE SALAS DE PESADO EDIFICIO E</v>
          </cell>
        </row>
        <row r="242">
          <cell r="A242" t="str">
            <v>C-397</v>
          </cell>
        </row>
        <row r="242">
          <cell r="C242" t="str">
            <v>ZONA INDUSTRIAL</v>
          </cell>
          <cell r="D242" t="str">
            <v>EVENTO PISA</v>
          </cell>
        </row>
        <row r="243">
          <cell r="A243" t="str">
            <v>C-398</v>
          </cell>
        </row>
        <row r="243">
          <cell r="C243" t="str">
            <v>AV FRANCIA</v>
          </cell>
          <cell r="D243" t="str">
            <v>PUERTA DE EMERGENCIA PISA AGROPECUARIA</v>
          </cell>
        </row>
        <row r="244">
          <cell r="A244" t="str">
            <v>C-399</v>
          </cell>
        </row>
        <row r="244">
          <cell r="C244" t="str">
            <v>ZONA INDUSTRIAL</v>
          </cell>
          <cell r="D244" t="str">
            <v>LÍNEA AV7 AMPOLLETAS</v>
          </cell>
        </row>
        <row r="245">
          <cell r="A245" t="str">
            <v>C-400</v>
          </cell>
        </row>
        <row r="245">
          <cell r="C245" t="str">
            <v>TLAJOMULCO</v>
          </cell>
          <cell r="D245" t="str">
            <v>REUBICACIÓN DE RANCHO LA STELLA</v>
          </cell>
        </row>
        <row r="246">
          <cell r="A246" t="str">
            <v>C-401</v>
          </cell>
        </row>
        <row r="246">
          <cell r="C246" t="str">
            <v>TLAJOMULCO</v>
          </cell>
          <cell r="D246" t="str">
            <v>PROYECTO URBANIZACIÓN</v>
          </cell>
        </row>
        <row r="247">
          <cell r="A247" t="str">
            <v>C-402</v>
          </cell>
        </row>
        <row r="247">
          <cell r="C247" t="str">
            <v>PYMPSA</v>
          </cell>
          <cell r="D247" t="str">
            <v>REMEDIACIÓN ÁREAS PYMPSA</v>
          </cell>
        </row>
        <row r="248">
          <cell r="A248" t="str">
            <v>C-403</v>
          </cell>
        </row>
        <row r="248">
          <cell r="C248" t="str">
            <v>PYMPSA</v>
          </cell>
          <cell r="D248" t="str">
            <v>ADECUACIONES AZOTEA SUB-ESTACIÓN PYMPSA</v>
          </cell>
        </row>
        <row r="249">
          <cell r="A249" t="str">
            <v>C-404</v>
          </cell>
        </row>
        <row r="249">
          <cell r="C249" t="str">
            <v>ATOTONILCO</v>
          </cell>
          <cell r="D249" t="str">
            <v>CASA HÉCTOR GALINDO</v>
          </cell>
        </row>
        <row r="250">
          <cell r="A250" t="str">
            <v>C-405</v>
          </cell>
        </row>
        <row r="250">
          <cell r="C250" t="str">
            <v>PARQUE CAB</v>
          </cell>
          <cell r="D250" t="str">
            <v>OFICINAS NAVE 5</v>
          </cell>
        </row>
        <row r="251">
          <cell r="A251" t="str">
            <v>C-406</v>
          </cell>
        </row>
        <row r="251">
          <cell r="C251" t="str">
            <v>ZONA INDUSTRIAL</v>
          </cell>
          <cell r="D251" t="str">
            <v>LOSA ENTREPISO ANDÉN PENICILÍNICOS</v>
          </cell>
        </row>
        <row r="252">
          <cell r="A252" t="str">
            <v>C-407</v>
          </cell>
        </row>
        <row r="252">
          <cell r="C252" t="str">
            <v>ZONA INDUSTRIAL</v>
          </cell>
          <cell r="D252" t="str">
            <v>LAVANDERÍA PENICILÍNICOS</v>
          </cell>
        </row>
        <row r="253">
          <cell r="A253" t="str">
            <v>C-408</v>
          </cell>
        </row>
        <row r="253">
          <cell r="C253" t="str">
            <v>ZONA INDUSTRIAL</v>
          </cell>
          <cell r="D253" t="str">
            <v>CUARTO DE MUESTREO PLANTA BAJA PENICILÍNICOS</v>
          </cell>
        </row>
        <row r="254">
          <cell r="A254" t="str">
            <v>C-409</v>
          </cell>
        </row>
        <row r="254">
          <cell r="C254" t="str">
            <v>INDUSTRIAL</v>
          </cell>
          <cell r="D254" t="str">
            <v>SALA DE PESADOS PENICILÍNICOS 1ER NIVEL</v>
          </cell>
        </row>
        <row r="255">
          <cell r="A255" t="str">
            <v>C-412</v>
          </cell>
        </row>
        <row r="255">
          <cell r="C255" t="str">
            <v>TLAJOMULCO</v>
          </cell>
          <cell r="D255" t="str">
            <v>PATIO DE MANIOBRAS DE ANDÉN # 9 ASRS</v>
          </cell>
        </row>
        <row r="256">
          <cell r="A256" t="str">
            <v>C-413</v>
          </cell>
        </row>
        <row r="256">
          <cell r="C256" t="str">
            <v>COAHUILA</v>
          </cell>
          <cell r="D256" t="str">
            <v>MANTENIMIENTO 2023 RANCHO EL BONITO</v>
          </cell>
        </row>
        <row r="257">
          <cell r="A257" t="str">
            <v>C-414</v>
          </cell>
        </row>
        <row r="257">
          <cell r="C257" t="str">
            <v>TLAJOMULCO</v>
          </cell>
          <cell r="D257" t="str">
            <v>INCREMENTO DE CAPACIDAD NAVE 3</v>
          </cell>
        </row>
        <row r="258">
          <cell r="A258" t="str">
            <v>C-415</v>
          </cell>
        </row>
        <row r="258">
          <cell r="C258" t="str">
            <v>TLAJOMULCO</v>
          </cell>
          <cell r="D258" t="str">
            <v>MEJORA DE MEZANINNE LÍNEA 9 Y LÍNEA 10</v>
          </cell>
        </row>
        <row r="259">
          <cell r="A259" t="str">
            <v>C-416</v>
          </cell>
        </row>
        <row r="259">
          <cell r="C259" t="str">
            <v>ZONA INDUSTRIAL</v>
          </cell>
          <cell r="D259" t="str">
            <v>PASILLO DE SUPERVISIÓN PENICILÍNICOS</v>
          </cell>
        </row>
        <row r="260">
          <cell r="A260" t="str">
            <v>O-001</v>
          </cell>
          <cell r="B260" t="str">
            <v>GP</v>
          </cell>
          <cell r="C260" t="str">
            <v>HIDALGO 1892 ENTRE PEREZ VERDIA Y FCO ROJAS</v>
          </cell>
          <cell r="D260" t="str">
            <v>MANTENIMIENTOS GENERALES</v>
          </cell>
        </row>
        <row r="260">
          <cell r="F260" t="str">
            <v>N/A</v>
          </cell>
        </row>
        <row r="261">
          <cell r="A261" t="str">
            <v>O-002</v>
          </cell>
          <cell r="B261" t="str">
            <v>GP</v>
          </cell>
          <cell r="C261" t="str">
            <v>S/D</v>
          </cell>
          <cell r="D261" t="str">
            <v>CASA MAR AMARILLO No 1525</v>
          </cell>
        </row>
        <row r="261">
          <cell r="F261" t="str">
            <v>JP</v>
          </cell>
        </row>
        <row r="261">
          <cell r="H261" t="str">
            <v>ARQ</v>
          </cell>
        </row>
        <row r="262">
          <cell r="A262" t="str">
            <v>O-011</v>
          </cell>
          <cell r="B262" t="str">
            <v>GP</v>
          </cell>
          <cell r="C262" t="str">
            <v>S/D</v>
          </cell>
          <cell r="D262" t="str">
            <v>GASTOS ING. JUAN PABLO CHAVEZ</v>
          </cell>
        </row>
        <row r="263">
          <cell r="A263" t="str">
            <v>O-012</v>
          </cell>
          <cell r="B263" t="str">
            <v>GP</v>
          </cell>
          <cell r="C263" t="str">
            <v>S/D</v>
          </cell>
          <cell r="D263" t="str">
            <v>VILLA C</v>
          </cell>
        </row>
        <row r="263">
          <cell r="F263" t="str">
            <v>N/A</v>
          </cell>
        </row>
        <row r="299">
          <cell r="D299" t="str">
            <v>}</v>
          </cell>
        </row>
      </sheetData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FECHAS"/>
      <sheetName val="Listado de Fechas"/>
    </sheetNames>
    <sheetDataSet>
      <sheetData sheetId="0">
        <row r="2">
          <cell r="AB2">
            <v>44928</v>
          </cell>
          <cell r="AC2">
            <v>44934</v>
          </cell>
          <cell r="AD2">
            <v>53</v>
          </cell>
          <cell r="AE2">
            <v>1</v>
          </cell>
        </row>
        <row r="3">
          <cell r="AB3">
            <v>44935</v>
          </cell>
          <cell r="AC3">
            <v>44941</v>
          </cell>
          <cell r="AD3">
            <v>1</v>
          </cell>
          <cell r="AE3">
            <v>2</v>
          </cell>
        </row>
        <row r="4">
          <cell r="AB4">
            <v>44942</v>
          </cell>
          <cell r="AC4">
            <v>44948</v>
          </cell>
          <cell r="AD4">
            <v>2</v>
          </cell>
          <cell r="AE4">
            <v>3</v>
          </cell>
        </row>
        <row r="5">
          <cell r="AB5">
            <v>44949</v>
          </cell>
          <cell r="AC5">
            <v>44955</v>
          </cell>
          <cell r="AD5">
            <v>3</v>
          </cell>
          <cell r="AE5">
            <v>4</v>
          </cell>
        </row>
        <row r="6">
          <cell r="AB6">
            <v>44956</v>
          </cell>
          <cell r="AC6">
            <v>44962</v>
          </cell>
          <cell r="AD6">
            <v>4</v>
          </cell>
          <cell r="AE6">
            <v>5</v>
          </cell>
        </row>
        <row r="7">
          <cell r="AB7">
            <v>44963</v>
          </cell>
          <cell r="AC7">
            <v>44969</v>
          </cell>
          <cell r="AD7">
            <v>5</v>
          </cell>
          <cell r="AE7">
            <v>6</v>
          </cell>
        </row>
        <row r="8">
          <cell r="AB8">
            <v>44970</v>
          </cell>
          <cell r="AC8">
            <v>44976</v>
          </cell>
          <cell r="AD8">
            <v>6</v>
          </cell>
          <cell r="AE8">
            <v>7</v>
          </cell>
        </row>
        <row r="9">
          <cell r="AB9">
            <v>44977</v>
          </cell>
          <cell r="AC9">
            <v>44983</v>
          </cell>
          <cell r="AD9">
            <v>7</v>
          </cell>
          <cell r="AE9">
            <v>8</v>
          </cell>
        </row>
        <row r="10">
          <cell r="AB10">
            <v>44984</v>
          </cell>
          <cell r="AC10">
            <v>44990</v>
          </cell>
          <cell r="AD10">
            <v>8</v>
          </cell>
          <cell r="AE10">
            <v>9</v>
          </cell>
        </row>
        <row r="11">
          <cell r="AB11">
            <v>44991</v>
          </cell>
          <cell r="AC11">
            <v>44997</v>
          </cell>
          <cell r="AD11">
            <v>9</v>
          </cell>
          <cell r="AE11">
            <v>10</v>
          </cell>
        </row>
        <row r="12">
          <cell r="AB12">
            <v>44998</v>
          </cell>
          <cell r="AC12">
            <v>45004</v>
          </cell>
          <cell r="AD12">
            <v>10</v>
          </cell>
          <cell r="AE12">
            <v>11</v>
          </cell>
        </row>
        <row r="13">
          <cell r="AB13">
            <v>45005</v>
          </cell>
          <cell r="AC13">
            <v>45011</v>
          </cell>
          <cell r="AD13">
            <v>11</v>
          </cell>
          <cell r="AE13">
            <v>12</v>
          </cell>
        </row>
        <row r="14">
          <cell r="AB14">
            <v>45012</v>
          </cell>
          <cell r="AC14">
            <v>45018</v>
          </cell>
          <cell r="AD14">
            <v>12</v>
          </cell>
          <cell r="AE14">
            <v>13</v>
          </cell>
        </row>
        <row r="15">
          <cell r="AB15">
            <v>45019</v>
          </cell>
          <cell r="AC15">
            <v>45025</v>
          </cell>
          <cell r="AD15">
            <v>13</v>
          </cell>
          <cell r="AE15">
            <v>14</v>
          </cell>
        </row>
        <row r="16">
          <cell r="AB16">
            <v>45026</v>
          </cell>
          <cell r="AC16">
            <v>45032</v>
          </cell>
          <cell r="AD16">
            <v>14</v>
          </cell>
          <cell r="AE16">
            <v>15</v>
          </cell>
        </row>
        <row r="17">
          <cell r="AB17">
            <v>45033</v>
          </cell>
          <cell r="AC17">
            <v>45039</v>
          </cell>
          <cell r="AD17">
            <v>15</v>
          </cell>
          <cell r="AE17">
            <v>16</v>
          </cell>
        </row>
        <row r="18">
          <cell r="AB18">
            <v>45040</v>
          </cell>
          <cell r="AC18">
            <v>45046</v>
          </cell>
          <cell r="AD18">
            <v>16</v>
          </cell>
          <cell r="AE18">
            <v>17</v>
          </cell>
        </row>
        <row r="19">
          <cell r="AB19">
            <v>45047</v>
          </cell>
          <cell r="AC19">
            <v>45053</v>
          </cell>
          <cell r="AD19">
            <v>17</v>
          </cell>
          <cell r="AE19">
            <v>18</v>
          </cell>
        </row>
        <row r="20">
          <cell r="AB20">
            <v>45054</v>
          </cell>
          <cell r="AC20">
            <v>45060</v>
          </cell>
          <cell r="AD20">
            <v>18</v>
          </cell>
          <cell r="AE20">
            <v>19</v>
          </cell>
        </row>
        <row r="21">
          <cell r="AB21">
            <v>45061</v>
          </cell>
          <cell r="AC21">
            <v>45067</v>
          </cell>
          <cell r="AD21">
            <v>19</v>
          </cell>
          <cell r="AE21">
            <v>20</v>
          </cell>
        </row>
        <row r="22">
          <cell r="AB22">
            <v>45068</v>
          </cell>
          <cell r="AC22">
            <v>45074</v>
          </cell>
          <cell r="AD22">
            <v>20</v>
          </cell>
          <cell r="AE22">
            <v>21</v>
          </cell>
        </row>
        <row r="23">
          <cell r="AB23">
            <v>45075</v>
          </cell>
          <cell r="AC23">
            <v>45081</v>
          </cell>
          <cell r="AD23">
            <v>21</v>
          </cell>
          <cell r="AE23">
            <v>22</v>
          </cell>
        </row>
        <row r="24">
          <cell r="AB24">
            <v>45082</v>
          </cell>
          <cell r="AC24">
            <v>45088</v>
          </cell>
          <cell r="AD24">
            <v>22</v>
          </cell>
          <cell r="AE24">
            <v>23</v>
          </cell>
        </row>
        <row r="25">
          <cell r="AB25">
            <v>45089</v>
          </cell>
          <cell r="AC25">
            <v>45095</v>
          </cell>
          <cell r="AD25">
            <v>23</v>
          </cell>
          <cell r="AE25">
            <v>24</v>
          </cell>
        </row>
        <row r="26">
          <cell r="AB26">
            <v>45096</v>
          </cell>
          <cell r="AC26">
            <v>45102</v>
          </cell>
          <cell r="AD26">
            <v>24</v>
          </cell>
          <cell r="AE26">
            <v>25</v>
          </cell>
        </row>
        <row r="27">
          <cell r="AB27">
            <v>45103</v>
          </cell>
          <cell r="AC27">
            <v>45109</v>
          </cell>
          <cell r="AD27">
            <v>25</v>
          </cell>
          <cell r="AE27">
            <v>26</v>
          </cell>
        </row>
        <row r="28">
          <cell r="AB28">
            <v>45110</v>
          </cell>
          <cell r="AC28">
            <v>45116</v>
          </cell>
          <cell r="AD28">
            <v>26</v>
          </cell>
          <cell r="AE28">
            <v>27</v>
          </cell>
        </row>
        <row r="29">
          <cell r="AB29">
            <v>45117</v>
          </cell>
          <cell r="AC29">
            <v>45123</v>
          </cell>
          <cell r="AD29">
            <v>27</v>
          </cell>
          <cell r="AE29">
            <v>28</v>
          </cell>
        </row>
        <row r="30">
          <cell r="AB30">
            <v>45124</v>
          </cell>
          <cell r="AC30">
            <v>45130</v>
          </cell>
          <cell r="AD30">
            <v>28</v>
          </cell>
          <cell r="AE30">
            <v>29</v>
          </cell>
        </row>
        <row r="31">
          <cell r="AB31">
            <v>45131</v>
          </cell>
          <cell r="AC31">
            <v>45137</v>
          </cell>
          <cell r="AD31">
            <v>29</v>
          </cell>
          <cell r="AE31">
            <v>30</v>
          </cell>
        </row>
        <row r="32">
          <cell r="AB32">
            <v>45138</v>
          </cell>
          <cell r="AC32">
            <v>45144</v>
          </cell>
          <cell r="AD32">
            <v>30</v>
          </cell>
          <cell r="AE32">
            <v>31</v>
          </cell>
        </row>
        <row r="33">
          <cell r="AB33">
            <v>45145</v>
          </cell>
          <cell r="AC33">
            <v>45151</v>
          </cell>
          <cell r="AD33">
            <v>31</v>
          </cell>
          <cell r="AE33">
            <v>32</v>
          </cell>
        </row>
        <row r="34">
          <cell r="AB34">
            <v>45152</v>
          </cell>
          <cell r="AC34">
            <v>45158</v>
          </cell>
          <cell r="AD34">
            <v>32</v>
          </cell>
          <cell r="AE34">
            <v>33</v>
          </cell>
        </row>
        <row r="35">
          <cell r="AB35">
            <v>45159</v>
          </cell>
          <cell r="AC35">
            <v>45165</v>
          </cell>
          <cell r="AD35">
            <v>33</v>
          </cell>
          <cell r="AE35">
            <v>34</v>
          </cell>
        </row>
        <row r="36">
          <cell r="AB36">
            <v>45166</v>
          </cell>
          <cell r="AC36">
            <v>45172</v>
          </cell>
          <cell r="AD36">
            <v>34</v>
          </cell>
          <cell r="AE36">
            <v>35</v>
          </cell>
        </row>
        <row r="37">
          <cell r="AB37">
            <v>45173</v>
          </cell>
          <cell r="AC37">
            <v>45179</v>
          </cell>
          <cell r="AD37">
            <v>35</v>
          </cell>
          <cell r="AE37">
            <v>36</v>
          </cell>
        </row>
        <row r="38">
          <cell r="AB38">
            <v>45180</v>
          </cell>
          <cell r="AC38">
            <v>45186</v>
          </cell>
          <cell r="AD38">
            <v>36</v>
          </cell>
          <cell r="AE38">
            <v>37</v>
          </cell>
        </row>
        <row r="39">
          <cell r="AB39">
            <v>45187</v>
          </cell>
          <cell r="AC39">
            <v>45193</v>
          </cell>
          <cell r="AD39">
            <v>37</v>
          </cell>
          <cell r="AE39">
            <v>38</v>
          </cell>
        </row>
        <row r="40">
          <cell r="AB40">
            <v>45194</v>
          </cell>
          <cell r="AC40">
            <v>45200</v>
          </cell>
          <cell r="AD40">
            <v>38</v>
          </cell>
          <cell r="AE40">
            <v>39</v>
          </cell>
        </row>
        <row r="41">
          <cell r="AB41">
            <v>45201</v>
          </cell>
          <cell r="AC41">
            <v>45207</v>
          </cell>
          <cell r="AD41">
            <v>39</v>
          </cell>
          <cell r="AE41">
            <v>40</v>
          </cell>
        </row>
        <row r="42">
          <cell r="AB42">
            <v>45208</v>
          </cell>
          <cell r="AC42">
            <v>45214</v>
          </cell>
          <cell r="AD42">
            <v>40</v>
          </cell>
          <cell r="AE42">
            <v>41</v>
          </cell>
        </row>
        <row r="43">
          <cell r="AB43">
            <v>45215</v>
          </cell>
          <cell r="AC43">
            <v>45221</v>
          </cell>
          <cell r="AD43">
            <v>41</v>
          </cell>
          <cell r="AE43">
            <v>42</v>
          </cell>
        </row>
        <row r="44">
          <cell r="AB44">
            <v>45222</v>
          </cell>
          <cell r="AC44">
            <v>45228</v>
          </cell>
          <cell r="AD44">
            <v>42</v>
          </cell>
          <cell r="AE44">
            <v>43</v>
          </cell>
        </row>
        <row r="45">
          <cell r="AB45">
            <v>45229</v>
          </cell>
          <cell r="AC45">
            <v>45235</v>
          </cell>
          <cell r="AD45">
            <v>43</v>
          </cell>
          <cell r="AE45">
            <v>44</v>
          </cell>
        </row>
        <row r="46">
          <cell r="AB46">
            <v>45236</v>
          </cell>
          <cell r="AC46">
            <v>45242</v>
          </cell>
          <cell r="AD46">
            <v>44</v>
          </cell>
          <cell r="AE46">
            <v>45</v>
          </cell>
        </row>
        <row r="47">
          <cell r="AB47">
            <v>45243</v>
          </cell>
          <cell r="AC47">
            <v>45249</v>
          </cell>
          <cell r="AD47">
            <v>45</v>
          </cell>
          <cell r="AE47">
            <v>46</v>
          </cell>
        </row>
        <row r="48">
          <cell r="AB48">
            <v>45250</v>
          </cell>
          <cell r="AC48">
            <v>45256</v>
          </cell>
          <cell r="AD48">
            <v>46</v>
          </cell>
          <cell r="AE48">
            <v>47</v>
          </cell>
        </row>
        <row r="49">
          <cell r="AB49">
            <v>45257</v>
          </cell>
          <cell r="AC49">
            <v>45263</v>
          </cell>
          <cell r="AD49">
            <v>47</v>
          </cell>
          <cell r="AE49">
            <v>48</v>
          </cell>
        </row>
        <row r="50">
          <cell r="AB50">
            <v>45264</v>
          </cell>
          <cell r="AC50">
            <v>45270</v>
          </cell>
          <cell r="AD50">
            <v>48</v>
          </cell>
          <cell r="AE50">
            <v>49</v>
          </cell>
        </row>
        <row r="51">
          <cell r="AB51">
            <v>45271</v>
          </cell>
          <cell r="AC51">
            <v>45277</v>
          </cell>
          <cell r="AD51">
            <v>49</v>
          </cell>
          <cell r="AE51">
            <v>50</v>
          </cell>
        </row>
        <row r="52">
          <cell r="AB52">
            <v>45278</v>
          </cell>
          <cell r="AC52">
            <v>45284</v>
          </cell>
          <cell r="AD52">
            <v>50</v>
          </cell>
          <cell r="AE52">
            <v>51</v>
          </cell>
        </row>
        <row r="53">
          <cell r="AB53">
            <v>45285</v>
          </cell>
          <cell r="AC53">
            <v>45291</v>
          </cell>
          <cell r="AD53">
            <v>51</v>
          </cell>
          <cell r="AE53">
            <v>52</v>
          </cell>
        </row>
      </sheetData>
      <sheetData sheetId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CO"/>
      <sheetName val="PU"/>
      <sheetName val="BASEDATOS_TOTAL"/>
      <sheetName val="Base de Datos"/>
    </sheetNames>
    <sheetDataSet>
      <sheetData sheetId="0">
        <row r="3">
          <cell r="A3">
            <v>20</v>
          </cell>
          <cell r="B3" t="str">
            <v>RUVALCABA VERGARA MARIA VERONICA</v>
          </cell>
          <cell r="C3" t="str">
            <v>SECRETARIA</v>
          </cell>
          <cell r="D3">
            <v>843.47</v>
          </cell>
        </row>
        <row r="4">
          <cell r="A4">
            <v>27</v>
          </cell>
          <cell r="B4" t="str">
            <v>VARGAS SILLAS RICARDO</v>
          </cell>
          <cell r="C4" t="str">
            <v>RESID</v>
          </cell>
          <cell r="D4">
            <v>2662.39</v>
          </cell>
        </row>
        <row r="5">
          <cell r="A5">
            <v>34</v>
          </cell>
          <cell r="B5" t="str">
            <v>VIDAL OCHOA ROBERTO ENRIQUE</v>
          </cell>
          <cell r="C5" t="str">
            <v>DESTAJOS</v>
          </cell>
        </row>
        <row r="6">
          <cell r="A6">
            <v>35</v>
          </cell>
          <cell r="B6" t="str">
            <v>JAUREGUI GARCIA ARTURO</v>
          </cell>
          <cell r="C6" t="str">
            <v>PROYECTO</v>
          </cell>
          <cell r="D6">
            <v>2493.33</v>
          </cell>
        </row>
        <row r="7">
          <cell r="A7">
            <v>51</v>
          </cell>
          <cell r="B7" t="str">
            <v>CHAVEZ NAVARRO DIEGO</v>
          </cell>
          <cell r="C7" t="str">
            <v>ADMINISTRADOR</v>
          </cell>
          <cell r="D7">
            <v>2593.5</v>
          </cell>
        </row>
        <row r="8">
          <cell r="A8">
            <v>53</v>
          </cell>
          <cell r="B8" t="str">
            <v>CORTEZ MELENDREZ LORENA PATRICIA</v>
          </cell>
          <cell r="C8" t="str">
            <v>AUXILIAR ADMTVO.</v>
          </cell>
          <cell r="D8">
            <v>772.96</v>
          </cell>
        </row>
        <row r="9">
          <cell r="A9">
            <v>58</v>
          </cell>
          <cell r="B9" t="str">
            <v>VERA PRECIADO ELIA MARGARITA</v>
          </cell>
          <cell r="C9" t="str">
            <v>ARQUITECTO</v>
          </cell>
          <cell r="D9">
            <v>428.49</v>
          </cell>
        </row>
        <row r="10">
          <cell r="A10">
            <v>60</v>
          </cell>
          <cell r="B10" t="str">
            <v>CHAVEZ NAVARRO ANDRES</v>
          </cell>
          <cell r="C10" t="str">
            <v>S.INTTE.</v>
          </cell>
          <cell r="D10">
            <v>2061.55</v>
          </cell>
        </row>
        <row r="10">
          <cell r="F10">
            <v>0</v>
          </cell>
        </row>
        <row r="11">
          <cell r="A11">
            <v>62</v>
          </cell>
          <cell r="B11" t="str">
            <v>JIMENEZ HERNANDEZ LILIA</v>
          </cell>
          <cell r="C11" t="str">
            <v>CONTADOR</v>
          </cell>
          <cell r="D11">
            <v>1645.91</v>
          </cell>
        </row>
        <row r="12">
          <cell r="A12">
            <v>64</v>
          </cell>
          <cell r="B12" t="str">
            <v>AVALOS CORTES GERARDO JOSE</v>
          </cell>
          <cell r="C12" t="str">
            <v>RESID</v>
          </cell>
          <cell r="D12">
            <v>1859.07</v>
          </cell>
        </row>
        <row r="13">
          <cell r="A13">
            <v>67</v>
          </cell>
          <cell r="B13" t="str">
            <v>CERRILLOS LARA JOSE</v>
          </cell>
          <cell r="C13" t="str">
            <v>RESID</v>
          </cell>
          <cell r="D13">
            <v>2725.05</v>
          </cell>
        </row>
        <row r="14">
          <cell r="A14">
            <v>84</v>
          </cell>
          <cell r="B14" t="str">
            <v>MARTINEZ SANCHEZ ARIADNA ROCIO</v>
          </cell>
          <cell r="C14" t="str">
            <v>DIBUJANTE</v>
          </cell>
          <cell r="D14">
            <v>1100</v>
          </cell>
        </row>
        <row r="15">
          <cell r="A15">
            <v>88</v>
          </cell>
          <cell r="B15" t="str">
            <v>JIMENEZ MENDOZA YULI</v>
          </cell>
          <cell r="C15" t="str">
            <v>ASEO</v>
          </cell>
          <cell r="D15">
            <v>550</v>
          </cell>
        </row>
        <row r="16">
          <cell r="A16">
            <v>90</v>
          </cell>
          <cell r="B16" t="str">
            <v>PEREZ TORIZ MAXIMINO EDUARDO</v>
          </cell>
          <cell r="C16" t="str">
            <v>CHOFER</v>
          </cell>
          <cell r="D16">
            <v>614.8</v>
          </cell>
        </row>
        <row r="17">
          <cell r="A17">
            <v>94</v>
          </cell>
          <cell r="B17" t="str">
            <v>PEREZ FONSECA ERNESTO</v>
          </cell>
          <cell r="C17" t="str">
            <v>COSTOS</v>
          </cell>
          <cell r="D17">
            <v>1539.23</v>
          </cell>
        </row>
        <row r="18">
          <cell r="A18">
            <v>96</v>
          </cell>
          <cell r="B18" t="str">
            <v>MARTINEZ NAVARRO PAULA</v>
          </cell>
          <cell r="C18" t="str">
            <v>ENCARGADO COMPRAS</v>
          </cell>
        </row>
        <row r="19">
          <cell r="A19">
            <v>100</v>
          </cell>
          <cell r="B19" t="str">
            <v>SANTILLAN RODRIGUEZ CAROLINA</v>
          </cell>
          <cell r="C19" t="str">
            <v>DIBUJANTE</v>
          </cell>
          <cell r="D19">
            <v>1132.71</v>
          </cell>
        </row>
        <row r="20">
          <cell r="A20">
            <v>110</v>
          </cell>
          <cell r="B20" t="str">
            <v>VIDAL GARCIA MICHELLE NOEMI</v>
          </cell>
          <cell r="C20" t="str">
            <v>AUXILIAR ADMTVO.</v>
          </cell>
          <cell r="D20">
            <v>698.5</v>
          </cell>
        </row>
        <row r="21">
          <cell r="A21">
            <v>114</v>
          </cell>
          <cell r="B21" t="str">
            <v>FLORES SANCHEZ CLAUDIA IVETTE</v>
          </cell>
          <cell r="C21" t="str">
            <v>AUXILIAR ADMTVO.</v>
          </cell>
          <cell r="D21">
            <v>660</v>
          </cell>
        </row>
        <row r="22">
          <cell r="A22">
            <v>116</v>
          </cell>
          <cell r="B22" t="str">
            <v>VIDAL GARCIA CARLOS ROBERTO</v>
          </cell>
          <cell r="C22" t="str">
            <v>DESTAJOS</v>
          </cell>
        </row>
        <row r="23">
          <cell r="A23">
            <v>119</v>
          </cell>
          <cell r="B23" t="str">
            <v>SANDOVAL DE LA CRUZ RICARDO</v>
          </cell>
          <cell r="C23" t="str">
            <v>RESID</v>
          </cell>
          <cell r="D23">
            <v>1990.13</v>
          </cell>
        </row>
        <row r="24">
          <cell r="A24">
            <v>127</v>
          </cell>
          <cell r="B24" t="str">
            <v>CHAVEZ RUVALCABA JUAN DANIEL</v>
          </cell>
          <cell r="C24" t="str">
            <v>DIBUJANTE</v>
          </cell>
          <cell r="D24">
            <v>897.7</v>
          </cell>
        </row>
        <row r="25">
          <cell r="A25">
            <v>128</v>
          </cell>
          <cell r="B25" t="str">
            <v>HERNANDEZ CERVANTES JUAN VICTOR</v>
          </cell>
          <cell r="C25" t="str">
            <v>TOPOGRAFIA</v>
          </cell>
        </row>
        <row r="26">
          <cell r="A26">
            <v>129</v>
          </cell>
          <cell r="B26" t="str">
            <v>BAÑUELOS GODINEZ MARIA ELENA</v>
          </cell>
          <cell r="C26" t="str">
            <v>AUX. COMPRAS</v>
          </cell>
          <cell r="D26">
            <v>564.96</v>
          </cell>
        </row>
        <row r="27">
          <cell r="A27">
            <v>136</v>
          </cell>
          <cell r="B27" t="str">
            <v>MARTINEZ HERRERA ARMANDO</v>
          </cell>
          <cell r="C27" t="str">
            <v>RESID</v>
          </cell>
          <cell r="D27">
            <v>1859.07</v>
          </cell>
        </row>
        <row r="28">
          <cell r="A28">
            <v>146</v>
          </cell>
          <cell r="B28" t="str">
            <v>DIAZ ESTRADA MARIA TERESA</v>
          </cell>
          <cell r="C28" t="str">
            <v>AUXILIAR ADMTVO.</v>
          </cell>
          <cell r="D28">
            <v>623.33</v>
          </cell>
        </row>
        <row r="29">
          <cell r="A29">
            <v>150</v>
          </cell>
          <cell r="B29" t="str">
            <v>DE LA TORRE FLORES JOSE EDUARDO</v>
          </cell>
          <cell r="C29" t="str">
            <v>RESID</v>
          </cell>
          <cell r="D29">
            <v>1806.68</v>
          </cell>
        </row>
        <row r="30">
          <cell r="A30">
            <v>152</v>
          </cell>
          <cell r="B30" t="str">
            <v>LOPEZ BERTO ANCELMO</v>
          </cell>
          <cell r="C30" t="str">
            <v>RESID</v>
          </cell>
          <cell r="D30">
            <v>1144.22</v>
          </cell>
        </row>
        <row r="31">
          <cell r="A31">
            <v>153</v>
          </cell>
          <cell r="B31" t="str">
            <v>SANCHEZ VELAZQUEZ JULIO CESAR</v>
          </cell>
          <cell r="C31" t="str">
            <v>CHOFER</v>
          </cell>
          <cell r="D31">
            <v>628.47</v>
          </cell>
        </row>
        <row r="32">
          <cell r="A32">
            <v>155</v>
          </cell>
          <cell r="B32" t="str">
            <v>MUÑOZ VALDIVIA GASTÓN</v>
          </cell>
          <cell r="C32" t="str">
            <v>ARQUITECTO</v>
          </cell>
          <cell r="D32">
            <v>938.78</v>
          </cell>
        </row>
        <row r="33">
          <cell r="A33">
            <v>157</v>
          </cell>
          <cell r="B33" t="str">
            <v>ARIZAGA FLORES CARLOS ALBERTO</v>
          </cell>
          <cell r="C33" t="str">
            <v>MENSAJERO</v>
          </cell>
          <cell r="D33">
            <v>462.34</v>
          </cell>
        </row>
        <row r="34">
          <cell r="A34">
            <v>158</v>
          </cell>
          <cell r="B34" t="str">
            <v>ROBLES GONZALEZ JOSE DE JESUS</v>
          </cell>
          <cell r="C34" t="str">
            <v>DESTAJOS</v>
          </cell>
          <cell r="D34">
            <v>860.2</v>
          </cell>
        </row>
        <row r="35">
          <cell r="A35">
            <v>159</v>
          </cell>
          <cell r="B35" t="str">
            <v>GOMEZ VAZQUEZ LUIS ERNESTO</v>
          </cell>
          <cell r="C35" t="str">
            <v>RESID</v>
          </cell>
          <cell r="D35">
            <v>1002.86</v>
          </cell>
        </row>
        <row r="36">
          <cell r="A36">
            <v>162</v>
          </cell>
          <cell r="B36" t="str">
            <v>RAMIREZ NIÑO ADRIAN</v>
          </cell>
          <cell r="C36" t="str">
            <v>AUX. DE RESIDENTE</v>
          </cell>
          <cell r="D36">
            <v>1190.74</v>
          </cell>
        </row>
        <row r="37">
          <cell r="A37">
            <v>168</v>
          </cell>
          <cell r="B37" t="str">
            <v>ZAMORA VAZQUEZ ALEJANDRO</v>
          </cell>
          <cell r="C37" t="str">
            <v>OF</v>
          </cell>
          <cell r="D37">
            <v>608.38</v>
          </cell>
        </row>
        <row r="38">
          <cell r="A38">
            <v>169</v>
          </cell>
          <cell r="B38" t="str">
            <v>NUÑEZ GARCIA FABIOLA ELIZABETH</v>
          </cell>
          <cell r="C38" t="str">
            <v>AUX. COMPRAS</v>
          </cell>
          <cell r="D38">
            <v>500</v>
          </cell>
        </row>
        <row r="39">
          <cell r="A39">
            <v>183</v>
          </cell>
          <cell r="B39" t="str">
            <v>FLORES SANCHEZ ANA CRISTINA</v>
          </cell>
          <cell r="C39" t="str">
            <v>AUX. DE RESIDENTE</v>
          </cell>
          <cell r="D39">
            <v>606.69</v>
          </cell>
        </row>
        <row r="40">
          <cell r="A40">
            <v>184</v>
          </cell>
          <cell r="B40" t="str">
            <v>RODRIGUEZ LOPEZ MARCOS</v>
          </cell>
          <cell r="C40" t="str">
            <v>AUX. DE RESIDENTE</v>
          </cell>
          <cell r="D40">
            <v>1234.29</v>
          </cell>
        </row>
        <row r="41">
          <cell r="A41">
            <v>187</v>
          </cell>
          <cell r="B41" t="str">
            <v>RODRIGUEZ MARTINEZ ALICIA GUADALUPE</v>
          </cell>
          <cell r="C41" t="str">
            <v>AUX. DE RESIDENTE</v>
          </cell>
          <cell r="D41">
            <v>520.02</v>
          </cell>
        </row>
        <row r="42">
          <cell r="A42">
            <v>189</v>
          </cell>
          <cell r="B42" t="str">
            <v>PEÑA MURILLO ANA FABIOLA</v>
          </cell>
          <cell r="C42" t="str">
            <v>ASEO</v>
          </cell>
          <cell r="D42">
            <v>391.33</v>
          </cell>
        </row>
        <row r="43">
          <cell r="A43">
            <v>193</v>
          </cell>
          <cell r="B43" t="str">
            <v>PEÑA MURILLO VERÓNICA ELIZABETH</v>
          </cell>
          <cell r="C43" t="str">
            <v>ASEO</v>
          </cell>
          <cell r="D43">
            <v>314.63</v>
          </cell>
        </row>
        <row r="44">
          <cell r="A44">
            <v>201</v>
          </cell>
          <cell r="B44" t="str">
            <v>CÓRDOVA GARCÍA SERGIO MANUEL</v>
          </cell>
          <cell r="C44" t="str">
            <v>RESID</v>
          </cell>
          <cell r="D44">
            <v>619.07</v>
          </cell>
        </row>
        <row r="45">
          <cell r="A45">
            <v>203</v>
          </cell>
          <cell r="B45" t="str">
            <v>LÓPEZ BARAJAS EDGAR ARMANDO</v>
          </cell>
          <cell r="C45" t="str">
            <v>AUXILIAR ADMTVO.</v>
          </cell>
          <cell r="D45">
            <v>583</v>
          </cell>
        </row>
        <row r="46">
          <cell r="A46">
            <v>204</v>
          </cell>
          <cell r="B46" t="str">
            <v>LOMELÍ DELGADO ANA KAREN</v>
          </cell>
          <cell r="C46" t="str">
            <v>AUXILIAR ADMTVO.</v>
          </cell>
          <cell r="D46">
            <v>583</v>
          </cell>
        </row>
        <row r="47">
          <cell r="A47">
            <v>209</v>
          </cell>
          <cell r="B47" t="str">
            <v>HERNANDEZ ESTRADA ROBERTO</v>
          </cell>
          <cell r="C47" t="str">
            <v>OF</v>
          </cell>
          <cell r="D47">
            <v>608.38</v>
          </cell>
        </row>
        <row r="48">
          <cell r="A48">
            <v>218</v>
          </cell>
          <cell r="B48" t="str">
            <v>SANTIAGO OLÁN YESENIA</v>
          </cell>
          <cell r="C48" t="str">
            <v>AUX. DE RESIDENTE</v>
          </cell>
          <cell r="D48">
            <v>523.48</v>
          </cell>
        </row>
        <row r="49">
          <cell r="A49">
            <v>220</v>
          </cell>
          <cell r="B49" t="str">
            <v>PÉREZ ÁLVAREZ JOSÉ CARLOS</v>
          </cell>
          <cell r="C49" t="str">
            <v>AUX. DE RESIDENTE</v>
          </cell>
          <cell r="D49">
            <v>925.71</v>
          </cell>
        </row>
        <row r="50">
          <cell r="A50">
            <v>222</v>
          </cell>
          <cell r="B50" t="str">
            <v>CABRERA PALMA SELENE</v>
          </cell>
          <cell r="C50" t="str">
            <v>AUXILIAR PRESUPUESTOS</v>
          </cell>
          <cell r="D50">
            <v>655.66</v>
          </cell>
        </row>
        <row r="51">
          <cell r="A51">
            <v>224</v>
          </cell>
          <cell r="B51" t="str">
            <v>GARCÍA RÍOS AMOR STEFANI</v>
          </cell>
          <cell r="C51" t="str">
            <v>AUXILIAR CONTABLE</v>
          </cell>
          <cell r="D51">
            <v>583.3333</v>
          </cell>
        </row>
        <row r="52">
          <cell r="A52">
            <v>225</v>
          </cell>
          <cell r="B52" t="str">
            <v>LÓPEZ SANDOVAL GILDARDO</v>
          </cell>
          <cell r="C52" t="str">
            <v>AUX. DE RESIDENTE</v>
          </cell>
          <cell r="D52">
            <v>1234.29</v>
          </cell>
        </row>
        <row r="53">
          <cell r="A53">
            <v>226</v>
          </cell>
          <cell r="B53" t="str">
            <v>REYES BARRAGÁN MIRIAM TYCHEE</v>
          </cell>
          <cell r="C53" t="str">
            <v>RECEPCIONISTA</v>
          </cell>
          <cell r="D53">
            <v>433.3333</v>
          </cell>
        </row>
        <row r="54">
          <cell r="A54">
            <v>227</v>
          </cell>
          <cell r="B54" t="str">
            <v>RÍOS FERNÁNDEZ PAOLA LIZBETH</v>
          </cell>
          <cell r="C54" t="str">
            <v>AUXILIAR CONTABLE</v>
          </cell>
          <cell r="D54">
            <v>704.04</v>
          </cell>
        </row>
        <row r="55">
          <cell r="A55">
            <v>228</v>
          </cell>
          <cell r="B55" t="str">
            <v>MARTÍNEZ LUISES MARÍA DE JESÚS</v>
          </cell>
          <cell r="C55" t="str">
            <v>AUX. DE RESIDENTE</v>
          </cell>
          <cell r="D55">
            <v>523.48</v>
          </cell>
        </row>
        <row r="56">
          <cell r="A56">
            <v>230</v>
          </cell>
          <cell r="B56" t="str">
            <v>GUZMÁN VALDEZ ISMAEL BENEDICTO</v>
          </cell>
          <cell r="C56" t="str">
            <v>DIBUJANTE</v>
          </cell>
          <cell r="D56">
            <v>607.24</v>
          </cell>
        </row>
        <row r="57">
          <cell r="A57">
            <v>231</v>
          </cell>
          <cell r="B57" t="str">
            <v>HERNÁNDEZ MARTÍNEZ MARÍA ISABEL</v>
          </cell>
          <cell r="C57" t="str">
            <v>ASEO</v>
          </cell>
          <cell r="D57">
            <v>449.74</v>
          </cell>
        </row>
        <row r="58">
          <cell r="A58">
            <v>232</v>
          </cell>
          <cell r="B58" t="str">
            <v>DOLORES ARÍAS GALDINA</v>
          </cell>
          <cell r="C58" t="str">
            <v>ASEO</v>
          </cell>
          <cell r="D58">
            <v>391.33</v>
          </cell>
        </row>
        <row r="59">
          <cell r="A59">
            <v>233</v>
          </cell>
          <cell r="B59" t="str">
            <v>GUTIÉRREZ PÉREZ CONCEPCIÓN ISIDRA</v>
          </cell>
          <cell r="C59" t="str">
            <v>ASEO</v>
          </cell>
          <cell r="D59">
            <v>391.33</v>
          </cell>
        </row>
        <row r="60">
          <cell r="A60">
            <v>234</v>
          </cell>
          <cell r="B60" t="str">
            <v>MEDINA JIMÉNEZ SHALMA MONSERRAT</v>
          </cell>
          <cell r="C60" t="str">
            <v>AUXILIAR CONTABLE</v>
          </cell>
          <cell r="D60">
            <v>456.51</v>
          </cell>
        </row>
        <row r="61">
          <cell r="A61">
            <v>501</v>
          </cell>
          <cell r="B61" t="str">
            <v>VAZQUEZ FLORES EVERARDO</v>
          </cell>
          <cell r="C61" t="str">
            <v>MAESTRO</v>
          </cell>
        </row>
        <row r="62">
          <cell r="A62">
            <v>674</v>
          </cell>
          <cell r="B62" t="str">
            <v>CHAVEZ ALVAREZ JUAN PABLO</v>
          </cell>
          <cell r="C62" t="str">
            <v>S.INTTE.</v>
          </cell>
          <cell r="D62">
            <v>0</v>
          </cell>
        </row>
        <row r="62">
          <cell r="F62">
            <v>0</v>
          </cell>
        </row>
        <row r="63">
          <cell r="A63">
            <v>706</v>
          </cell>
          <cell r="B63" t="str">
            <v>NAVARRO VEGA RICARDO</v>
          </cell>
          <cell r="C63" t="str">
            <v>PEON</v>
          </cell>
          <cell r="D63">
            <v>507.6</v>
          </cell>
        </row>
        <row r="64">
          <cell r="A64">
            <v>712</v>
          </cell>
          <cell r="B64" t="str">
            <v>PACHECO GRACIANO JOSE LUIS</v>
          </cell>
          <cell r="C64" t="str">
            <v>OF</v>
          </cell>
          <cell r="D64">
            <v>608.38</v>
          </cell>
        </row>
        <row r="65">
          <cell r="A65">
            <v>964</v>
          </cell>
          <cell r="B65" t="str">
            <v>GARCIA SANDOVAL ALBERTO</v>
          </cell>
          <cell r="C65" t="str">
            <v>OF</v>
          </cell>
          <cell r="D65">
            <v>730.06</v>
          </cell>
        </row>
        <row r="66">
          <cell r="A66">
            <v>998</v>
          </cell>
          <cell r="B66" t="str">
            <v>GARCIA RENTERIA RAUL</v>
          </cell>
          <cell r="C66" t="str">
            <v>OF</v>
          </cell>
          <cell r="D66">
            <v>608.38</v>
          </cell>
        </row>
        <row r="67">
          <cell r="A67">
            <v>999</v>
          </cell>
          <cell r="B67" t="str">
            <v>GARCIA RENTERIA ROBERTO</v>
          </cell>
          <cell r="C67" t="str">
            <v>OF</v>
          </cell>
          <cell r="D67">
            <v>608.38</v>
          </cell>
        </row>
        <row r="68">
          <cell r="A68">
            <v>1009</v>
          </cell>
          <cell r="B68" t="str">
            <v>LOPEZ GONZALEZ JOSE MANUEL</v>
          </cell>
          <cell r="C68" t="str">
            <v>VELADOR</v>
          </cell>
          <cell r="D68">
            <v>307.25</v>
          </cell>
        </row>
        <row r="69">
          <cell r="A69">
            <v>1119</v>
          </cell>
          <cell r="B69" t="str">
            <v>VÁZQUEZ FLORES MAURO</v>
          </cell>
          <cell r="C69" t="str">
            <v>OF</v>
          </cell>
          <cell r="D69">
            <v>608.38</v>
          </cell>
        </row>
        <row r="70">
          <cell r="A70">
            <v>1201</v>
          </cell>
          <cell r="B70" t="str">
            <v>FLORES OROPEZA ENRIQUE</v>
          </cell>
          <cell r="C70" t="str">
            <v>OF</v>
          </cell>
          <cell r="D70">
            <v>608.38</v>
          </cell>
        </row>
        <row r="71">
          <cell r="A71">
            <v>1345</v>
          </cell>
          <cell r="B71" t="str">
            <v>RIVERA CAMBEROS JOSE ISABEL</v>
          </cell>
          <cell r="C71" t="str">
            <v>OF</v>
          </cell>
          <cell r="D71">
            <v>608.38</v>
          </cell>
        </row>
        <row r="72">
          <cell r="A72">
            <v>1361</v>
          </cell>
          <cell r="B72" t="str">
            <v>FLORES OROPEZA JUAN</v>
          </cell>
          <cell r="C72" t="str">
            <v>OF</v>
          </cell>
          <cell r="D72">
            <v>608.38</v>
          </cell>
        </row>
        <row r="73">
          <cell r="A73">
            <v>1415</v>
          </cell>
          <cell r="B73" t="str">
            <v>FLORES OROPEZA ADÁN</v>
          </cell>
          <cell r="C73" t="str">
            <v>OF</v>
          </cell>
          <cell r="D73">
            <v>608.38</v>
          </cell>
        </row>
        <row r="74">
          <cell r="A74">
            <v>1417</v>
          </cell>
          <cell r="B74" t="str">
            <v>SEGURA MANRIQUE JUAN</v>
          </cell>
          <cell r="C74" t="str">
            <v>OF</v>
          </cell>
          <cell r="D74">
            <v>608.38</v>
          </cell>
        </row>
        <row r="75">
          <cell r="A75">
            <v>1448</v>
          </cell>
          <cell r="B75" t="str">
            <v>RUIZ CEJA LUIS ALBERTO</v>
          </cell>
          <cell r="C75" t="str">
            <v>OF</v>
          </cell>
          <cell r="D75">
            <v>608.38</v>
          </cell>
        </row>
        <row r="76">
          <cell r="A76">
            <v>1499</v>
          </cell>
          <cell r="B76" t="str">
            <v>RODRÍGUEZ SÁNCHEZ FERNANDO</v>
          </cell>
          <cell r="C76" t="str">
            <v>OF</v>
          </cell>
          <cell r="D76">
            <v>608.38</v>
          </cell>
        </row>
        <row r="77">
          <cell r="A77">
            <v>1560</v>
          </cell>
          <cell r="B77" t="str">
            <v>RANGEL SEGURA JUAN RAMON</v>
          </cell>
          <cell r="C77" t="str">
            <v>OF</v>
          </cell>
          <cell r="D77">
            <v>730.06</v>
          </cell>
        </row>
        <row r="78">
          <cell r="A78">
            <v>1576</v>
          </cell>
          <cell r="B78" t="str">
            <v>ORTEGA PLATA JOSE JUVENAL</v>
          </cell>
          <cell r="C78" t="str">
            <v>PEON</v>
          </cell>
          <cell r="D78">
            <v>337.98</v>
          </cell>
        </row>
        <row r="79">
          <cell r="A79">
            <v>1587</v>
          </cell>
          <cell r="B79" t="str">
            <v>DE LOS SANTOS RENTERIA SERVANDO</v>
          </cell>
          <cell r="C79" t="str">
            <v>OF</v>
          </cell>
          <cell r="D79">
            <v>608.38</v>
          </cell>
        </row>
        <row r="80">
          <cell r="A80">
            <v>1626</v>
          </cell>
          <cell r="B80" t="str">
            <v>FLORES RENTERIA JORGE GERMAN</v>
          </cell>
          <cell r="C80" t="str">
            <v>OF</v>
          </cell>
          <cell r="D80">
            <v>608.38</v>
          </cell>
        </row>
        <row r="81">
          <cell r="A81">
            <v>1631</v>
          </cell>
          <cell r="B81" t="str">
            <v>NUÑEZ PALACIOS ARMANDO</v>
          </cell>
          <cell r="C81" t="str">
            <v>OF</v>
          </cell>
          <cell r="D81">
            <v>608.38</v>
          </cell>
        </row>
        <row r="82">
          <cell r="A82">
            <v>1632</v>
          </cell>
          <cell r="B82" t="str">
            <v>AVALOS PICAZO EMILIO</v>
          </cell>
          <cell r="C82" t="str">
            <v>MAESTRO</v>
          </cell>
          <cell r="D82">
            <v>904.24</v>
          </cell>
        </row>
        <row r="83">
          <cell r="A83">
            <v>1688</v>
          </cell>
          <cell r="B83" t="str">
            <v>AGUILAR HERRERA OSCAR</v>
          </cell>
          <cell r="C83" t="str">
            <v>OF</v>
          </cell>
          <cell r="D83">
            <v>608.38</v>
          </cell>
        </row>
        <row r="84">
          <cell r="A84">
            <v>1689</v>
          </cell>
          <cell r="B84" t="str">
            <v>MARTÍNEZ LÓPEZ ANTONIO</v>
          </cell>
          <cell r="C84" t="str">
            <v>OF</v>
          </cell>
          <cell r="D84">
            <v>608.38</v>
          </cell>
        </row>
        <row r="85">
          <cell r="A85">
            <v>1847</v>
          </cell>
          <cell r="B85" t="str">
            <v>TORO RENTERIA ALEJANDRO</v>
          </cell>
          <cell r="C85" t="str">
            <v>OF</v>
          </cell>
          <cell r="D85">
            <v>608.38</v>
          </cell>
        </row>
        <row r="86">
          <cell r="A86">
            <v>1869</v>
          </cell>
          <cell r="B86" t="str">
            <v>VAZQUEZ IBARRA GERARDO</v>
          </cell>
          <cell r="C86" t="str">
            <v>OF</v>
          </cell>
          <cell r="D86">
            <v>608.38</v>
          </cell>
        </row>
        <row r="87">
          <cell r="A87">
            <v>1897</v>
          </cell>
          <cell r="B87" t="str">
            <v>REYES PEREZ OSCAR</v>
          </cell>
          <cell r="C87" t="str">
            <v>OF</v>
          </cell>
          <cell r="D87">
            <v>608.38</v>
          </cell>
        </row>
        <row r="88">
          <cell r="A88">
            <v>1951</v>
          </cell>
          <cell r="B88" t="str">
            <v>AVALOS GIL IGNACIO</v>
          </cell>
          <cell r="C88" t="str">
            <v>OF</v>
          </cell>
          <cell r="D88">
            <v>608.38</v>
          </cell>
        </row>
        <row r="89">
          <cell r="A89">
            <v>1964</v>
          </cell>
          <cell r="B89" t="str">
            <v>LOPEZ PACHECO JOSE MARTIN</v>
          </cell>
          <cell r="C89" t="str">
            <v>PEON</v>
          </cell>
          <cell r="D89">
            <v>337.98</v>
          </cell>
        </row>
        <row r="90">
          <cell r="A90">
            <v>1990</v>
          </cell>
          <cell r="B90" t="str">
            <v>GUARDADO SÁNCHEZ MARTÍN</v>
          </cell>
          <cell r="C90" t="str">
            <v>PEON</v>
          </cell>
          <cell r="D90">
            <v>337.98</v>
          </cell>
        </row>
        <row r="91">
          <cell r="A91">
            <v>2001</v>
          </cell>
          <cell r="B91" t="str">
            <v>AGUILAR HERRERA LUIS FERNANDO</v>
          </cell>
          <cell r="C91" t="str">
            <v>OF</v>
          </cell>
          <cell r="D91">
            <v>608.38</v>
          </cell>
        </row>
        <row r="92">
          <cell r="A92">
            <v>2022</v>
          </cell>
          <cell r="B92" t="str">
            <v>PEREZ CONTRERAS JESUS</v>
          </cell>
          <cell r="C92" t="str">
            <v>OF</v>
          </cell>
          <cell r="D92">
            <v>608.38</v>
          </cell>
        </row>
        <row r="93">
          <cell r="A93">
            <v>2045</v>
          </cell>
          <cell r="B93" t="str">
            <v>LOPEZ GALINDO JUAN FRANCISCO</v>
          </cell>
          <cell r="C93" t="str">
            <v>CHOFER</v>
          </cell>
          <cell r="D93">
            <v>695.95</v>
          </cell>
        </row>
        <row r="94">
          <cell r="A94">
            <v>2078</v>
          </cell>
          <cell r="B94" t="str">
            <v>CHAVEZ ZAPATA CARLOS</v>
          </cell>
          <cell r="C94" t="str">
            <v>PEON</v>
          </cell>
          <cell r="D94">
            <v>337.98</v>
          </cell>
        </row>
        <row r="95">
          <cell r="A95">
            <v>2109</v>
          </cell>
          <cell r="B95" t="str">
            <v>OROPEZA RODRIGUEZ SANTIAGO EFREN</v>
          </cell>
          <cell r="C95" t="str">
            <v>OF</v>
          </cell>
          <cell r="D95">
            <v>608.38</v>
          </cell>
        </row>
        <row r="96">
          <cell r="A96">
            <v>2143</v>
          </cell>
          <cell r="B96" t="str">
            <v>MARTÍNEZ DUEÑAS JOSÉ ARMANDO</v>
          </cell>
          <cell r="C96" t="str">
            <v>OF</v>
          </cell>
          <cell r="D96">
            <v>608.38</v>
          </cell>
        </row>
        <row r="97">
          <cell r="A97">
            <v>2229</v>
          </cell>
          <cell r="B97" t="str">
            <v>ZAVALA MEDINA BENITO</v>
          </cell>
          <cell r="C97" t="str">
            <v>OF</v>
          </cell>
          <cell r="D97">
            <v>608.38</v>
          </cell>
        </row>
        <row r="98">
          <cell r="A98">
            <v>2245</v>
          </cell>
          <cell r="B98" t="str">
            <v>VEGA ESPARZA SALVADOR</v>
          </cell>
          <cell r="C98" t="str">
            <v>OF</v>
          </cell>
          <cell r="D98">
            <v>608.38</v>
          </cell>
        </row>
        <row r="99">
          <cell r="A99">
            <v>2258</v>
          </cell>
          <cell r="B99" t="str">
            <v>FLORES RENTERIA JULIAN ALEJANDRO</v>
          </cell>
          <cell r="C99" t="str">
            <v>OF</v>
          </cell>
          <cell r="D99">
            <v>608.38</v>
          </cell>
        </row>
        <row r="100">
          <cell r="A100">
            <v>2276</v>
          </cell>
          <cell r="B100" t="str">
            <v>MARTINEZ DUEÑAS ARNULFO FRANCISCO</v>
          </cell>
          <cell r="C100" t="str">
            <v>OF</v>
          </cell>
          <cell r="D100">
            <v>608.38</v>
          </cell>
        </row>
        <row r="101">
          <cell r="A101">
            <v>2281</v>
          </cell>
          <cell r="B101" t="str">
            <v>DE LOS SANTOS MANJARRES RODRIGO</v>
          </cell>
          <cell r="C101" t="str">
            <v>OF</v>
          </cell>
          <cell r="D101">
            <v>608.38</v>
          </cell>
        </row>
        <row r="102">
          <cell r="A102">
            <v>2282</v>
          </cell>
          <cell r="B102" t="str">
            <v>CANTOR GARCIA ALVARO</v>
          </cell>
          <cell r="C102" t="str">
            <v>OF</v>
          </cell>
          <cell r="D102">
            <v>608.38</v>
          </cell>
        </row>
        <row r="103">
          <cell r="A103">
            <v>2299</v>
          </cell>
          <cell r="B103" t="str">
            <v>ENRIQUEZ AGUILAR SEBASTIAN</v>
          </cell>
          <cell r="C103" t="str">
            <v>OF</v>
          </cell>
          <cell r="D103">
            <v>608.38</v>
          </cell>
        </row>
        <row r="104">
          <cell r="A104">
            <v>2316</v>
          </cell>
          <cell r="B104" t="str">
            <v>ENRIQUEZ FLORES JUAN</v>
          </cell>
          <cell r="C104" t="str">
            <v>OF</v>
          </cell>
          <cell r="D104">
            <v>608.38</v>
          </cell>
        </row>
        <row r="105">
          <cell r="A105">
            <v>2346</v>
          </cell>
          <cell r="B105" t="str">
            <v>PINTOR CALVARIO JUAN</v>
          </cell>
          <cell r="C105" t="str">
            <v>OF</v>
          </cell>
          <cell r="D105">
            <v>608.38</v>
          </cell>
        </row>
        <row r="106">
          <cell r="A106">
            <v>2407</v>
          </cell>
          <cell r="B106" t="str">
            <v>DE LOS SANTOS RENTERIA ISIDRO</v>
          </cell>
          <cell r="C106" t="str">
            <v>OF</v>
          </cell>
          <cell r="D106">
            <v>608.38</v>
          </cell>
        </row>
        <row r="107">
          <cell r="A107">
            <v>2410</v>
          </cell>
          <cell r="B107" t="str">
            <v>BARRAGAN LAZCANO JOSE ANTONIO</v>
          </cell>
          <cell r="C107" t="str">
            <v>OF</v>
          </cell>
          <cell r="D107">
            <v>608.38</v>
          </cell>
        </row>
        <row r="108">
          <cell r="A108">
            <v>2441</v>
          </cell>
          <cell r="B108" t="str">
            <v>GARCIA VIDALES JOSE DE JESUS</v>
          </cell>
          <cell r="C108" t="str">
            <v>OF</v>
          </cell>
          <cell r="D108">
            <v>608.38</v>
          </cell>
        </row>
        <row r="109">
          <cell r="A109">
            <v>2443</v>
          </cell>
          <cell r="B109" t="str">
            <v>VIDALES ROSALES JOSÉ GUADALUPE</v>
          </cell>
          <cell r="C109" t="str">
            <v>PINTOR</v>
          </cell>
          <cell r="D109">
            <v>608.38</v>
          </cell>
        </row>
        <row r="110">
          <cell r="A110">
            <v>2446</v>
          </cell>
          <cell r="B110" t="str">
            <v>ENRIQUEZ XILONZOCHITL MIGUEL ANGEL</v>
          </cell>
          <cell r="C110" t="str">
            <v>OF</v>
          </cell>
          <cell r="D110">
            <v>608.38</v>
          </cell>
        </row>
        <row r="111">
          <cell r="A111">
            <v>2466</v>
          </cell>
          <cell r="B111" t="str">
            <v>HERRERA GARCIA JUAN FRANCISCO</v>
          </cell>
          <cell r="C111" t="str">
            <v>SOLD</v>
          </cell>
          <cell r="D111">
            <v>699.64</v>
          </cell>
        </row>
        <row r="112">
          <cell r="A112">
            <v>2473</v>
          </cell>
          <cell r="B112" t="str">
            <v>CERVANTES MONJARAS JOSE LUIS</v>
          </cell>
          <cell r="C112" t="str">
            <v>OF</v>
          </cell>
          <cell r="D112">
            <v>608.38</v>
          </cell>
        </row>
        <row r="113">
          <cell r="A113">
            <v>2506</v>
          </cell>
          <cell r="B113" t="str">
            <v>HERNANDEZ VILLANUEVA DARIO</v>
          </cell>
          <cell r="C113" t="str">
            <v>PEON</v>
          </cell>
          <cell r="D113">
            <v>588.5</v>
          </cell>
        </row>
        <row r="114">
          <cell r="A114">
            <v>2515</v>
          </cell>
          <cell r="B114" t="str">
            <v>RODRIGUEZ SANCHEZ JUAN ANTONIO</v>
          </cell>
          <cell r="C114" t="str">
            <v>OF</v>
          </cell>
          <cell r="D114">
            <v>608.38</v>
          </cell>
        </row>
        <row r="115">
          <cell r="A115">
            <v>2555</v>
          </cell>
          <cell r="B115" t="str">
            <v>GUERRERO CHÁVEZ JUAN DANIEL</v>
          </cell>
          <cell r="C115" t="str">
            <v>OF</v>
          </cell>
          <cell r="D115">
            <v>608.38</v>
          </cell>
        </row>
        <row r="116">
          <cell r="A116">
            <v>2634</v>
          </cell>
          <cell r="B116" t="str">
            <v>OROPEZA RODRIGUEZ LUIS EDUARDO</v>
          </cell>
          <cell r="C116" t="str">
            <v>OF</v>
          </cell>
          <cell r="D116">
            <v>608.38</v>
          </cell>
        </row>
        <row r="117">
          <cell r="A117">
            <v>2696</v>
          </cell>
          <cell r="B117" t="str">
            <v>RODRIGUEZ SANCHEZ CHRISTIAN</v>
          </cell>
          <cell r="C117" t="str">
            <v>OF</v>
          </cell>
          <cell r="D117">
            <v>608.38</v>
          </cell>
        </row>
        <row r="118">
          <cell r="A118">
            <v>2703</v>
          </cell>
          <cell r="B118" t="str">
            <v>MARTÍNEZ DUEÑAS FRANCISCO</v>
          </cell>
          <cell r="C118" t="str">
            <v>OF</v>
          </cell>
          <cell r="D118">
            <v>608.38</v>
          </cell>
        </row>
        <row r="119">
          <cell r="A119">
            <v>2733</v>
          </cell>
          <cell r="B119" t="str">
            <v>ZAVALA RUIZ BENITO</v>
          </cell>
          <cell r="C119" t="str">
            <v>OF</v>
          </cell>
          <cell r="D119">
            <v>608.38</v>
          </cell>
        </row>
        <row r="120">
          <cell r="A120">
            <v>2774</v>
          </cell>
          <cell r="B120" t="str">
            <v>MACIAS TOVAR NOE</v>
          </cell>
          <cell r="C120" t="str">
            <v>OF</v>
          </cell>
          <cell r="D120">
            <v>608.38</v>
          </cell>
        </row>
        <row r="121">
          <cell r="A121">
            <v>2779</v>
          </cell>
          <cell r="B121" t="str">
            <v>MARES DE JESUS ISMAEL</v>
          </cell>
          <cell r="C121" t="str">
            <v>OF</v>
          </cell>
          <cell r="D121">
            <v>608.38</v>
          </cell>
        </row>
        <row r="122">
          <cell r="A122">
            <v>2798</v>
          </cell>
          <cell r="B122" t="str">
            <v>MARTINEZ DUEÑAS JUAN EDUARDO</v>
          </cell>
          <cell r="C122" t="str">
            <v>OF</v>
          </cell>
          <cell r="D122">
            <v>608.38</v>
          </cell>
        </row>
        <row r="123">
          <cell r="A123">
            <v>2807</v>
          </cell>
          <cell r="B123" t="str">
            <v>INFANTE RAMÍREZ PABLO GABRIEL</v>
          </cell>
          <cell r="C123" t="str">
            <v>PINTOR</v>
          </cell>
          <cell r="D123">
            <v>608.38</v>
          </cell>
        </row>
        <row r="124">
          <cell r="A124">
            <v>2835</v>
          </cell>
          <cell r="B124" t="str">
            <v>ENRIQUEZ XILONZOCHILT JUAN</v>
          </cell>
          <cell r="C124" t="str">
            <v>OF</v>
          </cell>
          <cell r="D124">
            <v>608.38</v>
          </cell>
        </row>
        <row r="125">
          <cell r="A125">
            <v>2862</v>
          </cell>
          <cell r="B125" t="str">
            <v>RODRIGUEZ CASTREJON FELIPE</v>
          </cell>
          <cell r="C125" t="str">
            <v>PEON</v>
          </cell>
          <cell r="D125">
            <v>386.07</v>
          </cell>
        </row>
        <row r="126">
          <cell r="A126">
            <v>2874</v>
          </cell>
          <cell r="B126" t="str">
            <v>JUAREZ RODRIGUEZ RAMIRO</v>
          </cell>
          <cell r="C126" t="str">
            <v>PEON</v>
          </cell>
          <cell r="D126">
            <v>337.98</v>
          </cell>
        </row>
        <row r="127">
          <cell r="A127">
            <v>2925</v>
          </cell>
          <cell r="B127" t="str">
            <v>CHAVEZ ALMADA DANIEL</v>
          </cell>
          <cell r="C127" t="str">
            <v>RESID</v>
          </cell>
          <cell r="D127">
            <v>751.49</v>
          </cell>
        </row>
        <row r="128">
          <cell r="A128">
            <v>2970</v>
          </cell>
          <cell r="B128" t="str">
            <v>CABRERA LEON EFRAIN</v>
          </cell>
          <cell r="C128" t="str">
            <v>OF</v>
          </cell>
          <cell r="D128">
            <v>608.38</v>
          </cell>
        </row>
        <row r="129">
          <cell r="A129">
            <v>3013</v>
          </cell>
          <cell r="B129" t="str">
            <v>SEGURA DIAZ OSCAR</v>
          </cell>
          <cell r="C129" t="str">
            <v>OF</v>
          </cell>
          <cell r="D129">
            <v>608.38</v>
          </cell>
        </row>
        <row r="130">
          <cell r="A130">
            <v>3034</v>
          </cell>
          <cell r="B130" t="str">
            <v>MENDOZA MURILLO IVAN</v>
          </cell>
          <cell r="C130" t="str">
            <v>OF</v>
          </cell>
          <cell r="D130">
            <v>608.38</v>
          </cell>
        </row>
        <row r="131">
          <cell r="A131">
            <v>3066</v>
          </cell>
          <cell r="B131" t="str">
            <v>GARCIA REYES ANDRES</v>
          </cell>
          <cell r="C131" t="str">
            <v>OF</v>
          </cell>
          <cell r="D131">
            <v>608.38</v>
          </cell>
        </row>
        <row r="132">
          <cell r="A132">
            <v>3091</v>
          </cell>
          <cell r="B132" t="str">
            <v>SÁNCHEZ LEÓN JOSÉ ANTONIO</v>
          </cell>
          <cell r="C132" t="str">
            <v>MAESTRO</v>
          </cell>
          <cell r="D132">
            <v>1000</v>
          </cell>
        </row>
        <row r="133">
          <cell r="A133">
            <v>3397</v>
          </cell>
          <cell r="B133" t="str">
            <v>RODRIGUEZ RODRIGUEZ ANTONIO</v>
          </cell>
          <cell r="C133" t="str">
            <v>VELADOR</v>
          </cell>
          <cell r="D133">
            <v>337.98</v>
          </cell>
        </row>
        <row r="134">
          <cell r="A134">
            <v>3405</v>
          </cell>
          <cell r="B134" t="str">
            <v>BIZARRO GARCIA MARCO ANTONIO</v>
          </cell>
          <cell r="C134" t="str">
            <v>OF</v>
          </cell>
          <cell r="D134">
            <v>608.38</v>
          </cell>
        </row>
        <row r="135">
          <cell r="A135">
            <v>3407</v>
          </cell>
          <cell r="B135" t="str">
            <v>GARCÍA LÓPEZ JORGE OMAR</v>
          </cell>
          <cell r="C135" t="str">
            <v>PEON</v>
          </cell>
          <cell r="D135">
            <v>337.98</v>
          </cell>
        </row>
        <row r="136">
          <cell r="A136">
            <v>3410</v>
          </cell>
          <cell r="B136" t="str">
            <v>HERRERA MENDOZA JOSE CRUZ</v>
          </cell>
          <cell r="C136" t="str">
            <v>OF</v>
          </cell>
          <cell r="D136">
            <v>608.38</v>
          </cell>
        </row>
        <row r="137">
          <cell r="A137">
            <v>3411</v>
          </cell>
          <cell r="B137" t="str">
            <v>GARCIA BRAVO EDUARDO</v>
          </cell>
          <cell r="C137" t="str">
            <v>OF</v>
          </cell>
          <cell r="D137">
            <v>608.38</v>
          </cell>
        </row>
        <row r="138">
          <cell r="A138">
            <v>3412</v>
          </cell>
          <cell r="B138" t="str">
            <v>PLASCENCIA HARO JOSE LUIS</v>
          </cell>
          <cell r="C138" t="str">
            <v>OF</v>
          </cell>
          <cell r="D138">
            <v>608.38</v>
          </cell>
        </row>
        <row r="139">
          <cell r="A139">
            <v>3454</v>
          </cell>
          <cell r="B139" t="str">
            <v>GUERRERO CHÁVEZ JUAN JOSÉ</v>
          </cell>
          <cell r="C139" t="str">
            <v>PEON</v>
          </cell>
          <cell r="D139">
            <v>337.98</v>
          </cell>
        </row>
        <row r="140">
          <cell r="A140">
            <v>3470</v>
          </cell>
          <cell r="B140" t="str">
            <v>ZAMORA CALDERON ALEJANDRO</v>
          </cell>
          <cell r="C140" t="str">
            <v>OF</v>
          </cell>
          <cell r="D140">
            <v>608.38</v>
          </cell>
        </row>
        <row r="141">
          <cell r="A141">
            <v>3482</v>
          </cell>
          <cell r="B141" t="str">
            <v>HERNANDEZ CASTELLON BERNARDO</v>
          </cell>
          <cell r="C141" t="str">
            <v>OF</v>
          </cell>
          <cell r="D141">
            <v>608.38</v>
          </cell>
        </row>
        <row r="142">
          <cell r="A142">
            <v>3512</v>
          </cell>
          <cell r="B142" t="str">
            <v>GARCIA BRAVO JESUS</v>
          </cell>
          <cell r="C142" t="str">
            <v>PEON</v>
          </cell>
          <cell r="D142">
            <v>337.98</v>
          </cell>
        </row>
        <row r="143">
          <cell r="A143">
            <v>3554</v>
          </cell>
          <cell r="B143" t="str">
            <v>MEJIA NAVARRO RICARDO REFUGIO</v>
          </cell>
          <cell r="C143" t="str">
            <v>OF</v>
          </cell>
          <cell r="D143">
            <v>608.38</v>
          </cell>
        </row>
        <row r="144">
          <cell r="A144">
            <v>3569</v>
          </cell>
          <cell r="B144" t="str">
            <v>ENRIQUEZ DOMINGUEZ MOISES</v>
          </cell>
          <cell r="C144" t="str">
            <v>OF</v>
          </cell>
          <cell r="D144">
            <v>608.38</v>
          </cell>
        </row>
        <row r="145">
          <cell r="A145">
            <v>3596</v>
          </cell>
          <cell r="B145" t="str">
            <v>LÓPEZ MARTÍNEZ FRANCISCO JAVIER</v>
          </cell>
          <cell r="C145" t="str">
            <v>OF</v>
          </cell>
          <cell r="D145">
            <v>608.38</v>
          </cell>
        </row>
        <row r="146">
          <cell r="A146">
            <v>3608</v>
          </cell>
          <cell r="B146" t="str">
            <v>LOZANO URISTA BRUNO</v>
          </cell>
          <cell r="C146" t="str">
            <v>PEON</v>
          </cell>
          <cell r="D146">
            <v>440</v>
          </cell>
        </row>
        <row r="147">
          <cell r="A147">
            <v>3610</v>
          </cell>
          <cell r="B147" t="str">
            <v>HERNANDEZ LAUREANO MIGUEL ARMANDO</v>
          </cell>
          <cell r="C147" t="str">
            <v>VELADOR</v>
          </cell>
          <cell r="D147">
            <v>756.65</v>
          </cell>
        </row>
        <row r="148">
          <cell r="A148">
            <v>3612</v>
          </cell>
          <cell r="B148" t="str">
            <v>ORTEGA HERNÁNDEZ JOSÉ ALBERTO</v>
          </cell>
          <cell r="C148" t="str">
            <v>OF</v>
          </cell>
          <cell r="D148">
            <v>608.38</v>
          </cell>
        </row>
        <row r="149">
          <cell r="A149">
            <v>3627</v>
          </cell>
          <cell r="B149" t="str">
            <v>LUEVANO ORTIZ JESUS EDUARDO</v>
          </cell>
          <cell r="C149" t="str">
            <v>PEON</v>
          </cell>
          <cell r="D149">
            <v>337.98</v>
          </cell>
        </row>
        <row r="150">
          <cell r="A150">
            <v>3630</v>
          </cell>
          <cell r="B150" t="str">
            <v>LUEVANOS ORTIZ JOSE JAVIER</v>
          </cell>
          <cell r="C150" t="str">
            <v>PEON</v>
          </cell>
          <cell r="D150">
            <v>337.98</v>
          </cell>
        </row>
        <row r="151">
          <cell r="A151">
            <v>3655</v>
          </cell>
          <cell r="B151" t="str">
            <v>GUERRERO CHAVEZ JOSE LEONARDO</v>
          </cell>
          <cell r="C151" t="str">
            <v>PEON</v>
          </cell>
          <cell r="D151">
            <v>337.98</v>
          </cell>
        </row>
        <row r="152">
          <cell r="A152">
            <v>3682</v>
          </cell>
          <cell r="B152" t="str">
            <v>BARRÓN GARCÍA JOSÉ DAMACIO</v>
          </cell>
          <cell r="C152" t="str">
            <v>OF</v>
          </cell>
          <cell r="D152">
            <v>660</v>
          </cell>
        </row>
        <row r="153">
          <cell r="A153">
            <v>3725</v>
          </cell>
          <cell r="B153" t="str">
            <v>ARROYO SANCHEZ JOSE CARLOS</v>
          </cell>
          <cell r="C153" t="str">
            <v>PEON</v>
          </cell>
          <cell r="D153">
            <v>337.98</v>
          </cell>
        </row>
        <row r="154">
          <cell r="A154">
            <v>3753</v>
          </cell>
          <cell r="B154" t="str">
            <v>TOSCANO LOPEZ SERGIO</v>
          </cell>
          <cell r="C154" t="str">
            <v>PEON</v>
          </cell>
          <cell r="D154">
            <v>383.4</v>
          </cell>
        </row>
        <row r="155">
          <cell r="A155">
            <v>3759</v>
          </cell>
          <cell r="B155" t="str">
            <v>RUVALCABA VERGARA JOSE LUIS</v>
          </cell>
          <cell r="C155" t="str">
            <v>OF</v>
          </cell>
          <cell r="D155">
            <v>516.89</v>
          </cell>
        </row>
        <row r="156">
          <cell r="A156">
            <v>3792</v>
          </cell>
          <cell r="B156" t="str">
            <v>RAMOS ALVARADO JOSE DE JESUS</v>
          </cell>
          <cell r="C156" t="str">
            <v>PEON</v>
          </cell>
          <cell r="D156">
            <v>383.4</v>
          </cell>
        </row>
        <row r="157">
          <cell r="A157">
            <v>3799</v>
          </cell>
          <cell r="B157" t="str">
            <v>VAZQUEZ HERNANDEZ JORGE</v>
          </cell>
          <cell r="C157" t="str">
            <v>OF</v>
          </cell>
          <cell r="D157">
            <v>608.38</v>
          </cell>
        </row>
        <row r="158">
          <cell r="A158">
            <v>3850</v>
          </cell>
          <cell r="B158" t="str">
            <v>SILONXOCHILT HERRERA HERIBERTO</v>
          </cell>
          <cell r="C158" t="str">
            <v>OF</v>
          </cell>
          <cell r="D158">
            <v>608.38</v>
          </cell>
        </row>
        <row r="159">
          <cell r="A159">
            <v>3859</v>
          </cell>
          <cell r="B159" t="str">
            <v>SALAZAR DE LOS SANTOS JORGE ADRIAN</v>
          </cell>
          <cell r="C159" t="str">
            <v>OF</v>
          </cell>
          <cell r="D159">
            <v>608.38</v>
          </cell>
        </row>
        <row r="160">
          <cell r="A160">
            <v>3870</v>
          </cell>
          <cell r="B160" t="str">
            <v>NAJAR TORRES JUAN MANUEL</v>
          </cell>
          <cell r="C160" t="str">
            <v>PEON</v>
          </cell>
          <cell r="D160">
            <v>383.4</v>
          </cell>
        </row>
        <row r="161">
          <cell r="A161">
            <v>3872</v>
          </cell>
          <cell r="B161" t="str">
            <v>HERNANDEZ ESTRADA JOSE LUIS</v>
          </cell>
          <cell r="C161" t="str">
            <v>PEON</v>
          </cell>
          <cell r="D161">
            <v>337.98</v>
          </cell>
        </row>
        <row r="162">
          <cell r="A162">
            <v>3879</v>
          </cell>
          <cell r="B162" t="str">
            <v>SOTO SOTO ROGELIO</v>
          </cell>
          <cell r="C162" t="str">
            <v>PEON</v>
          </cell>
          <cell r="D162">
            <v>337.98</v>
          </cell>
        </row>
        <row r="163">
          <cell r="A163">
            <v>3883</v>
          </cell>
          <cell r="B163" t="str">
            <v>RAMIREZ RUBIO CARLOS</v>
          </cell>
          <cell r="C163" t="str">
            <v>PEON</v>
          </cell>
          <cell r="D163">
            <v>383.4</v>
          </cell>
        </row>
        <row r="164">
          <cell r="A164">
            <v>3892</v>
          </cell>
          <cell r="B164" t="str">
            <v>MEDELLIN LOPEZ FELIX ALEJANDRO</v>
          </cell>
          <cell r="C164" t="str">
            <v>OF</v>
          </cell>
          <cell r="D164">
            <v>608.38</v>
          </cell>
        </row>
        <row r="165">
          <cell r="A165">
            <v>3914</v>
          </cell>
          <cell r="B165" t="str">
            <v>BIZARRO MACIAS PEDRO</v>
          </cell>
          <cell r="C165" t="str">
            <v>OF</v>
          </cell>
          <cell r="D165">
            <v>608.38</v>
          </cell>
        </row>
        <row r="166">
          <cell r="A166">
            <v>3918</v>
          </cell>
          <cell r="B166" t="str">
            <v>PEREZ MENDOZA JOSE FLORENTINO</v>
          </cell>
          <cell r="C166" t="str">
            <v>OF</v>
          </cell>
          <cell r="D166">
            <v>608.38</v>
          </cell>
        </row>
        <row r="167">
          <cell r="A167">
            <v>3919</v>
          </cell>
          <cell r="B167" t="str">
            <v>HERNANDEZ LOPEZ VALENTIN</v>
          </cell>
          <cell r="C167" t="str">
            <v>PEON</v>
          </cell>
          <cell r="D167">
            <v>337.98</v>
          </cell>
        </row>
        <row r="168">
          <cell r="A168">
            <v>3920</v>
          </cell>
          <cell r="B168" t="str">
            <v>BIZARRO XILONZOCHITL MISAEL</v>
          </cell>
          <cell r="C168" t="str">
            <v>OF</v>
          </cell>
          <cell r="D168">
            <v>608.38</v>
          </cell>
        </row>
        <row r="169">
          <cell r="A169">
            <v>3925</v>
          </cell>
          <cell r="B169" t="str">
            <v>AGUILAR SAUCEDO RICARDO JAVIER</v>
          </cell>
          <cell r="C169" t="str">
            <v>OF</v>
          </cell>
          <cell r="D169">
            <v>608.38</v>
          </cell>
        </row>
        <row r="170">
          <cell r="A170">
            <v>3926</v>
          </cell>
          <cell r="B170" t="str">
            <v>ESCOTO MENDOZA JOSE EDUARDO</v>
          </cell>
          <cell r="C170" t="str">
            <v>OF</v>
          </cell>
          <cell r="D170">
            <v>608.38</v>
          </cell>
        </row>
        <row r="171">
          <cell r="A171">
            <v>3930</v>
          </cell>
          <cell r="B171" t="str">
            <v>ENRIQUEZ CAMARENA GREGORIO</v>
          </cell>
          <cell r="C171" t="str">
            <v>OF</v>
          </cell>
          <cell r="D171">
            <v>608.38</v>
          </cell>
        </row>
        <row r="172">
          <cell r="A172">
            <v>3932</v>
          </cell>
          <cell r="B172" t="str">
            <v>ENRÍQUEZ XILONZOCHITL CARLOS DAVID</v>
          </cell>
          <cell r="C172" t="str">
            <v>OF</v>
          </cell>
          <cell r="D172">
            <v>608.38</v>
          </cell>
        </row>
        <row r="173">
          <cell r="A173">
            <v>3934</v>
          </cell>
          <cell r="B173" t="str">
            <v>SANCHEZ DIAZ DANIEL</v>
          </cell>
          <cell r="C173" t="str">
            <v>OF</v>
          </cell>
          <cell r="D173">
            <v>608.38</v>
          </cell>
        </row>
        <row r="174">
          <cell r="A174">
            <v>3951</v>
          </cell>
          <cell r="B174" t="str">
            <v>AGUILAR ENRRIQUEZ LUIS FELIPE</v>
          </cell>
          <cell r="C174" t="str">
            <v>OF</v>
          </cell>
          <cell r="D174">
            <v>608.38</v>
          </cell>
        </row>
        <row r="175">
          <cell r="A175">
            <v>3965</v>
          </cell>
          <cell r="B175" t="str">
            <v>BAÑUELOS MEJIA ALFREDO</v>
          </cell>
          <cell r="C175" t="str">
            <v>OF</v>
          </cell>
          <cell r="D175">
            <v>608.38</v>
          </cell>
        </row>
        <row r="176">
          <cell r="A176">
            <v>3993</v>
          </cell>
          <cell r="B176" t="str">
            <v>JIMENEZ FLORES ANTONIO RAFAEL</v>
          </cell>
          <cell r="C176" t="str">
            <v>OF</v>
          </cell>
          <cell r="D176">
            <v>608.38</v>
          </cell>
        </row>
        <row r="177">
          <cell r="A177">
            <v>3998</v>
          </cell>
          <cell r="B177" t="str">
            <v>MELENDEZ JIMENEZ FAUSTINO</v>
          </cell>
          <cell r="C177" t="str">
            <v>OF</v>
          </cell>
          <cell r="D177">
            <v>608.38</v>
          </cell>
        </row>
        <row r="178">
          <cell r="A178">
            <v>4005</v>
          </cell>
          <cell r="B178" t="str">
            <v>XILONZOCHITL OCAMPO FORTUNATO</v>
          </cell>
          <cell r="C178" t="str">
            <v>OF</v>
          </cell>
          <cell r="D178">
            <v>608.38</v>
          </cell>
        </row>
        <row r="179">
          <cell r="A179">
            <v>4016</v>
          </cell>
          <cell r="B179" t="str">
            <v>CANDELARIO CORDOBA ALEJANDRO</v>
          </cell>
          <cell r="C179" t="str">
            <v>OF</v>
          </cell>
          <cell r="D179">
            <v>608.38</v>
          </cell>
        </row>
        <row r="180">
          <cell r="A180">
            <v>4025</v>
          </cell>
          <cell r="B180" t="str">
            <v>GONZALEZ NAVARRO HECTOR MIGUEL</v>
          </cell>
          <cell r="C180" t="str">
            <v>PEON</v>
          </cell>
          <cell r="D180">
            <v>337.98</v>
          </cell>
        </row>
        <row r="181">
          <cell r="A181">
            <v>4031</v>
          </cell>
          <cell r="B181" t="str">
            <v>SALAZAR DE LOS SANTOS JESÚS IGNACIO</v>
          </cell>
          <cell r="C181" t="str">
            <v>OF</v>
          </cell>
          <cell r="D181">
            <v>608.38</v>
          </cell>
        </row>
        <row r="182">
          <cell r="A182">
            <v>4044</v>
          </cell>
          <cell r="B182" t="str">
            <v>FLORES RODRIGUEZ JESUS</v>
          </cell>
          <cell r="C182" t="str">
            <v>VELADOR</v>
          </cell>
          <cell r="D182">
            <v>337.98</v>
          </cell>
        </row>
        <row r="183">
          <cell r="A183">
            <v>4057</v>
          </cell>
          <cell r="B183" t="str">
            <v>VALENTIN HERRERA MIGUEL ANGEL</v>
          </cell>
          <cell r="C183" t="str">
            <v>OF</v>
          </cell>
          <cell r="D183">
            <v>608.38</v>
          </cell>
        </row>
        <row r="184">
          <cell r="A184">
            <v>4066</v>
          </cell>
          <cell r="B184" t="str">
            <v>ELVIRA TADEO GABRIEL</v>
          </cell>
          <cell r="C184" t="str">
            <v>OF</v>
          </cell>
          <cell r="D184">
            <v>608.38</v>
          </cell>
        </row>
        <row r="185">
          <cell r="A185">
            <v>4072</v>
          </cell>
          <cell r="B185" t="str">
            <v>OROZCO FLORES RODOLFO MAXIMILIANO</v>
          </cell>
          <cell r="C185" t="str">
            <v>PEON</v>
          </cell>
          <cell r="D185">
            <v>337.98</v>
          </cell>
        </row>
        <row r="186">
          <cell r="A186">
            <v>4083</v>
          </cell>
          <cell r="B186" t="str">
            <v>CÓRDOVA NICASIO SAMUEL ENRIQUE</v>
          </cell>
          <cell r="C186" t="str">
            <v>PEON</v>
          </cell>
          <cell r="D186">
            <v>337.98</v>
          </cell>
        </row>
        <row r="187">
          <cell r="A187">
            <v>4120</v>
          </cell>
          <cell r="B187" t="str">
            <v>GAVILAN MACIAS JOAQUIN</v>
          </cell>
          <cell r="C187" t="str">
            <v>PINTOR</v>
          </cell>
          <cell r="D187">
            <v>608.38</v>
          </cell>
        </row>
        <row r="188">
          <cell r="A188">
            <v>4121</v>
          </cell>
          <cell r="B188" t="str">
            <v>GARCIA CRUZ JOSE RAMON</v>
          </cell>
          <cell r="C188" t="str">
            <v>OF</v>
          </cell>
          <cell r="D188">
            <v>608.38</v>
          </cell>
        </row>
        <row r="189">
          <cell r="A189">
            <v>4144</v>
          </cell>
          <cell r="B189" t="str">
            <v>MARTÍNEZ DUEÑAS RIGOBERTO</v>
          </cell>
          <cell r="C189" t="str">
            <v>OF</v>
          </cell>
          <cell r="D189">
            <v>608.38</v>
          </cell>
        </row>
        <row r="190">
          <cell r="A190">
            <v>4150</v>
          </cell>
          <cell r="B190" t="str">
            <v>CORDOVA CRUZ JUAN CARLOS</v>
          </cell>
          <cell r="C190" t="str">
            <v>JARD</v>
          </cell>
          <cell r="D190">
            <v>619.7</v>
          </cell>
        </row>
        <row r="191">
          <cell r="A191">
            <v>4186</v>
          </cell>
          <cell r="B191" t="str">
            <v>DURAN GONZALEZ ELIAS GUADALUPE</v>
          </cell>
          <cell r="C191" t="str">
            <v>OF</v>
          </cell>
          <cell r="D191">
            <v>608.38</v>
          </cell>
        </row>
        <row r="192">
          <cell r="A192">
            <v>4209</v>
          </cell>
          <cell r="B192" t="str">
            <v>TORRES CASILLAS LEOBARDO</v>
          </cell>
          <cell r="C192" t="str">
            <v>PINTOR</v>
          </cell>
          <cell r="D192">
            <v>608.38</v>
          </cell>
        </row>
        <row r="193">
          <cell r="A193">
            <v>4220</v>
          </cell>
          <cell r="B193" t="str">
            <v>CORTES CAMPOS ROBERTO</v>
          </cell>
          <cell r="C193" t="str">
            <v>OF</v>
          </cell>
          <cell r="D193">
            <v>608.38</v>
          </cell>
        </row>
        <row r="194">
          <cell r="A194">
            <v>4222</v>
          </cell>
          <cell r="B194" t="str">
            <v>SOLANO GONZALEZ JUAN MANUEL</v>
          </cell>
          <cell r="C194" t="str">
            <v>JARD</v>
          </cell>
          <cell r="D194">
            <v>646.69</v>
          </cell>
        </row>
        <row r="195">
          <cell r="A195">
            <v>4231</v>
          </cell>
          <cell r="B195" t="str">
            <v>HERRERA ORTEGA RAYMUNDO SEBASTIAN</v>
          </cell>
          <cell r="C195" t="str">
            <v>SOLD</v>
          </cell>
          <cell r="D195">
            <v>608.38</v>
          </cell>
        </row>
        <row r="196">
          <cell r="A196">
            <v>4252</v>
          </cell>
          <cell r="B196" t="str">
            <v>ARANDA OROZCO FIDEL</v>
          </cell>
          <cell r="C196" t="str">
            <v>PEON</v>
          </cell>
          <cell r="D196">
            <v>383.4</v>
          </cell>
        </row>
        <row r="197">
          <cell r="A197">
            <v>4254</v>
          </cell>
          <cell r="B197" t="str">
            <v>ARANDA OROZCO GABRIEL</v>
          </cell>
          <cell r="C197" t="str">
            <v>PEON</v>
          </cell>
          <cell r="D197">
            <v>383.4</v>
          </cell>
        </row>
        <row r="198">
          <cell r="A198">
            <v>4256</v>
          </cell>
          <cell r="B198" t="str">
            <v>VÁZQUEZ HERNÁNDEZ GILBERTO</v>
          </cell>
          <cell r="C198" t="str">
            <v>OF</v>
          </cell>
          <cell r="D198">
            <v>608.38</v>
          </cell>
        </row>
        <row r="199">
          <cell r="A199">
            <v>4263</v>
          </cell>
          <cell r="B199" t="str">
            <v>DAMIAN MARTINEZ GERARDO</v>
          </cell>
          <cell r="C199" t="str">
            <v>PEON</v>
          </cell>
          <cell r="D199">
            <v>383.4</v>
          </cell>
        </row>
        <row r="200">
          <cell r="A200">
            <v>4264</v>
          </cell>
          <cell r="B200" t="str">
            <v>GONZÁLEZ CAMPOS FELIPE</v>
          </cell>
          <cell r="C200" t="str">
            <v>PEON</v>
          </cell>
          <cell r="D200">
            <v>337.98</v>
          </cell>
        </row>
        <row r="201">
          <cell r="A201">
            <v>4268</v>
          </cell>
          <cell r="B201" t="str">
            <v>NAVARRO ACOSTA ALEJANDRO</v>
          </cell>
          <cell r="C201" t="str">
            <v>PEON</v>
          </cell>
          <cell r="D201">
            <v>383.4</v>
          </cell>
        </row>
        <row r="202">
          <cell r="A202">
            <v>4281</v>
          </cell>
          <cell r="B202" t="str">
            <v>BRISEÑO PINTOR SALVADOR</v>
          </cell>
          <cell r="C202" t="str">
            <v>PEON</v>
          </cell>
          <cell r="D202">
            <v>337.98</v>
          </cell>
        </row>
        <row r="203">
          <cell r="A203">
            <v>4282</v>
          </cell>
          <cell r="B203" t="str">
            <v>DE LA TORRE BRISEÑO OSCAR</v>
          </cell>
          <cell r="C203" t="str">
            <v>OF</v>
          </cell>
          <cell r="D203">
            <v>608.38</v>
          </cell>
        </row>
        <row r="204">
          <cell r="A204">
            <v>4285</v>
          </cell>
          <cell r="B204" t="str">
            <v>XILONZOCHILT OCAMPO GENARO</v>
          </cell>
          <cell r="C204" t="str">
            <v>OF</v>
          </cell>
          <cell r="D204">
            <v>608.38</v>
          </cell>
        </row>
        <row r="205">
          <cell r="A205">
            <v>4286</v>
          </cell>
          <cell r="B205" t="str">
            <v>XILONZOCHITL SALDAÑA ALBERTO DIONICIO</v>
          </cell>
          <cell r="C205" t="str">
            <v>PEON</v>
          </cell>
          <cell r="D205">
            <v>337.98</v>
          </cell>
        </row>
        <row r="206">
          <cell r="A206">
            <v>4287</v>
          </cell>
          <cell r="B206" t="str">
            <v>XILONZOCHITL SALDAÑA JOSÉ LUIS</v>
          </cell>
          <cell r="C206" t="str">
            <v>OF</v>
          </cell>
          <cell r="D206">
            <v>608.38</v>
          </cell>
        </row>
        <row r="207">
          <cell r="A207">
            <v>4297</v>
          </cell>
          <cell r="B207" t="str">
            <v>GUTIÉRREZ CONTRERAS IRAK IVÁN</v>
          </cell>
          <cell r="C207" t="str">
            <v>PEON</v>
          </cell>
          <cell r="D207">
            <v>337.98</v>
          </cell>
        </row>
        <row r="208">
          <cell r="A208">
            <v>4298</v>
          </cell>
          <cell r="B208" t="str">
            <v>SEGURA DIAZ JAVIER</v>
          </cell>
          <cell r="C208" t="str">
            <v>PEON</v>
          </cell>
          <cell r="D208">
            <v>451</v>
          </cell>
        </row>
        <row r="209">
          <cell r="A209">
            <v>4302</v>
          </cell>
          <cell r="B209" t="str">
            <v>GARCIA CRUZ FLAVIO CESAR</v>
          </cell>
          <cell r="C209" t="str">
            <v>PEON</v>
          </cell>
          <cell r="D209">
            <v>337.98</v>
          </cell>
        </row>
        <row r="210">
          <cell r="A210">
            <v>4303</v>
          </cell>
          <cell r="B210" t="str">
            <v>VALENTIN OLIVO DAVID</v>
          </cell>
          <cell r="C210" t="str">
            <v>OF</v>
          </cell>
          <cell r="D210">
            <v>608.38</v>
          </cell>
        </row>
        <row r="211">
          <cell r="A211">
            <v>4310</v>
          </cell>
          <cell r="B211" t="str">
            <v>ENRÍQUEZ XILONZÓCHITL JUAN CARLOS</v>
          </cell>
          <cell r="C211" t="str">
            <v>OF</v>
          </cell>
          <cell r="D211">
            <v>608.38</v>
          </cell>
        </row>
        <row r="212">
          <cell r="A212">
            <v>4319</v>
          </cell>
          <cell r="B212" t="str">
            <v>CRUZ CABRERA SERGIO</v>
          </cell>
          <cell r="C212" t="str">
            <v>PEON</v>
          </cell>
          <cell r="D212">
            <v>337.98</v>
          </cell>
        </row>
        <row r="213">
          <cell r="A213">
            <v>4325</v>
          </cell>
          <cell r="B213" t="str">
            <v>AVALOS PICAZO EDGAR ISAAC</v>
          </cell>
          <cell r="C213" t="str">
            <v>PEON</v>
          </cell>
          <cell r="D213">
            <v>337.98</v>
          </cell>
        </row>
        <row r="214">
          <cell r="A214">
            <v>4329</v>
          </cell>
          <cell r="B214" t="str">
            <v>CAMPOS NARVAEZ JUAN PABLO</v>
          </cell>
          <cell r="C214" t="str">
            <v>OF</v>
          </cell>
          <cell r="D214">
            <v>608.38</v>
          </cell>
        </row>
        <row r="215">
          <cell r="A215">
            <v>4332</v>
          </cell>
          <cell r="B215" t="str">
            <v>HERNANDEZ REYES PEDRO</v>
          </cell>
          <cell r="C215" t="str">
            <v>PEON</v>
          </cell>
          <cell r="D215">
            <v>337.98</v>
          </cell>
        </row>
        <row r="216">
          <cell r="A216">
            <v>4362</v>
          </cell>
          <cell r="B216" t="str">
            <v>DE LA TORRE BRISEÑO RICARDO</v>
          </cell>
          <cell r="C216" t="str">
            <v>PEON</v>
          </cell>
          <cell r="D216">
            <v>337.98</v>
          </cell>
        </row>
        <row r="217">
          <cell r="A217">
            <v>4365</v>
          </cell>
          <cell r="B217" t="str">
            <v>RAMIREZ ROSALES FEDERICO</v>
          </cell>
          <cell r="C217" t="str">
            <v>PEON</v>
          </cell>
          <cell r="D217">
            <v>383.4</v>
          </cell>
        </row>
        <row r="218">
          <cell r="A218">
            <v>4368</v>
          </cell>
          <cell r="B218" t="str">
            <v>MORA MACIAS OCTAVIANO</v>
          </cell>
          <cell r="C218" t="str">
            <v>OF</v>
          </cell>
          <cell r="D218">
            <v>608.38</v>
          </cell>
        </row>
        <row r="219">
          <cell r="A219">
            <v>4369</v>
          </cell>
          <cell r="B219" t="str">
            <v>MORA JIMENEZ ELI EMMANUEL</v>
          </cell>
          <cell r="C219" t="str">
            <v>OF</v>
          </cell>
          <cell r="D219">
            <v>608.38</v>
          </cell>
        </row>
        <row r="220">
          <cell r="A220">
            <v>4377</v>
          </cell>
          <cell r="B220" t="str">
            <v>RODRIGUEZ PADILLA JUAN LUIS</v>
          </cell>
          <cell r="C220" t="str">
            <v>PEON</v>
          </cell>
          <cell r="D220">
            <v>337.98</v>
          </cell>
        </row>
        <row r="221">
          <cell r="A221">
            <v>4380</v>
          </cell>
          <cell r="B221" t="str">
            <v>DURAN GONZALEZ JUAN ALONSO</v>
          </cell>
          <cell r="C221" t="str">
            <v>OF</v>
          </cell>
          <cell r="D221">
            <v>608.38</v>
          </cell>
        </row>
        <row r="222">
          <cell r="A222">
            <v>4382</v>
          </cell>
          <cell r="B222" t="str">
            <v>MORA GARCIA RAFAEL</v>
          </cell>
          <cell r="C222" t="str">
            <v>OF</v>
          </cell>
          <cell r="D222">
            <v>608.38</v>
          </cell>
        </row>
        <row r="223">
          <cell r="A223">
            <v>4416</v>
          </cell>
          <cell r="B223" t="str">
            <v>SAUCEDO GARCIA JUAN FELIPE</v>
          </cell>
          <cell r="C223" t="str">
            <v>PEON</v>
          </cell>
          <cell r="D223">
            <v>337.98</v>
          </cell>
        </row>
        <row r="224">
          <cell r="A224">
            <v>4423</v>
          </cell>
          <cell r="B224" t="str">
            <v>ARREGUIN ATILANO ANDRES</v>
          </cell>
          <cell r="C224" t="str">
            <v>PEON</v>
          </cell>
          <cell r="D224">
            <v>383.4</v>
          </cell>
        </row>
        <row r="225">
          <cell r="A225">
            <v>4439</v>
          </cell>
          <cell r="B225" t="str">
            <v>CORDOVA CRUZ HUGO</v>
          </cell>
          <cell r="C225" t="str">
            <v>PEON</v>
          </cell>
          <cell r="D225">
            <v>337.98</v>
          </cell>
        </row>
        <row r="226">
          <cell r="A226">
            <v>4442</v>
          </cell>
          <cell r="B226" t="str">
            <v>CERVANTES BENITES ANGEL OMAR</v>
          </cell>
          <cell r="C226" t="str">
            <v>OF</v>
          </cell>
          <cell r="D226">
            <v>608.38</v>
          </cell>
        </row>
        <row r="227">
          <cell r="A227">
            <v>4443</v>
          </cell>
          <cell r="B227" t="str">
            <v>ROQUE PINEDA OMAR ABDIAS</v>
          </cell>
          <cell r="C227" t="str">
            <v>PEON</v>
          </cell>
          <cell r="D227">
            <v>451</v>
          </cell>
        </row>
        <row r="228">
          <cell r="A228">
            <v>4465</v>
          </cell>
          <cell r="B228" t="str">
            <v>GARCIA HERNANDEZ GENARO</v>
          </cell>
          <cell r="C228" t="str">
            <v>PEON</v>
          </cell>
          <cell r="D228">
            <v>432</v>
          </cell>
        </row>
        <row r="229">
          <cell r="A229">
            <v>4467</v>
          </cell>
          <cell r="B229" t="str">
            <v>SOLANO GALINDO GREGORIO SILVINO</v>
          </cell>
          <cell r="C229" t="str">
            <v>OF</v>
          </cell>
          <cell r="D229">
            <v>608.38</v>
          </cell>
        </row>
        <row r="230">
          <cell r="A230">
            <v>4475</v>
          </cell>
          <cell r="B230" t="str">
            <v>RODRIGUEZ GARCIA MARCOS ALBERTO</v>
          </cell>
          <cell r="C230" t="str">
            <v>PEON</v>
          </cell>
          <cell r="D230">
            <v>337.98</v>
          </cell>
        </row>
        <row r="231">
          <cell r="A231">
            <v>4476</v>
          </cell>
          <cell r="B231" t="str">
            <v>GARCIA HERNANDEZ EFREN</v>
          </cell>
          <cell r="C231" t="str">
            <v>PEON</v>
          </cell>
          <cell r="D231">
            <v>383.4</v>
          </cell>
        </row>
        <row r="232">
          <cell r="A232">
            <v>4477</v>
          </cell>
          <cell r="B232" t="str">
            <v>VILLA LOPEZ GERARDO</v>
          </cell>
          <cell r="C232" t="str">
            <v>OF</v>
          </cell>
          <cell r="D232">
            <v>608.38</v>
          </cell>
        </row>
        <row r="233">
          <cell r="A233">
            <v>4480</v>
          </cell>
          <cell r="B233" t="str">
            <v>VILLA LÓPEZ FRANCISCO</v>
          </cell>
          <cell r="C233" t="str">
            <v>OF</v>
          </cell>
          <cell r="D233">
            <v>608.38</v>
          </cell>
        </row>
        <row r="234">
          <cell r="A234">
            <v>4489</v>
          </cell>
          <cell r="B234" t="str">
            <v>AGUILA HEREDIA EMILIO</v>
          </cell>
          <cell r="C234" t="str">
            <v>PEON</v>
          </cell>
          <cell r="D234">
            <v>337.98</v>
          </cell>
        </row>
        <row r="235">
          <cell r="A235">
            <v>4506</v>
          </cell>
          <cell r="B235" t="str">
            <v>GONZALEZ RAMIREZ MIGUEL</v>
          </cell>
          <cell r="C235" t="str">
            <v>OF</v>
          </cell>
          <cell r="D235">
            <v>608.38</v>
          </cell>
        </row>
        <row r="236">
          <cell r="A236">
            <v>4513</v>
          </cell>
          <cell r="B236" t="str">
            <v>AMEZQUITA PACHECO VICTOR</v>
          </cell>
          <cell r="C236" t="str">
            <v>PEON</v>
          </cell>
          <cell r="D236">
            <v>383.4</v>
          </cell>
        </row>
        <row r="237">
          <cell r="A237">
            <v>4516</v>
          </cell>
          <cell r="B237" t="str">
            <v>XILONZOCHITL SALDAÑA ANGEL ASENCION</v>
          </cell>
          <cell r="C237" t="str">
            <v>PEON</v>
          </cell>
          <cell r="D237">
            <v>337.98</v>
          </cell>
        </row>
        <row r="238">
          <cell r="A238">
            <v>4520</v>
          </cell>
          <cell r="B238" t="str">
            <v>GONZALEZ NAVARRO CARLOS EDUARDO</v>
          </cell>
          <cell r="C238" t="str">
            <v>PEON</v>
          </cell>
          <cell r="D238">
            <v>337.98</v>
          </cell>
        </row>
        <row r="239">
          <cell r="A239">
            <v>4524</v>
          </cell>
          <cell r="B239" t="str">
            <v>ULLOA HERNANDEZ JOSE MANUEL</v>
          </cell>
          <cell r="C239" t="str">
            <v>OF</v>
          </cell>
          <cell r="D239">
            <v>608.38</v>
          </cell>
        </row>
        <row r="240">
          <cell r="A240">
            <v>4529</v>
          </cell>
          <cell r="B240" t="str">
            <v>GONZALEZ BRACAMONTES JESUS</v>
          </cell>
          <cell r="C240" t="str">
            <v>PINTOR</v>
          </cell>
          <cell r="D240">
            <v>608.38</v>
          </cell>
        </row>
        <row r="241">
          <cell r="A241">
            <v>4530</v>
          </cell>
          <cell r="B241" t="str">
            <v>CASTREJON FLORES JOSE</v>
          </cell>
          <cell r="C241" t="str">
            <v>PEON</v>
          </cell>
          <cell r="D241">
            <v>383.4</v>
          </cell>
        </row>
        <row r="242">
          <cell r="A242">
            <v>4531</v>
          </cell>
          <cell r="B242" t="str">
            <v>VILLA LOPEZ JOSE MARIA</v>
          </cell>
          <cell r="C242" t="str">
            <v>OF</v>
          </cell>
          <cell r="D242">
            <v>608.38</v>
          </cell>
        </row>
        <row r="243">
          <cell r="A243">
            <v>4533</v>
          </cell>
          <cell r="B243" t="str">
            <v>DIAZ ARCINIEGA GILBERTO</v>
          </cell>
          <cell r="C243" t="str">
            <v>PEON</v>
          </cell>
          <cell r="D243">
            <v>337.98</v>
          </cell>
        </row>
        <row r="244">
          <cell r="A244">
            <v>4534</v>
          </cell>
          <cell r="B244" t="str">
            <v>VILLA LÓPEZ JORGE ARMANDO</v>
          </cell>
          <cell r="C244" t="str">
            <v>OF</v>
          </cell>
          <cell r="D244">
            <v>608.38</v>
          </cell>
        </row>
        <row r="245">
          <cell r="A245">
            <v>4537</v>
          </cell>
          <cell r="B245" t="str">
            <v>VILLA LÓPEZ RUBÉN ERASMO</v>
          </cell>
          <cell r="C245" t="str">
            <v>OF</v>
          </cell>
          <cell r="D245">
            <v>608.38</v>
          </cell>
        </row>
        <row r="246">
          <cell r="A246">
            <v>4543</v>
          </cell>
          <cell r="B246" t="str">
            <v>RODRIGUEZ GARZA HILARIO</v>
          </cell>
          <cell r="C246" t="str">
            <v>OF</v>
          </cell>
          <cell r="D246">
            <v>608.38</v>
          </cell>
        </row>
        <row r="247">
          <cell r="A247">
            <v>4544</v>
          </cell>
          <cell r="B247" t="str">
            <v>RANGEL IBARRA RUBEN</v>
          </cell>
          <cell r="C247" t="str">
            <v>PEON</v>
          </cell>
          <cell r="D247">
            <v>337.98</v>
          </cell>
        </row>
        <row r="248">
          <cell r="A248">
            <v>4550</v>
          </cell>
          <cell r="B248" t="str">
            <v>VEGA ESPARZA MAYRA MARGARITA</v>
          </cell>
          <cell r="C248" t="str">
            <v>ASEO</v>
          </cell>
          <cell r="D248">
            <v>428.571428571429</v>
          </cell>
        </row>
        <row r="249">
          <cell r="A249">
            <v>4556</v>
          </cell>
          <cell r="B249" t="str">
            <v>ROSAS RAMIREZ MACARIO</v>
          </cell>
          <cell r="C249" t="str">
            <v>PEON</v>
          </cell>
          <cell r="D249">
            <v>383.4</v>
          </cell>
        </row>
        <row r="250">
          <cell r="A250">
            <v>4560</v>
          </cell>
          <cell r="B250" t="str">
            <v>XILONZOCHITL MORA RICARDO</v>
          </cell>
          <cell r="C250" t="str">
            <v>PEON</v>
          </cell>
          <cell r="D250">
            <v>337.98</v>
          </cell>
        </row>
        <row r="251">
          <cell r="A251">
            <v>4573</v>
          </cell>
          <cell r="B251" t="str">
            <v>DE LA TORRE LOPEZ GUILLERMO</v>
          </cell>
          <cell r="C251" t="str">
            <v>OF</v>
          </cell>
          <cell r="D251">
            <v>608.38</v>
          </cell>
        </row>
        <row r="252">
          <cell r="A252">
            <v>4579</v>
          </cell>
          <cell r="B252" t="str">
            <v>LOPEZ NICASIO ISELA NOEMI</v>
          </cell>
          <cell r="C252" t="str">
            <v>ASEO</v>
          </cell>
          <cell r="D252">
            <v>441.38</v>
          </cell>
        </row>
        <row r="253">
          <cell r="A253">
            <v>4580</v>
          </cell>
          <cell r="B253" t="str">
            <v>ENRIQUEZ CAMARENA MOISES ALEJANDRO</v>
          </cell>
          <cell r="C253" t="str">
            <v>PEON</v>
          </cell>
          <cell r="D253">
            <v>337.98</v>
          </cell>
        </row>
        <row r="254">
          <cell r="A254">
            <v>4582</v>
          </cell>
          <cell r="B254" t="str">
            <v>SALCIDO SANTIBAÑEZ GABRIEL</v>
          </cell>
          <cell r="C254" t="str">
            <v>PEON</v>
          </cell>
          <cell r="D254">
            <v>383.4</v>
          </cell>
        </row>
        <row r="255">
          <cell r="A255">
            <v>4586</v>
          </cell>
          <cell r="B255" t="str">
            <v>RAMÍREZ VILLA JOSÉ EDUARDO</v>
          </cell>
          <cell r="C255" t="str">
            <v>PEON</v>
          </cell>
          <cell r="D255">
            <v>337.98</v>
          </cell>
        </row>
        <row r="256">
          <cell r="A256">
            <v>4587</v>
          </cell>
          <cell r="B256" t="str">
            <v>VILLA LÓPEZ DAVID RIGOBERTO</v>
          </cell>
          <cell r="C256" t="str">
            <v>OF</v>
          </cell>
          <cell r="D256">
            <v>608.38</v>
          </cell>
        </row>
        <row r="257">
          <cell r="A257">
            <v>4602</v>
          </cell>
          <cell r="B257" t="str">
            <v>MARES ECHEVERRIA JUAN ISMAEL</v>
          </cell>
          <cell r="C257" t="str">
            <v>PEON</v>
          </cell>
          <cell r="D257">
            <v>337.98</v>
          </cell>
        </row>
        <row r="258">
          <cell r="A258">
            <v>4614</v>
          </cell>
          <cell r="B258" t="str">
            <v>ENRIQUEZ CAMARENA CHRISTIAN</v>
          </cell>
          <cell r="C258" t="str">
            <v>OF</v>
          </cell>
          <cell r="D258">
            <v>608.38</v>
          </cell>
        </row>
        <row r="259">
          <cell r="A259">
            <v>4626</v>
          </cell>
          <cell r="B259" t="str">
            <v>AMÉZQUITA NAVA JOSÉ GUADALUPE</v>
          </cell>
          <cell r="C259" t="str">
            <v>PEON</v>
          </cell>
          <cell r="D259">
            <v>337.98</v>
          </cell>
        </row>
        <row r="260">
          <cell r="A260">
            <v>4631</v>
          </cell>
          <cell r="B260" t="str">
            <v>LOPEZ MATA FRANCISCO JAVIER</v>
          </cell>
          <cell r="C260" t="str">
            <v>PEON</v>
          </cell>
          <cell r="D260">
            <v>307.25</v>
          </cell>
        </row>
        <row r="261">
          <cell r="A261">
            <v>4636</v>
          </cell>
          <cell r="B261" t="str">
            <v>VERA CAMACHO VALENTIN</v>
          </cell>
          <cell r="C261" t="str">
            <v>PEON</v>
          </cell>
          <cell r="D261">
            <v>337.98</v>
          </cell>
        </row>
        <row r="262">
          <cell r="A262">
            <v>4639</v>
          </cell>
          <cell r="B262" t="str">
            <v>SALINAS ENRÍQUEZ SABINO DANIEL</v>
          </cell>
          <cell r="C262" t="str">
            <v>PEON</v>
          </cell>
          <cell r="D262">
            <v>337.98</v>
          </cell>
        </row>
        <row r="263">
          <cell r="A263">
            <v>4640</v>
          </cell>
          <cell r="B263" t="str">
            <v>DE LOS SANTOS GENTIL MAURICIO</v>
          </cell>
          <cell r="C263" t="str">
            <v>PEON</v>
          </cell>
          <cell r="D263">
            <v>337.98</v>
          </cell>
        </row>
        <row r="264">
          <cell r="A264">
            <v>4641</v>
          </cell>
          <cell r="B264" t="str">
            <v>GONZALEZ SOLANO MONICO OMAR</v>
          </cell>
          <cell r="C264" t="str">
            <v>PEON</v>
          </cell>
          <cell r="D264">
            <v>337.98</v>
          </cell>
        </row>
        <row r="265">
          <cell r="A265">
            <v>4644</v>
          </cell>
          <cell r="B265" t="str">
            <v>CASTELLON LOPEZ LUIS MANUEL</v>
          </cell>
          <cell r="C265" t="str">
            <v>PEON</v>
          </cell>
          <cell r="D265">
            <v>337.98</v>
          </cell>
        </row>
        <row r="266">
          <cell r="A266">
            <v>4645</v>
          </cell>
          <cell r="B266" t="str">
            <v>CORTEZ SANTOS EDGAR IVAN</v>
          </cell>
          <cell r="C266" t="str">
            <v>PEON</v>
          </cell>
          <cell r="D266">
            <v>337.98</v>
          </cell>
        </row>
        <row r="267">
          <cell r="A267">
            <v>4652</v>
          </cell>
          <cell r="B267" t="str">
            <v>CORDOVA GARCIA ALEJANDRO FILEMON</v>
          </cell>
          <cell r="C267" t="str">
            <v>PEON</v>
          </cell>
          <cell r="D267">
            <v>337.98</v>
          </cell>
        </row>
        <row r="268">
          <cell r="A268">
            <v>4653</v>
          </cell>
          <cell r="B268" t="str">
            <v>IBARRA LOPEZ RODOLFO</v>
          </cell>
          <cell r="C268" t="str">
            <v>PEON</v>
          </cell>
          <cell r="D268">
            <v>337.98</v>
          </cell>
        </row>
        <row r="269">
          <cell r="A269">
            <v>4656</v>
          </cell>
          <cell r="B269" t="str">
            <v>APARICIO LAMAS JOSE GUADALUPE</v>
          </cell>
          <cell r="C269" t="str">
            <v>PEON</v>
          </cell>
          <cell r="D269">
            <v>337.98</v>
          </cell>
        </row>
        <row r="270">
          <cell r="A270">
            <v>4657</v>
          </cell>
          <cell r="B270" t="str">
            <v>RODRIGUEZ TAPIA ROCIO ELIZABETH</v>
          </cell>
          <cell r="C270" t="str">
            <v>ASEO</v>
          </cell>
          <cell r="D270">
            <v>391.33</v>
          </cell>
        </row>
        <row r="271">
          <cell r="A271">
            <v>4659</v>
          </cell>
          <cell r="B271" t="str">
            <v>LOMELÍ MADRIGAL MANUEL EDUARDO</v>
          </cell>
          <cell r="C271" t="str">
            <v>PEON</v>
          </cell>
          <cell r="D271">
            <v>337.98</v>
          </cell>
        </row>
        <row r="272">
          <cell r="A272">
            <v>4660</v>
          </cell>
          <cell r="B272" t="str">
            <v>DÁVALOS ROCHA CARLOS</v>
          </cell>
          <cell r="C272" t="str">
            <v>OF</v>
          </cell>
          <cell r="D272">
            <v>608.38</v>
          </cell>
        </row>
        <row r="273">
          <cell r="A273">
            <v>4662</v>
          </cell>
          <cell r="B273" t="str">
            <v>SANCHEZ ALCALA JOSE CARLOS</v>
          </cell>
          <cell r="C273" t="str">
            <v>PEON</v>
          </cell>
          <cell r="D273">
            <v>337.98</v>
          </cell>
        </row>
        <row r="274">
          <cell r="A274">
            <v>4665</v>
          </cell>
          <cell r="B274" t="str">
            <v>HERNANDEZ HERNANDEZ JONATHAN</v>
          </cell>
          <cell r="C274" t="str">
            <v>PEON</v>
          </cell>
          <cell r="D274">
            <v>337.98</v>
          </cell>
        </row>
        <row r="275">
          <cell r="A275">
            <v>4669</v>
          </cell>
          <cell r="B275" t="str">
            <v>VELAZQUEZ BARRIOS JORGE</v>
          </cell>
          <cell r="C275" t="str">
            <v>PEON</v>
          </cell>
          <cell r="D275">
            <v>337.98</v>
          </cell>
        </row>
        <row r="276">
          <cell r="A276">
            <v>4671</v>
          </cell>
          <cell r="B276" t="str">
            <v>MARTINEZ JACOBO JOSE LUIS</v>
          </cell>
          <cell r="C276" t="str">
            <v>PEON</v>
          </cell>
          <cell r="D276">
            <v>337.98</v>
          </cell>
        </row>
        <row r="277">
          <cell r="A277">
            <v>4672</v>
          </cell>
          <cell r="B277" t="str">
            <v>LOPEZ PADILLA JUAN PABLO</v>
          </cell>
          <cell r="C277" t="str">
            <v>PEON</v>
          </cell>
          <cell r="D277">
            <v>337.98</v>
          </cell>
        </row>
        <row r="278">
          <cell r="A278">
            <v>4674</v>
          </cell>
          <cell r="B278" t="str">
            <v>VEGA GUZMAN JOSE MANUEL</v>
          </cell>
          <cell r="C278" t="str">
            <v>PEON</v>
          </cell>
          <cell r="D278">
            <v>337.98</v>
          </cell>
        </row>
        <row r="279">
          <cell r="A279">
            <v>4675</v>
          </cell>
          <cell r="B279" t="str">
            <v>FLORES PATRICIO CESAR ANTONIO</v>
          </cell>
          <cell r="C279" t="str">
            <v>PEON</v>
          </cell>
          <cell r="D279">
            <v>337.98</v>
          </cell>
        </row>
        <row r="280">
          <cell r="A280">
            <v>4677</v>
          </cell>
          <cell r="B280" t="str">
            <v>GONZALEZ NAVARRO LUIS FERNANDO</v>
          </cell>
          <cell r="C280" t="str">
            <v>PEON</v>
          </cell>
          <cell r="D280">
            <v>337.98</v>
          </cell>
        </row>
        <row r="281">
          <cell r="A281">
            <v>4678</v>
          </cell>
          <cell r="B281" t="str">
            <v>RANGEL VARGAS MANUEL</v>
          </cell>
          <cell r="C281" t="str">
            <v>PEON</v>
          </cell>
          <cell r="D281">
            <v>337.98</v>
          </cell>
        </row>
        <row r="282">
          <cell r="A282">
            <v>4679</v>
          </cell>
          <cell r="B282" t="str">
            <v>SILVA PALOMERA HÉCTOR FABIÁN</v>
          </cell>
          <cell r="C282" t="str">
            <v>PEON</v>
          </cell>
          <cell r="D282">
            <v>337.98</v>
          </cell>
        </row>
        <row r="283">
          <cell r="A283">
            <v>4680</v>
          </cell>
          <cell r="B283" t="str">
            <v>CORDOVA CANDELARIO JOSE ENRIQUE</v>
          </cell>
          <cell r="C283" t="str">
            <v>PEON</v>
          </cell>
          <cell r="D283">
            <v>337.98</v>
          </cell>
        </row>
        <row r="284">
          <cell r="A284">
            <v>4685</v>
          </cell>
          <cell r="B284" t="str">
            <v>ZAMORA JIMENEZ JOSE DE JESUS</v>
          </cell>
          <cell r="C284" t="str">
            <v>PEON</v>
          </cell>
          <cell r="D284">
            <v>337.98</v>
          </cell>
        </row>
        <row r="285">
          <cell r="A285">
            <v>4686</v>
          </cell>
          <cell r="B285" t="str">
            <v>TORRES DANIEL VICTOR MANUEL</v>
          </cell>
          <cell r="C285" t="str">
            <v>PEON</v>
          </cell>
          <cell r="D285">
            <v>337.98</v>
          </cell>
        </row>
        <row r="286">
          <cell r="A286">
            <v>4687</v>
          </cell>
          <cell r="B286" t="str">
            <v>RUBIO FLORES JOSE ANGEL</v>
          </cell>
          <cell r="C286" t="str">
            <v>PEON</v>
          </cell>
          <cell r="D286">
            <v>337.98</v>
          </cell>
        </row>
        <row r="287">
          <cell r="A287">
            <v>4691</v>
          </cell>
          <cell r="B287" t="str">
            <v>MELCHOR ROBLES HECTOR ANDRES</v>
          </cell>
          <cell r="C287" t="str">
            <v>PINTOR</v>
          </cell>
          <cell r="D287">
            <v>608.38</v>
          </cell>
        </row>
        <row r="288">
          <cell r="A288">
            <v>4692</v>
          </cell>
          <cell r="B288" t="str">
            <v>GUILLEN LOPEZ JOSE ANTONIO</v>
          </cell>
          <cell r="C288" t="str">
            <v>PEON</v>
          </cell>
          <cell r="D288">
            <v>337.98</v>
          </cell>
        </row>
        <row r="289">
          <cell r="A289">
            <v>4693</v>
          </cell>
          <cell r="B289" t="str">
            <v>DELGADO MEDINA LUIS ALBERTO</v>
          </cell>
          <cell r="C289" t="str">
            <v>OF</v>
          </cell>
          <cell r="D289">
            <v>608.38</v>
          </cell>
        </row>
        <row r="290">
          <cell r="A290">
            <v>4695</v>
          </cell>
          <cell r="B290" t="str">
            <v>GODINEZ JIMENEZ SALVADOR</v>
          </cell>
          <cell r="C290" t="str">
            <v>PEON</v>
          </cell>
          <cell r="D290">
            <v>337.98</v>
          </cell>
        </row>
        <row r="291">
          <cell r="A291">
            <v>4696</v>
          </cell>
          <cell r="B291" t="str">
            <v>GONZALEZ MORA JOSE MANUEL</v>
          </cell>
          <cell r="C291" t="str">
            <v>PEON</v>
          </cell>
          <cell r="D291">
            <v>337.98</v>
          </cell>
        </row>
        <row r="292">
          <cell r="A292">
            <v>4701</v>
          </cell>
          <cell r="B292" t="str">
            <v>TORRES VEGA JUAN CARLOS</v>
          </cell>
          <cell r="C292" t="str">
            <v>PEON</v>
          </cell>
          <cell r="D292">
            <v>337.98</v>
          </cell>
        </row>
        <row r="293">
          <cell r="A293">
            <v>4702</v>
          </cell>
          <cell r="B293" t="str">
            <v>MARTINEZ GOMEZ JOSE CRISTIAN</v>
          </cell>
          <cell r="C293" t="str">
            <v>PEON</v>
          </cell>
          <cell r="D293">
            <v>337.98</v>
          </cell>
        </row>
        <row r="294">
          <cell r="A294">
            <v>4704</v>
          </cell>
          <cell r="B294" t="str">
            <v>ROCHA MICHEL OSCAR MARTIN</v>
          </cell>
          <cell r="C294" t="str">
            <v>PEON</v>
          </cell>
          <cell r="D294">
            <v>337.98</v>
          </cell>
        </row>
        <row r="295">
          <cell r="A295">
            <v>4705</v>
          </cell>
          <cell r="B295" t="str">
            <v>YAÑEZ DE LA CRUZ JOSE JUAN</v>
          </cell>
          <cell r="C295" t="str">
            <v>PEON</v>
          </cell>
          <cell r="D295">
            <v>337.98</v>
          </cell>
        </row>
        <row r="296">
          <cell r="A296">
            <v>4706</v>
          </cell>
          <cell r="B296" t="str">
            <v>MARIN LOPEZ MARCOS MANUEL</v>
          </cell>
          <cell r="C296" t="str">
            <v>PEON</v>
          </cell>
          <cell r="D296">
            <v>337.98</v>
          </cell>
        </row>
        <row r="297">
          <cell r="A297">
            <v>4707</v>
          </cell>
          <cell r="B297" t="str">
            <v>VALLE MORA DANIEL</v>
          </cell>
          <cell r="C297" t="str">
            <v>PEON</v>
          </cell>
          <cell r="D297">
            <v>337.98</v>
          </cell>
        </row>
        <row r="298">
          <cell r="A298">
            <v>4708</v>
          </cell>
          <cell r="B298" t="str">
            <v>REYNAGA RITO SONIA</v>
          </cell>
          <cell r="C298" t="str">
            <v>ASEO</v>
          </cell>
          <cell r="D298">
            <v>441.38</v>
          </cell>
        </row>
        <row r="299">
          <cell r="A299">
            <v>4709</v>
          </cell>
          <cell r="B299" t="str">
            <v>AVALOS VAZQUEZ PABLO ALBERTO</v>
          </cell>
          <cell r="C299" t="str">
            <v>PEON</v>
          </cell>
          <cell r="D299">
            <v>337.98</v>
          </cell>
        </row>
        <row r="300">
          <cell r="A300">
            <v>4710</v>
          </cell>
          <cell r="B300" t="str">
            <v>ENRIQUEZ DOMINGUEZ JOSUE DAVID</v>
          </cell>
          <cell r="C300" t="str">
            <v>PEON</v>
          </cell>
          <cell r="D300">
            <v>337.98</v>
          </cell>
        </row>
        <row r="301">
          <cell r="A301">
            <v>4711</v>
          </cell>
          <cell r="B301" t="str">
            <v>VILLAVICENCIO CASTAÑEDA DIEGO</v>
          </cell>
          <cell r="C301" t="str">
            <v>PEON</v>
          </cell>
          <cell r="D301">
            <v>337.98</v>
          </cell>
        </row>
        <row r="302">
          <cell r="A302">
            <v>4712</v>
          </cell>
          <cell r="B302" t="str">
            <v>FLORES DIAZ SERGIO</v>
          </cell>
          <cell r="C302" t="str">
            <v>PEON</v>
          </cell>
          <cell r="D302">
            <v>337.98</v>
          </cell>
        </row>
        <row r="303">
          <cell r="A303">
            <v>4713</v>
          </cell>
          <cell r="B303" t="str">
            <v>RODRIGUEZ GARZA ROSENDO</v>
          </cell>
          <cell r="C303" t="str">
            <v>OF</v>
          </cell>
          <cell r="D303">
            <v>608.38</v>
          </cell>
        </row>
        <row r="304">
          <cell r="A304">
            <v>4714</v>
          </cell>
          <cell r="B304" t="str">
            <v>MALDONADO ORTEGA LUIS GERARDO</v>
          </cell>
          <cell r="C304" t="str">
            <v>PEON</v>
          </cell>
          <cell r="D304">
            <v>337.98</v>
          </cell>
        </row>
        <row r="305">
          <cell r="A305">
            <v>4715</v>
          </cell>
          <cell r="B305" t="str">
            <v>CABRAL MARTINEZ OSCAR MARTIN</v>
          </cell>
          <cell r="C305" t="str">
            <v>PEON</v>
          </cell>
          <cell r="D305">
            <v>337.98</v>
          </cell>
        </row>
        <row r="306">
          <cell r="A306">
            <v>4716</v>
          </cell>
          <cell r="B306" t="str">
            <v>CONTRERAS CHAVEZ MARIO ARMANDO</v>
          </cell>
          <cell r="C306" t="str">
            <v>PEON</v>
          </cell>
          <cell r="D306">
            <v>337.98</v>
          </cell>
        </row>
        <row r="307">
          <cell r="A307">
            <v>4717</v>
          </cell>
          <cell r="B307" t="str">
            <v>MORALES MUÑOZ OSWALDO RUBEN</v>
          </cell>
          <cell r="C307" t="str">
            <v>PINTOR</v>
          </cell>
          <cell r="D307">
            <v>608.38</v>
          </cell>
        </row>
        <row r="308">
          <cell r="A308">
            <v>4718</v>
          </cell>
          <cell r="B308" t="str">
            <v>MONTELONGO ESPINOZA HERIBERTO</v>
          </cell>
          <cell r="C308" t="str">
            <v>PEON</v>
          </cell>
          <cell r="D308">
            <v>337.98</v>
          </cell>
        </row>
        <row r="309">
          <cell r="A309">
            <v>4719</v>
          </cell>
          <cell r="B309" t="str">
            <v>VALLEJO MENDOZA JOSE LUIS</v>
          </cell>
          <cell r="C309" t="str">
            <v>PEON</v>
          </cell>
          <cell r="D309">
            <v>337.98</v>
          </cell>
        </row>
        <row r="310">
          <cell r="A310">
            <v>4720</v>
          </cell>
          <cell r="B310" t="str">
            <v>CRUZ CABRERA RICARDO</v>
          </cell>
          <cell r="C310" t="str">
            <v>PEON</v>
          </cell>
          <cell r="D310">
            <v>383.4</v>
          </cell>
        </row>
        <row r="311">
          <cell r="A311">
            <v>4721</v>
          </cell>
          <cell r="B311" t="str">
            <v>CLARO GONZALEZ JUAN MANUEL</v>
          </cell>
          <cell r="C311" t="str">
            <v>PEON</v>
          </cell>
          <cell r="D311">
            <v>337.98</v>
          </cell>
        </row>
        <row r="312">
          <cell r="A312">
            <v>4724</v>
          </cell>
          <cell r="B312" t="str">
            <v>TOSCANO HERNANDEZ SERGIO DAVID</v>
          </cell>
          <cell r="C312" t="str">
            <v>PEON</v>
          </cell>
          <cell r="D312">
            <v>337.98</v>
          </cell>
        </row>
        <row r="313">
          <cell r="A313">
            <v>4725</v>
          </cell>
          <cell r="B313" t="str">
            <v>FRAIDE BELTRAN JUAN JOSE</v>
          </cell>
          <cell r="C313" t="str">
            <v>PEON</v>
          </cell>
          <cell r="D313">
            <v>337.98</v>
          </cell>
        </row>
        <row r="314">
          <cell r="A314">
            <v>4726</v>
          </cell>
          <cell r="B314" t="str">
            <v>DELGADILLO GUZMAN JORGE DIEGO</v>
          </cell>
          <cell r="C314" t="str">
            <v>PEON</v>
          </cell>
          <cell r="D314">
            <v>337.98</v>
          </cell>
        </row>
        <row r="315">
          <cell r="A315">
            <v>4727</v>
          </cell>
          <cell r="B315" t="str">
            <v>GARCÍA PONCIANO JOEL ANDRÉS</v>
          </cell>
          <cell r="C315" t="str">
            <v>PEON</v>
          </cell>
          <cell r="D315">
            <v>337.98</v>
          </cell>
        </row>
        <row r="316">
          <cell r="A316">
            <v>4731</v>
          </cell>
          <cell r="B316" t="str">
            <v>MEZA TORRES CESAR SANTIAGO</v>
          </cell>
          <cell r="C316" t="str">
            <v>PEON</v>
          </cell>
          <cell r="D316">
            <v>337.98</v>
          </cell>
        </row>
        <row r="317">
          <cell r="A317">
            <v>4732</v>
          </cell>
          <cell r="B317" t="str">
            <v>GONZALEZ QUINTERO ROBERTO CARLOS</v>
          </cell>
          <cell r="C317" t="str">
            <v>PEON</v>
          </cell>
          <cell r="D317">
            <v>337.98</v>
          </cell>
        </row>
        <row r="318">
          <cell r="A318">
            <v>4733</v>
          </cell>
          <cell r="B318" t="str">
            <v>ROMERO LOPEZ JONATHAN ISRAEL</v>
          </cell>
          <cell r="C318" t="str">
            <v>PEON</v>
          </cell>
          <cell r="D318">
            <v>337.98</v>
          </cell>
        </row>
        <row r="319">
          <cell r="A319">
            <v>4736</v>
          </cell>
          <cell r="B319" t="str">
            <v>ZUÑIGA VELAZQUEZ DAGOBERTO</v>
          </cell>
          <cell r="C319" t="str">
            <v>PEON</v>
          </cell>
          <cell r="D319">
            <v>337.98</v>
          </cell>
        </row>
        <row r="320">
          <cell r="A320">
            <v>4737</v>
          </cell>
          <cell r="B320" t="str">
            <v>GUTIERREZ MENDOZA DIEGO ARTURO</v>
          </cell>
          <cell r="C320" t="str">
            <v>PEON</v>
          </cell>
          <cell r="D320">
            <v>337.98</v>
          </cell>
        </row>
        <row r="321">
          <cell r="A321">
            <v>4738</v>
          </cell>
          <cell r="B321" t="str">
            <v>SAUCEDO SALINAS SERGIO ALBERTO</v>
          </cell>
          <cell r="C321" t="str">
            <v>PEON</v>
          </cell>
          <cell r="D321">
            <v>337.98</v>
          </cell>
        </row>
        <row r="322">
          <cell r="A322">
            <v>4740</v>
          </cell>
          <cell r="B322" t="str">
            <v>RODRIGUEZ RAMOS EDGAR ISAAC</v>
          </cell>
          <cell r="C322" t="str">
            <v>PEON</v>
          </cell>
          <cell r="D322">
            <v>337.98</v>
          </cell>
        </row>
        <row r="323">
          <cell r="A323">
            <v>4742</v>
          </cell>
          <cell r="B323" t="str">
            <v>HERNANDEZ CURIEL SALVADOR</v>
          </cell>
          <cell r="C323" t="str">
            <v>PEON</v>
          </cell>
          <cell r="D323">
            <v>337.98</v>
          </cell>
        </row>
        <row r="324">
          <cell r="A324">
            <v>4748</v>
          </cell>
          <cell r="B324" t="str">
            <v>SALAZAR GARCÍA FLAVIO CÉSAR</v>
          </cell>
          <cell r="C324" t="str">
            <v>OF</v>
          </cell>
          <cell r="D324">
            <v>608.38</v>
          </cell>
        </row>
        <row r="325">
          <cell r="A325">
            <v>4749</v>
          </cell>
          <cell r="B325" t="str">
            <v>REYNA SANCHEZ JORGE</v>
          </cell>
          <cell r="C325" t="str">
            <v>OF</v>
          </cell>
          <cell r="D325">
            <v>608.38</v>
          </cell>
        </row>
        <row r="326">
          <cell r="A326">
            <v>4750</v>
          </cell>
          <cell r="B326" t="str">
            <v>DIAZ IBARRA JUAN JOSE</v>
          </cell>
          <cell r="C326" t="str">
            <v>PEON</v>
          </cell>
          <cell r="D326">
            <v>337.98</v>
          </cell>
        </row>
        <row r="327">
          <cell r="A327">
            <v>4751</v>
          </cell>
          <cell r="B327" t="str">
            <v>GARZA MAGALLANES DANIEL</v>
          </cell>
          <cell r="C327" t="str">
            <v>OF</v>
          </cell>
          <cell r="D327">
            <v>608.38</v>
          </cell>
        </row>
        <row r="328">
          <cell r="A328">
            <v>4752</v>
          </cell>
          <cell r="B328" t="str">
            <v>RODRIGUEZ MALTA JULIO CESAR </v>
          </cell>
          <cell r="C328" t="str">
            <v>PEON</v>
          </cell>
          <cell r="D328">
            <v>337.98</v>
          </cell>
        </row>
        <row r="329">
          <cell r="A329">
            <v>4753</v>
          </cell>
          <cell r="B329" t="str">
            <v>VAZQUEZ CISNEROS FRANCISCO</v>
          </cell>
          <cell r="C329" t="str">
            <v>PEON</v>
          </cell>
          <cell r="D329">
            <v>337.98</v>
          </cell>
        </row>
        <row r="330">
          <cell r="A330">
            <v>4754</v>
          </cell>
          <cell r="B330" t="str">
            <v>ALBA REYES JOSE DE JESUS</v>
          </cell>
          <cell r="C330" t="str">
            <v>OF</v>
          </cell>
          <cell r="D330">
            <v>608.38</v>
          </cell>
        </row>
        <row r="331">
          <cell r="A331">
            <v>4755</v>
          </cell>
          <cell r="B331" t="str">
            <v>FLORES ALBA JOSÉ DARIEL</v>
          </cell>
          <cell r="C331" t="str">
            <v>PEON</v>
          </cell>
          <cell r="D331">
            <v>337.98</v>
          </cell>
        </row>
        <row r="332">
          <cell r="A332">
            <v>4756</v>
          </cell>
          <cell r="B332" t="str">
            <v>ROBLES RUVALCABA MARTÍN ISMAEL</v>
          </cell>
          <cell r="C332" t="str">
            <v>PEON</v>
          </cell>
          <cell r="D332">
            <v>337.98</v>
          </cell>
        </row>
        <row r="333">
          <cell r="A333">
            <v>4757</v>
          </cell>
          <cell r="B333" t="str">
            <v>TELLO PÉREZ ARMANDO ABRAHAM </v>
          </cell>
          <cell r="C333" t="str">
            <v>PEON</v>
          </cell>
          <cell r="D333">
            <v>337.98</v>
          </cell>
        </row>
        <row r="334">
          <cell r="A334">
            <v>4759</v>
          </cell>
          <cell r="B334" t="str">
            <v>DELGADO AVIÑA JOSÉ GUADALUPE</v>
          </cell>
          <cell r="C334" t="str">
            <v>PEON</v>
          </cell>
          <cell r="D334">
            <v>337.98</v>
          </cell>
        </row>
        <row r="335">
          <cell r="A335">
            <v>4760</v>
          </cell>
          <cell r="B335" t="str">
            <v>AGUIRRE VELAZQUEZ JAVIER</v>
          </cell>
          <cell r="C335" t="str">
            <v>PEON</v>
          </cell>
          <cell r="D335">
            <v>337.98</v>
          </cell>
        </row>
        <row r="336">
          <cell r="A336">
            <v>4761</v>
          </cell>
          <cell r="B336" t="str">
            <v>LOPEZ RAMIREZ JORGE ALONSO</v>
          </cell>
          <cell r="C336" t="str">
            <v>PEON</v>
          </cell>
          <cell r="D336">
            <v>337.98</v>
          </cell>
        </row>
        <row r="337">
          <cell r="A337">
            <v>4762</v>
          </cell>
          <cell r="B337" t="str">
            <v>REYES BRAVO MIGUEL ANGEL</v>
          </cell>
          <cell r="C337" t="str">
            <v>PEON</v>
          </cell>
          <cell r="D337">
            <v>337.98</v>
          </cell>
        </row>
        <row r="338">
          <cell r="A338">
            <v>4763</v>
          </cell>
          <cell r="B338" t="str">
            <v>GARCÍA CASTRO JESÚS ANTONIO</v>
          </cell>
          <cell r="C338" t="str">
            <v>PEON</v>
          </cell>
          <cell r="D338">
            <v>337.98</v>
          </cell>
        </row>
        <row r="339">
          <cell r="A339">
            <v>4764</v>
          </cell>
          <cell r="B339" t="str">
            <v>HERNÁNDEZ GARCÍA LUIS ALFONSO</v>
          </cell>
          <cell r="C339" t="str">
            <v>PEON</v>
          </cell>
          <cell r="D339">
            <v>337.98</v>
          </cell>
        </row>
        <row r="340">
          <cell r="A340">
            <v>4765</v>
          </cell>
          <cell r="B340" t="str">
            <v>GARIBAY RUELAS JOSÉ MANUEL</v>
          </cell>
          <cell r="C340" t="str">
            <v>PEON</v>
          </cell>
          <cell r="D340">
            <v>337.98</v>
          </cell>
        </row>
        <row r="341">
          <cell r="A341">
            <v>4767</v>
          </cell>
          <cell r="B341" t="str">
            <v>PAZ VILLANUEVA BRANDON ÓMAR</v>
          </cell>
          <cell r="C341" t="str">
            <v>PEON</v>
          </cell>
          <cell r="D341">
            <v>337.98</v>
          </cell>
        </row>
        <row r="342">
          <cell r="A342">
            <v>4768</v>
          </cell>
          <cell r="B342" t="str">
            <v>RAMOS RODRIGUEZ SAUL ALEJANDRO</v>
          </cell>
          <cell r="C342" t="str">
            <v>PEON</v>
          </cell>
          <cell r="D342">
            <v>337.98</v>
          </cell>
        </row>
        <row r="343">
          <cell r="A343">
            <v>4769</v>
          </cell>
          <cell r="B343" t="str">
            <v>GUERRERO LÓPEZ LEONARDO DANIEL</v>
          </cell>
          <cell r="C343" t="str">
            <v>PEON</v>
          </cell>
          <cell r="D343">
            <v>337.98</v>
          </cell>
        </row>
        <row r="344">
          <cell r="A344">
            <v>4770</v>
          </cell>
          <cell r="B344" t="str">
            <v>BIZARRO XILONZOCHITL MAURICIO JORDÁN</v>
          </cell>
          <cell r="C344" t="str">
            <v>PEON</v>
          </cell>
          <cell r="D344">
            <v>337.98</v>
          </cell>
        </row>
        <row r="345">
          <cell r="A345">
            <v>4771</v>
          </cell>
          <cell r="B345" t="str">
            <v>TORRES BAÑUELOS DIEGO SALATIEL</v>
          </cell>
          <cell r="C345" t="str">
            <v>PEON</v>
          </cell>
          <cell r="D345">
            <v>337.98</v>
          </cell>
        </row>
        <row r="346">
          <cell r="A346">
            <v>4772</v>
          </cell>
          <cell r="B346" t="str">
            <v>MEDINA ALVARADO SERGIO IVÁN</v>
          </cell>
          <cell r="C346" t="str">
            <v>PEON</v>
          </cell>
          <cell r="D346">
            <v>337.98</v>
          </cell>
        </row>
        <row r="347">
          <cell r="A347">
            <v>4773</v>
          </cell>
          <cell r="B347" t="str">
            <v>MEZA NAVARRO ALEXIS RAMIRO</v>
          </cell>
          <cell r="C347" t="str">
            <v>PEON</v>
          </cell>
          <cell r="D347">
            <v>337.98</v>
          </cell>
        </row>
        <row r="348">
          <cell r="A348">
            <v>4774</v>
          </cell>
          <cell r="B348" t="str">
            <v>SALVADOR LEÓN JOSÉ ALFREDO</v>
          </cell>
          <cell r="C348" t="str">
            <v>PEON</v>
          </cell>
          <cell r="D348">
            <v>337.98</v>
          </cell>
        </row>
        <row r="349">
          <cell r="A349">
            <v>4775</v>
          </cell>
          <cell r="B349" t="str">
            <v>MORA JIMÉNEZ JOSUÉ</v>
          </cell>
          <cell r="C349" t="str">
            <v>PEON</v>
          </cell>
          <cell r="D349">
            <v>337.98</v>
          </cell>
        </row>
        <row r="350">
          <cell r="A350">
            <v>4776</v>
          </cell>
          <cell r="B350" t="str">
            <v>PÉREZ MARES JONATAN GUSTAVO</v>
          </cell>
          <cell r="C350" t="str">
            <v>PEON</v>
          </cell>
          <cell r="D350">
            <v>337.98</v>
          </cell>
        </row>
        <row r="351">
          <cell r="A351">
            <v>4777</v>
          </cell>
          <cell r="B351" t="str">
            <v>MEJÍA NAVARRO EMMANUEL</v>
          </cell>
          <cell r="C351" t="str">
            <v>PEON</v>
          </cell>
          <cell r="D351">
            <v>337.98</v>
          </cell>
        </row>
        <row r="352">
          <cell r="A352">
            <v>4778</v>
          </cell>
          <cell r="B352" t="str">
            <v>RODRÍGUEZ AYALA FERNANDO DE JESÚS</v>
          </cell>
          <cell r="C352" t="str">
            <v>PEON</v>
          </cell>
          <cell r="D352">
            <v>337.98</v>
          </cell>
        </row>
        <row r="353">
          <cell r="A353">
            <v>4779</v>
          </cell>
          <cell r="B353" t="str">
            <v>HERNÁNDEZ HUERTA LUIS ÁNGEL</v>
          </cell>
          <cell r="C353" t="str">
            <v>PEON</v>
          </cell>
          <cell r="D353">
            <v>337.98</v>
          </cell>
        </row>
        <row r="354">
          <cell r="A354">
            <v>4780</v>
          </cell>
          <cell r="B354" t="str">
            <v>VÁZQUEZ MARTÍNEZ CRISTOFER DE JESÚS</v>
          </cell>
          <cell r="C354" t="str">
            <v>PEON</v>
          </cell>
          <cell r="D354">
            <v>337.98</v>
          </cell>
        </row>
        <row r="355">
          <cell r="A355">
            <v>4781</v>
          </cell>
          <cell r="B355" t="str">
            <v>VEGA AGUIRRE ABRAHAM</v>
          </cell>
          <cell r="C355" t="str">
            <v>PEON</v>
          </cell>
          <cell r="D355">
            <v>337.98</v>
          </cell>
        </row>
        <row r="356">
          <cell r="A356">
            <v>4782</v>
          </cell>
          <cell r="B356" t="str">
            <v>RAMÍREZ VILLA FRANCISCO JAVIER</v>
          </cell>
          <cell r="C356" t="str">
            <v>PEON</v>
          </cell>
          <cell r="D356">
            <v>337.98</v>
          </cell>
        </row>
        <row r="357">
          <cell r="A357">
            <v>4783</v>
          </cell>
          <cell r="B357" t="str">
            <v>GONZÁLEZ CAMPOS ÓSCAR IVÁN</v>
          </cell>
          <cell r="C357" t="str">
            <v>PEON</v>
          </cell>
          <cell r="D357">
            <v>337.98</v>
          </cell>
        </row>
        <row r="358">
          <cell r="A358">
            <v>4784</v>
          </cell>
          <cell r="B358" t="str">
            <v>RODRÍGUEZ HERNÁNDEZ CARLOS OMAR</v>
          </cell>
          <cell r="C358" t="str">
            <v>PEON</v>
          </cell>
          <cell r="D358">
            <v>337.98</v>
          </cell>
        </row>
        <row r="359">
          <cell r="A359">
            <v>4785</v>
          </cell>
          <cell r="B359" t="str">
            <v>GARCÍA GARCÍA ELVIS RAUL</v>
          </cell>
          <cell r="C359" t="str">
            <v>PEON</v>
          </cell>
          <cell r="D359">
            <v>337.98</v>
          </cell>
        </row>
        <row r="360">
          <cell r="A360">
            <v>4787</v>
          </cell>
          <cell r="B360" t="str">
            <v>ESPINOZA LÓPEZ JONATHAN ARATH</v>
          </cell>
          <cell r="C360" t="str">
            <v>PEON</v>
          </cell>
          <cell r="D360">
            <v>337.98</v>
          </cell>
        </row>
        <row r="361">
          <cell r="A361">
            <v>4788</v>
          </cell>
          <cell r="B361" t="str">
            <v>SAUCEDO FLORES LUIS ENRIQUE</v>
          </cell>
          <cell r="C361" t="str">
            <v>OF</v>
          </cell>
          <cell r="D361">
            <v>608.38</v>
          </cell>
        </row>
        <row r="362">
          <cell r="A362">
            <v>4789</v>
          </cell>
          <cell r="B362" t="str">
            <v>MEJÍA ARÍAS HUGO ALONSO</v>
          </cell>
          <cell r="C362" t="str">
            <v>PEON</v>
          </cell>
          <cell r="D362">
            <v>337.98</v>
          </cell>
        </row>
        <row r="363">
          <cell r="A363">
            <v>4790</v>
          </cell>
          <cell r="B363" t="str">
            <v>CASTILLO OCHOA JESÚS ALONSO</v>
          </cell>
          <cell r="C363" t="str">
            <v>PEON</v>
          </cell>
          <cell r="D363">
            <v>337.98</v>
          </cell>
        </row>
        <row r="364">
          <cell r="A364">
            <v>4791</v>
          </cell>
          <cell r="B364" t="str">
            <v>MORA CUEVAS JUAN MANUEL</v>
          </cell>
          <cell r="C364" t="str">
            <v>PEON</v>
          </cell>
          <cell r="D364">
            <v>337.98</v>
          </cell>
        </row>
        <row r="365">
          <cell r="A365">
            <v>4792</v>
          </cell>
          <cell r="B365" t="str">
            <v>RUIZ RICO FRANCISCO JAVIER</v>
          </cell>
          <cell r="C365" t="str">
            <v>PEON</v>
          </cell>
          <cell r="D365">
            <v>337.98</v>
          </cell>
        </row>
        <row r="366">
          <cell r="A366">
            <v>4793</v>
          </cell>
          <cell r="B366" t="str">
            <v>ROBLES GODÍNEZ LUIS JAVIER</v>
          </cell>
          <cell r="C366" t="str">
            <v>PEON</v>
          </cell>
          <cell r="D366">
            <v>337.98</v>
          </cell>
        </row>
        <row r="367">
          <cell r="A367">
            <v>4794</v>
          </cell>
          <cell r="B367" t="str">
            <v>CARBAJAL GALLARDO FRANCISCO</v>
          </cell>
          <cell r="C367" t="str">
            <v>PEON</v>
          </cell>
          <cell r="D367">
            <v>337.98</v>
          </cell>
        </row>
        <row r="368">
          <cell r="A368">
            <v>4795</v>
          </cell>
          <cell r="B368" t="str">
            <v>MORA RAMÍREZ CÉSAR ALEJANDRO</v>
          </cell>
          <cell r="C368" t="str">
            <v>PEON</v>
          </cell>
          <cell r="D368">
            <v>337.98</v>
          </cell>
        </row>
        <row r="369">
          <cell r="A369">
            <v>4796</v>
          </cell>
          <cell r="B369" t="str">
            <v>PRECIADO PARRA HÉCTOR</v>
          </cell>
          <cell r="C369" t="str">
            <v>PEON</v>
          </cell>
          <cell r="D369">
            <v>337.98</v>
          </cell>
        </row>
        <row r="370">
          <cell r="A370">
            <v>4797</v>
          </cell>
          <cell r="B370" t="str">
            <v>ALCALÁ BERNAL JONATHAN OMAR</v>
          </cell>
          <cell r="C370" t="str">
            <v>PEON</v>
          </cell>
          <cell r="D370">
            <v>337.98</v>
          </cell>
        </row>
        <row r="371">
          <cell r="A371">
            <v>4800</v>
          </cell>
          <cell r="B371" t="str">
            <v>LÓPEZ MATA KEVIN EDUARDO</v>
          </cell>
          <cell r="C371" t="str">
            <v>PEON</v>
          </cell>
          <cell r="D371">
            <v>192.77</v>
          </cell>
        </row>
        <row r="372">
          <cell r="A372">
            <v>4801</v>
          </cell>
          <cell r="B372" t="str">
            <v>ZAMORA MARTÍNEZ MIGUEL IGNACIO</v>
          </cell>
          <cell r="C372" t="str">
            <v>PEON</v>
          </cell>
          <cell r="D372">
            <v>337.98</v>
          </cell>
        </row>
        <row r="373">
          <cell r="A373">
            <v>4802</v>
          </cell>
          <cell r="B373" t="str">
            <v>VILLA JAVIER</v>
          </cell>
          <cell r="C373" t="str">
            <v>PEON</v>
          </cell>
          <cell r="D373">
            <v>337.98</v>
          </cell>
        </row>
        <row r="374">
          <cell r="A374">
            <v>4803</v>
          </cell>
          <cell r="B374" t="str">
            <v>GÓMEZ GARCÍA JUAN PABLO</v>
          </cell>
          <cell r="C374" t="str">
            <v>PEON</v>
          </cell>
          <cell r="D374">
            <v>337.98</v>
          </cell>
        </row>
        <row r="375">
          <cell r="A375">
            <v>4804</v>
          </cell>
          <cell r="B375" t="str">
            <v>SAUCEDO FLORES JUAN MANUEL</v>
          </cell>
          <cell r="C375" t="str">
            <v>OF</v>
          </cell>
          <cell r="D375">
            <v>608.38</v>
          </cell>
        </row>
        <row r="376">
          <cell r="A376">
            <v>4805</v>
          </cell>
          <cell r="B376" t="str">
            <v>LOMELÍ MADRIGAL MARCO ANTONIO</v>
          </cell>
          <cell r="C376" t="str">
            <v>PEON</v>
          </cell>
          <cell r="D376">
            <v>337.98</v>
          </cell>
        </row>
        <row r="377">
          <cell r="A377">
            <v>4806</v>
          </cell>
          <cell r="B377" t="str">
            <v>CAMPOS LÓPEZ JESÚS</v>
          </cell>
          <cell r="C377" t="str">
            <v>PEON</v>
          </cell>
          <cell r="D377">
            <v>337.98</v>
          </cell>
        </row>
        <row r="378">
          <cell r="A378">
            <v>4807</v>
          </cell>
          <cell r="B378" t="str">
            <v>RAMÍREZ ROSALES EMILIO</v>
          </cell>
          <cell r="C378" t="str">
            <v>PEON</v>
          </cell>
          <cell r="D378">
            <v>337.98</v>
          </cell>
        </row>
        <row r="379">
          <cell r="A379">
            <v>4808</v>
          </cell>
          <cell r="B379" t="str">
            <v>FLORES MORENO HÉCTOR MANUEL</v>
          </cell>
          <cell r="C379" t="str">
            <v>PEON</v>
          </cell>
          <cell r="D379">
            <v>337.98</v>
          </cell>
        </row>
        <row r="380">
          <cell r="A380">
            <v>4809</v>
          </cell>
          <cell r="B380" t="str">
            <v>SÁNCHEZ MALDONADO JOSÉ LUIS</v>
          </cell>
          <cell r="C380" t="str">
            <v>PEON</v>
          </cell>
          <cell r="D380">
            <v>337.98</v>
          </cell>
        </row>
        <row r="381">
          <cell r="A381">
            <v>4811</v>
          </cell>
          <cell r="B381" t="str">
            <v>RUVALCABA HERNÁNDEZ JESÚS</v>
          </cell>
          <cell r="C381" t="str">
            <v>OF</v>
          </cell>
          <cell r="D381">
            <v>608.38</v>
          </cell>
        </row>
        <row r="382">
          <cell r="A382">
            <v>4812</v>
          </cell>
          <cell r="B382" t="str">
            <v>DÁVALOS FRAGA ÓSCAR ALEJANDRO</v>
          </cell>
          <cell r="C382" t="str">
            <v>OF</v>
          </cell>
          <cell r="D382">
            <v>608.38</v>
          </cell>
        </row>
        <row r="383">
          <cell r="A383">
            <v>4813</v>
          </cell>
          <cell r="B383" t="str">
            <v>DÁVALOS ÁVILA JOSÉ ÁNGEL</v>
          </cell>
          <cell r="C383" t="str">
            <v>OF</v>
          </cell>
          <cell r="D383">
            <v>608.38</v>
          </cell>
        </row>
        <row r="384">
          <cell r="A384">
            <v>4814</v>
          </cell>
          <cell r="B384" t="str">
            <v>CUESTAS RAMÍREZ JOSÉ JESÚS</v>
          </cell>
          <cell r="C384" t="str">
            <v>OF</v>
          </cell>
          <cell r="D384">
            <v>608.38</v>
          </cell>
        </row>
        <row r="385">
          <cell r="A385">
            <v>4815</v>
          </cell>
          <cell r="B385" t="str">
            <v>NÚÑEZ MUÑOZ ESTIVEN RAUDEL</v>
          </cell>
          <cell r="C385" t="str">
            <v>PEON</v>
          </cell>
          <cell r="D385">
            <v>337.98</v>
          </cell>
        </row>
        <row r="386">
          <cell r="A386">
            <v>4816</v>
          </cell>
          <cell r="B386" t="str">
            <v>XILONZÓCHITL SALDAÑA EDUARDO FRANCISCO</v>
          </cell>
          <cell r="C386" t="str">
            <v>PEON</v>
          </cell>
          <cell r="D386">
            <v>337.98</v>
          </cell>
        </row>
        <row r="387">
          <cell r="A387">
            <v>4817</v>
          </cell>
          <cell r="B387" t="str">
            <v>MENDOZA OCAMPO LUIS MANUEL</v>
          </cell>
          <cell r="C387" t="str">
            <v>JARD</v>
          </cell>
          <cell r="D387">
            <v>550</v>
          </cell>
        </row>
        <row r="388">
          <cell r="A388">
            <v>4818</v>
          </cell>
          <cell r="B388" t="str">
            <v>COVARRUBIAS ROMERO ARNULFO ULISES</v>
          </cell>
          <cell r="C388" t="str">
            <v>PEON</v>
          </cell>
          <cell r="D388">
            <v>337.98</v>
          </cell>
        </row>
        <row r="389">
          <cell r="A389">
            <v>4819</v>
          </cell>
          <cell r="B389" t="str">
            <v>SEGURA DÁVALOS CARLOS ALBERTO</v>
          </cell>
          <cell r="C389" t="str">
            <v>PEON</v>
          </cell>
          <cell r="D389">
            <v>337.98</v>
          </cell>
        </row>
        <row r="390">
          <cell r="A390">
            <v>4820</v>
          </cell>
          <cell r="B390" t="str">
            <v>RODRÍGUEZ ROJAS ÓSCAR IVÁN</v>
          </cell>
          <cell r="C390" t="str">
            <v>PEON</v>
          </cell>
          <cell r="D390">
            <v>337.98</v>
          </cell>
        </row>
        <row r="391">
          <cell r="A391">
            <v>4821</v>
          </cell>
          <cell r="B391" t="str">
            <v>OROPEZA BRIONES DAVID ISRAEL</v>
          </cell>
          <cell r="C391" t="str">
            <v>PEON</v>
          </cell>
          <cell r="D391">
            <v>337.98</v>
          </cell>
        </row>
        <row r="392">
          <cell r="A392">
            <v>4823</v>
          </cell>
          <cell r="B392" t="str">
            <v>BERNAL OCEGUEDA ABRAHAM</v>
          </cell>
          <cell r="C392" t="str">
            <v>TOPOGRAFIA</v>
          </cell>
          <cell r="D392">
            <v>745.58</v>
          </cell>
        </row>
        <row r="393">
          <cell r="A393">
            <v>4824</v>
          </cell>
          <cell r="B393" t="str">
            <v>RAUDALES RODRÍGUEZ CRISTIAN BERNARDO</v>
          </cell>
          <cell r="C393" t="str">
            <v>PEON</v>
          </cell>
          <cell r="D393">
            <v>337.98</v>
          </cell>
        </row>
        <row r="394">
          <cell r="A394">
            <v>4825</v>
          </cell>
          <cell r="B394" t="str">
            <v>BELTRÁN LÓPEZ HÉCTOR</v>
          </cell>
          <cell r="C394" t="str">
            <v>PEON</v>
          </cell>
          <cell r="D394">
            <v>337.98</v>
          </cell>
        </row>
        <row r="395">
          <cell r="A395">
            <v>4826</v>
          </cell>
          <cell r="B395" t="str">
            <v>ROMÁN VÁZQUEZ DAVID EMMANUEL</v>
          </cell>
          <cell r="C395" t="str">
            <v>OF</v>
          </cell>
          <cell r="D395">
            <v>608.38</v>
          </cell>
        </row>
        <row r="396">
          <cell r="A396">
            <v>4827</v>
          </cell>
          <cell r="B396" t="str">
            <v>SÁNCHEZ DÍAZ ALEJANDRO</v>
          </cell>
          <cell r="C396" t="str">
            <v>OF</v>
          </cell>
          <cell r="D396">
            <v>608.38</v>
          </cell>
        </row>
        <row r="397">
          <cell r="A397">
            <v>4828</v>
          </cell>
          <cell r="B397" t="str">
            <v>ENRÍQUEZ CARRETERO ÁNGEL EDUARDO</v>
          </cell>
          <cell r="C397" t="str">
            <v>PEON</v>
          </cell>
          <cell r="D397">
            <v>337.98</v>
          </cell>
        </row>
        <row r="398">
          <cell r="A398">
            <v>4829</v>
          </cell>
          <cell r="B398" t="str">
            <v>HURTADO REAL DARIÉN JEAN CARLO</v>
          </cell>
          <cell r="C398" t="str">
            <v>PEON</v>
          </cell>
          <cell r="D398">
            <v>337.98</v>
          </cell>
        </row>
        <row r="399">
          <cell r="A399">
            <v>4830</v>
          </cell>
          <cell r="B399" t="str">
            <v>ENRÍQUEZ DE LOS SANTOS SERGIO</v>
          </cell>
          <cell r="C399" t="str">
            <v>OF</v>
          </cell>
          <cell r="D399">
            <v>608.38</v>
          </cell>
        </row>
        <row r="400">
          <cell r="A400">
            <v>4831</v>
          </cell>
          <cell r="B400" t="str">
            <v>RODRÍGUEZ BRIONES JUAN LUIS</v>
          </cell>
          <cell r="C400" t="str">
            <v>OF</v>
          </cell>
          <cell r="D400">
            <v>608.38</v>
          </cell>
        </row>
        <row r="401">
          <cell r="A401">
            <v>4832</v>
          </cell>
          <cell r="B401" t="str">
            <v>FLORES GARCÍA SERGIO </v>
          </cell>
          <cell r="C401" t="str">
            <v>OF</v>
          </cell>
          <cell r="D401">
            <v>608.38</v>
          </cell>
        </row>
        <row r="402">
          <cell r="A402">
            <v>4833</v>
          </cell>
          <cell r="B402" t="str">
            <v>ELVIRA DE LOS SANTOS JUAN FELIPE</v>
          </cell>
          <cell r="C402" t="str">
            <v>OF</v>
          </cell>
          <cell r="D402">
            <v>608.38</v>
          </cell>
        </row>
        <row r="403">
          <cell r="A403">
            <v>4836</v>
          </cell>
          <cell r="B403" t="str">
            <v>DE LA TORRE ROSAS ÓSCAR EDUARDO</v>
          </cell>
          <cell r="C403" t="str">
            <v>PEON</v>
          </cell>
          <cell r="D403">
            <v>337.98</v>
          </cell>
        </row>
        <row r="404">
          <cell r="A404">
            <v>4837</v>
          </cell>
          <cell r="B404" t="str">
            <v>ECHEVERRÍA MENDOZA JESÚS OSWALDO </v>
          </cell>
          <cell r="C404" t="str">
            <v>PEON</v>
          </cell>
          <cell r="D404">
            <v>337.98</v>
          </cell>
        </row>
        <row r="405">
          <cell r="A405">
            <v>4838</v>
          </cell>
          <cell r="B405" t="str">
            <v>TRINIDAD TRINIDAD JOSÉ OMAR</v>
          </cell>
          <cell r="C405" t="str">
            <v>OF</v>
          </cell>
          <cell r="D405">
            <v>608.38</v>
          </cell>
        </row>
        <row r="406">
          <cell r="A406">
            <v>4839</v>
          </cell>
          <cell r="B406" t="str">
            <v>GARCÍA HERNÁNDEZ LUIS FERNANDO</v>
          </cell>
          <cell r="C406" t="str">
            <v>PEON</v>
          </cell>
          <cell r="D406">
            <v>337.98</v>
          </cell>
        </row>
        <row r="407">
          <cell r="A407">
            <v>4840</v>
          </cell>
          <cell r="B407" t="str">
            <v>VÁZQUEZ HERNÁNDEZ FRANCISCO SERVANDO</v>
          </cell>
          <cell r="C407" t="str">
            <v>PEON</v>
          </cell>
          <cell r="D407">
            <v>337.98</v>
          </cell>
        </row>
        <row r="408">
          <cell r="A408">
            <v>4841</v>
          </cell>
          <cell r="B408" t="str">
            <v>LÓPEZ HERNÁNDEZ GABRIEL</v>
          </cell>
          <cell r="C408" t="str">
            <v>OF</v>
          </cell>
          <cell r="D408">
            <v>608.38</v>
          </cell>
        </row>
        <row r="409">
          <cell r="A409">
            <v>4842</v>
          </cell>
          <cell r="B409" t="str">
            <v>SOTO SANDOVAL JAIME</v>
          </cell>
          <cell r="C409" t="str">
            <v>OF</v>
          </cell>
          <cell r="D409">
            <v>608.38</v>
          </cell>
        </row>
        <row r="410">
          <cell r="A410">
            <v>4843</v>
          </cell>
          <cell r="B410" t="str">
            <v>VELAZCO SOTO JOSÉ ALFREDO</v>
          </cell>
          <cell r="C410" t="str">
            <v>PEON</v>
          </cell>
          <cell r="D410">
            <v>337.98</v>
          </cell>
        </row>
        <row r="411">
          <cell r="A411">
            <v>4844</v>
          </cell>
          <cell r="B411" t="str">
            <v>HERNÁNDEZ GARCÍA BRANDON MISAEL</v>
          </cell>
          <cell r="C411" t="str">
            <v>PEON</v>
          </cell>
          <cell r="D411">
            <v>337.98</v>
          </cell>
        </row>
        <row r="412">
          <cell r="A412">
            <v>4845</v>
          </cell>
          <cell r="B412" t="str">
            <v>TRINIDAD RODRÍGUEZ JULIO CÉSAR</v>
          </cell>
          <cell r="C412" t="str">
            <v>OF</v>
          </cell>
          <cell r="D412">
            <v>608.38</v>
          </cell>
        </row>
        <row r="413">
          <cell r="A413">
            <v>4846</v>
          </cell>
          <cell r="B413" t="str">
            <v>DE LOS SANTOS GENTIL LUIS ALEJANDRO</v>
          </cell>
          <cell r="C413" t="str">
            <v>PEON</v>
          </cell>
          <cell r="D413">
            <v>337.98</v>
          </cell>
        </row>
        <row r="414">
          <cell r="A414">
            <v>4847</v>
          </cell>
          <cell r="B414" t="str">
            <v>OCHOA AGUILAR JOSÉ LUIS</v>
          </cell>
          <cell r="C414" t="str">
            <v>PEON</v>
          </cell>
          <cell r="D414">
            <v>337.98</v>
          </cell>
        </row>
        <row r="415">
          <cell r="A415">
            <v>4848</v>
          </cell>
          <cell r="B415" t="str">
            <v>CERVANTES GARCÍA JUAN DANIEL</v>
          </cell>
          <cell r="C415" t="str">
            <v>PEON</v>
          </cell>
          <cell r="D415">
            <v>337.98</v>
          </cell>
        </row>
        <row r="416">
          <cell r="A416">
            <v>4850</v>
          </cell>
          <cell r="B416" t="str">
            <v>SUÁREZ TOVAR ÓSCAR IVÁN</v>
          </cell>
          <cell r="C416" t="str">
            <v>PEON</v>
          </cell>
          <cell r="D416">
            <v>383.4</v>
          </cell>
        </row>
        <row r="417">
          <cell r="A417">
            <v>4851</v>
          </cell>
          <cell r="B417" t="str">
            <v>XILONZOCHITL AGUILAR SERGIO ADRIÁN</v>
          </cell>
          <cell r="C417" t="str">
            <v>OF</v>
          </cell>
          <cell r="D417">
            <v>608.38</v>
          </cell>
        </row>
        <row r="418">
          <cell r="A418">
            <v>4852</v>
          </cell>
          <cell r="B418" t="str">
            <v>BÁLBER MARTÍNEZ JORGE HUMBERTO</v>
          </cell>
          <cell r="C418" t="str">
            <v>PEON</v>
          </cell>
          <cell r="D418">
            <v>383.4</v>
          </cell>
        </row>
        <row r="419">
          <cell r="A419">
            <v>4853</v>
          </cell>
          <cell r="B419" t="str">
            <v>PAREDES SÁNCHEZ IVÁN</v>
          </cell>
          <cell r="C419" t="str">
            <v>PEON</v>
          </cell>
          <cell r="D419">
            <v>337.98</v>
          </cell>
        </row>
        <row r="420">
          <cell r="A420">
            <v>4854</v>
          </cell>
          <cell r="B420" t="str">
            <v>CERVANTES GARCÍA MIGUEL ÁNGEL</v>
          </cell>
          <cell r="C420" t="str">
            <v>PEON</v>
          </cell>
          <cell r="D420">
            <v>337.98</v>
          </cell>
        </row>
        <row r="421">
          <cell r="A421">
            <v>4855</v>
          </cell>
          <cell r="B421" t="str">
            <v>GUTIÉRREZ CONTRERAS ERIK EDOARDO</v>
          </cell>
          <cell r="C421" t="str">
            <v>PEON</v>
          </cell>
          <cell r="D421">
            <v>337.98</v>
          </cell>
        </row>
        <row r="422">
          <cell r="A422">
            <v>4856</v>
          </cell>
          <cell r="B422" t="str">
            <v>XILONZOCHITL MORA JESÚS CARLOS</v>
          </cell>
          <cell r="C422" t="str">
            <v>PEON</v>
          </cell>
          <cell r="D422">
            <v>337.98</v>
          </cell>
        </row>
        <row r="423">
          <cell r="A423">
            <v>4857</v>
          </cell>
          <cell r="B423" t="str">
            <v>GUTIÉRREZ FLORES EMMANUEL</v>
          </cell>
          <cell r="C423" t="str">
            <v>PEON</v>
          </cell>
          <cell r="D423">
            <v>383.4</v>
          </cell>
        </row>
        <row r="424">
          <cell r="A424">
            <v>4858</v>
          </cell>
          <cell r="B424" t="str">
            <v>TEJEDA SALCIDO JUAN ANTONIO</v>
          </cell>
          <cell r="C424" t="str">
            <v>PEON</v>
          </cell>
          <cell r="D424">
            <v>383.4</v>
          </cell>
        </row>
        <row r="425">
          <cell r="A425">
            <v>4860</v>
          </cell>
          <cell r="B425" t="str">
            <v>GUARDADO REYES MARTÍN</v>
          </cell>
          <cell r="C425" t="str">
            <v>PEON</v>
          </cell>
          <cell r="D425">
            <v>337.98</v>
          </cell>
        </row>
        <row r="426">
          <cell r="A426">
            <v>4861</v>
          </cell>
          <cell r="B426" t="str">
            <v>GÓMEZ SIMÓN CÉSAR EFRAÍN</v>
          </cell>
          <cell r="C426" t="str">
            <v>OF</v>
          </cell>
          <cell r="D426">
            <v>608.38</v>
          </cell>
        </row>
        <row r="427">
          <cell r="A427">
            <v>4862</v>
          </cell>
          <cell r="B427" t="str">
            <v>GUILLÉN ROMERO EMMANUEL JOSUÉ</v>
          </cell>
          <cell r="C427" t="str">
            <v>OF</v>
          </cell>
          <cell r="D427">
            <v>608.38</v>
          </cell>
        </row>
        <row r="428">
          <cell r="A428">
            <v>4863</v>
          </cell>
          <cell r="B428" t="str">
            <v>RODRÍGUEZ RODRÍGUEZ JUAN LUIS</v>
          </cell>
          <cell r="C428" t="str">
            <v>OF</v>
          </cell>
          <cell r="D428">
            <v>608.38</v>
          </cell>
        </row>
        <row r="429">
          <cell r="A429">
            <v>4864</v>
          </cell>
          <cell r="B429" t="str">
            <v>ALDANA SÁNCHEZ JAIME RODOLFO</v>
          </cell>
          <cell r="C429" t="str">
            <v>PEON</v>
          </cell>
          <cell r="D429">
            <v>337.98</v>
          </cell>
        </row>
        <row r="430">
          <cell r="A430">
            <v>4865</v>
          </cell>
          <cell r="B430" t="str">
            <v>CERVANTES MEDINA JOSÉ FRANCISCO</v>
          </cell>
          <cell r="C430" t="str">
            <v>PEON</v>
          </cell>
          <cell r="D430">
            <v>355</v>
          </cell>
        </row>
        <row r="431">
          <cell r="A431">
            <v>4867</v>
          </cell>
          <cell r="B431" t="str">
            <v>GARCÍA GANCEDA PABLO YOSIMAR</v>
          </cell>
          <cell r="C431" t="str">
            <v>PEON</v>
          </cell>
          <cell r="D431">
            <v>337.98</v>
          </cell>
        </row>
        <row r="432">
          <cell r="A432">
            <v>4868</v>
          </cell>
          <cell r="B432" t="str">
            <v>ÁLVAREZ VALENCIA RAMÓN</v>
          </cell>
          <cell r="C432" t="str">
            <v>PEON</v>
          </cell>
          <cell r="D432">
            <v>337.98</v>
          </cell>
        </row>
        <row r="433">
          <cell r="A433">
            <v>4869</v>
          </cell>
          <cell r="B433" t="str">
            <v>ÁLVAREZ JUÁREZ RAFAEL</v>
          </cell>
          <cell r="C433" t="str">
            <v>OF</v>
          </cell>
          <cell r="D433">
            <v>800</v>
          </cell>
        </row>
        <row r="434">
          <cell r="A434">
            <v>4870</v>
          </cell>
          <cell r="B434" t="str">
            <v>SOLÓRZANO MÉNDEZ FRANCISCO</v>
          </cell>
          <cell r="C434" t="str">
            <v>PEON</v>
          </cell>
          <cell r="D434">
            <v>337.98</v>
          </cell>
        </row>
        <row r="435">
          <cell r="A435">
            <v>4871</v>
          </cell>
          <cell r="B435" t="str">
            <v>MEDINA JIMÉNEZ J. SANTOS</v>
          </cell>
          <cell r="C435" t="str">
            <v>PEON</v>
          </cell>
          <cell r="D435">
            <v>337.98</v>
          </cell>
        </row>
        <row r="436">
          <cell r="A436">
            <v>4872</v>
          </cell>
          <cell r="B436" t="str">
            <v>ARTEAGA CORTÉS NOÉ JULIÁN</v>
          </cell>
          <cell r="C436" t="str">
            <v>PEON</v>
          </cell>
          <cell r="D436">
            <v>337.98</v>
          </cell>
        </row>
        <row r="437">
          <cell r="A437">
            <v>4873</v>
          </cell>
          <cell r="B437" t="str">
            <v>REYES BARRAGÁN MANUEL</v>
          </cell>
          <cell r="C437" t="str">
            <v>PEON</v>
          </cell>
          <cell r="D437">
            <v>337.98</v>
          </cell>
        </row>
        <row r="438">
          <cell r="A438">
            <v>4874</v>
          </cell>
          <cell r="B438" t="str">
            <v>RAMOS GONZÁLEZ HUMBERTO</v>
          </cell>
          <cell r="C438" t="str">
            <v>OF</v>
          </cell>
          <cell r="D438">
            <v>800</v>
          </cell>
        </row>
        <row r="439">
          <cell r="A439">
            <v>4875</v>
          </cell>
          <cell r="B439" t="str">
            <v>MARÍN TINOCO ÉDGAR</v>
          </cell>
          <cell r="C439" t="str">
            <v>PEON</v>
          </cell>
          <cell r="D439">
            <v>337.98</v>
          </cell>
        </row>
        <row r="440">
          <cell r="A440">
            <v>4876</v>
          </cell>
          <cell r="B440" t="str">
            <v>RAMOS GONZÁLEZ ÁNGEL GABRIEL</v>
          </cell>
          <cell r="C440" t="str">
            <v>PEON</v>
          </cell>
          <cell r="D440">
            <v>337.98</v>
          </cell>
        </row>
        <row r="441">
          <cell r="A441">
            <v>4877</v>
          </cell>
          <cell r="B441" t="str">
            <v>RUIZ MELCHOR JUAN ANTONIO</v>
          </cell>
          <cell r="C441" t="str">
            <v>OF</v>
          </cell>
          <cell r="D441">
            <v>800</v>
          </cell>
        </row>
        <row r="442">
          <cell r="A442">
            <v>4878</v>
          </cell>
          <cell r="B442" t="str">
            <v>NAVARRO ÁLVAREZ CARLOS DANIEL</v>
          </cell>
          <cell r="C442" t="str">
            <v>OF</v>
          </cell>
          <cell r="D442">
            <v>800</v>
          </cell>
        </row>
        <row r="443">
          <cell r="A443">
            <v>4879</v>
          </cell>
          <cell r="B443" t="str">
            <v>SOTO LANDÍN JUAN JOSÉ</v>
          </cell>
          <cell r="C443" t="str">
            <v>1/2 CUCHARA</v>
          </cell>
          <cell r="D443">
            <v>650</v>
          </cell>
        </row>
        <row r="444">
          <cell r="A444">
            <v>4880</v>
          </cell>
          <cell r="B444" t="str">
            <v>MARQUEZ CAMPOS VLADIMIR ULISES</v>
          </cell>
          <cell r="C444" t="str">
            <v>PEON</v>
          </cell>
          <cell r="D444">
            <v>337.98</v>
          </cell>
        </row>
        <row r="445">
          <cell r="A445">
            <v>4881</v>
          </cell>
          <cell r="B445" t="str">
            <v>MOLINA MORENO GUSTAVO</v>
          </cell>
          <cell r="C445" t="str">
            <v>PEON</v>
          </cell>
          <cell r="D445">
            <v>337.98</v>
          </cell>
        </row>
        <row r="446">
          <cell r="A446">
            <v>4882</v>
          </cell>
          <cell r="B446" t="str">
            <v>ROMERO RENTERÍA PEDRO</v>
          </cell>
          <cell r="C446" t="str">
            <v>PEON</v>
          </cell>
          <cell r="D446">
            <v>337.98</v>
          </cell>
        </row>
        <row r="447">
          <cell r="A447">
            <v>4883</v>
          </cell>
          <cell r="B447" t="str">
            <v>LEÓN RANGEL JUAN GABRIEL</v>
          </cell>
          <cell r="C447" t="str">
            <v>PEON</v>
          </cell>
          <cell r="D447">
            <v>337.98</v>
          </cell>
        </row>
        <row r="448">
          <cell r="A448">
            <v>4884</v>
          </cell>
          <cell r="B448" t="str">
            <v>VILLANUEVA SILVA JESÚS</v>
          </cell>
          <cell r="C448" t="str">
            <v>PEON</v>
          </cell>
          <cell r="D448">
            <v>337.98</v>
          </cell>
        </row>
        <row r="449">
          <cell r="A449">
            <v>4885</v>
          </cell>
          <cell r="B449" t="str">
            <v>SÁNCHEZ ÁVALOS CRISTIAN</v>
          </cell>
          <cell r="C449" t="str">
            <v>OF</v>
          </cell>
          <cell r="D449">
            <v>800</v>
          </cell>
        </row>
        <row r="450">
          <cell r="A450">
            <v>4886</v>
          </cell>
          <cell r="B450" t="str">
            <v>ARIZMENDI MORA ÉDGAR YAIR</v>
          </cell>
          <cell r="C450" t="str">
            <v>OF</v>
          </cell>
          <cell r="D450">
            <v>800</v>
          </cell>
        </row>
        <row r="451">
          <cell r="A451">
            <v>4887</v>
          </cell>
          <cell r="B451" t="str">
            <v>RAMÍREZ LARIOS JAIME TRINIDAD</v>
          </cell>
          <cell r="C451" t="str">
            <v>1/2 CUCHARA</v>
          </cell>
          <cell r="D451">
            <v>650</v>
          </cell>
        </row>
        <row r="452">
          <cell r="A452">
            <v>4888</v>
          </cell>
          <cell r="B452" t="str">
            <v>MARÍN TINOCO FROILÁN</v>
          </cell>
          <cell r="C452" t="str">
            <v>PEON</v>
          </cell>
          <cell r="D452">
            <v>337.98</v>
          </cell>
        </row>
        <row r="453">
          <cell r="A453">
            <v>4889</v>
          </cell>
          <cell r="B453" t="str">
            <v>CASTAÑEDA ÁLVAREZ FERNANDO JESÚS</v>
          </cell>
          <cell r="C453" t="str">
            <v>PEON</v>
          </cell>
          <cell r="D453">
            <v>337.98</v>
          </cell>
        </row>
        <row r="454">
          <cell r="A454">
            <v>4890</v>
          </cell>
          <cell r="B454" t="str">
            <v>TORRES VALENCIA EDUARDO</v>
          </cell>
          <cell r="C454" t="str">
            <v>PEON</v>
          </cell>
          <cell r="D454">
            <v>337.98</v>
          </cell>
        </row>
        <row r="455">
          <cell r="A455">
            <v>4891</v>
          </cell>
          <cell r="B455" t="str">
            <v>ESTRADA DE LA CRUZ MARÍA CRUZ</v>
          </cell>
          <cell r="C455" t="str">
            <v>PINTOR</v>
          </cell>
          <cell r="D455">
            <v>337.98</v>
          </cell>
        </row>
        <row r="456">
          <cell r="A456">
            <v>4892</v>
          </cell>
          <cell r="B456" t="str">
            <v>GASPAR TIBURCIO MANUEL</v>
          </cell>
          <cell r="C456" t="str">
            <v>OF</v>
          </cell>
          <cell r="D456">
            <v>800</v>
          </cell>
        </row>
        <row r="457">
          <cell r="A457">
            <v>4893</v>
          </cell>
          <cell r="B457" t="str">
            <v>VÁZQUEZ HERNÁNDEZ JOSÉ DE JESÚS</v>
          </cell>
          <cell r="C457" t="str">
            <v>PEON</v>
          </cell>
          <cell r="D457">
            <v>337.98</v>
          </cell>
        </row>
        <row r="458">
          <cell r="A458">
            <v>4894</v>
          </cell>
          <cell r="B458" t="str">
            <v>CÓRDOVA HERNÁNDEZ CARLOS</v>
          </cell>
          <cell r="C458" t="str">
            <v>PEON</v>
          </cell>
          <cell r="D458">
            <v>337.98</v>
          </cell>
        </row>
        <row r="459">
          <cell r="A459">
            <v>4895</v>
          </cell>
          <cell r="B459" t="str">
            <v>SUÁREZ GUERRERO HÉCTOR</v>
          </cell>
          <cell r="C459" t="str">
            <v>PEON</v>
          </cell>
          <cell r="D459">
            <v>337.98</v>
          </cell>
        </row>
        <row r="460">
          <cell r="A460">
            <v>4896</v>
          </cell>
          <cell r="B460" t="str">
            <v>SUÁREZ GUERRERO AGUSTÍN</v>
          </cell>
          <cell r="C460" t="str">
            <v>PEON</v>
          </cell>
          <cell r="D460">
            <v>337.98</v>
          </cell>
        </row>
        <row r="461">
          <cell r="A461">
            <v>4897</v>
          </cell>
          <cell r="B461" t="str">
            <v>SILVA MEZA FRANCISCO EMMANUEL</v>
          </cell>
          <cell r="C461" t="str">
            <v>PEON</v>
          </cell>
          <cell r="D461">
            <v>337.98</v>
          </cell>
        </row>
        <row r="462">
          <cell r="A462">
            <v>4898</v>
          </cell>
          <cell r="B462" t="str">
            <v>GARCÍA IBARRA DANIEL</v>
          </cell>
          <cell r="C462" t="str">
            <v>PEON</v>
          </cell>
          <cell r="D462">
            <v>337.98</v>
          </cell>
        </row>
        <row r="463">
          <cell r="A463">
            <v>4899</v>
          </cell>
          <cell r="B463" t="str">
            <v>ENRÍQUEZ XILONXÓCHITL OMAR OSVALDO</v>
          </cell>
          <cell r="C463" t="str">
            <v>PEON</v>
          </cell>
          <cell r="D463">
            <v>337.98</v>
          </cell>
        </row>
        <row r="464">
          <cell r="A464">
            <v>4900</v>
          </cell>
          <cell r="B464" t="str">
            <v>VÁZQUEZ MENA SAMUEL ISRAEL</v>
          </cell>
          <cell r="C464" t="str">
            <v>PEON</v>
          </cell>
          <cell r="D464">
            <v>337.98</v>
          </cell>
        </row>
        <row r="465">
          <cell r="A465">
            <v>4901</v>
          </cell>
          <cell r="B465" t="str">
            <v>ALATORRE BORRAYO MIGUEL ÁNGEL</v>
          </cell>
          <cell r="C465" t="str">
            <v>PEON</v>
          </cell>
          <cell r="D465">
            <v>337.98</v>
          </cell>
        </row>
        <row r="466">
          <cell r="A466">
            <v>4902</v>
          </cell>
          <cell r="B466" t="str">
            <v>BALBINO GRAJEDA PEDRO EDUARDO</v>
          </cell>
          <cell r="C466" t="str">
            <v>PEON</v>
          </cell>
          <cell r="D466">
            <v>337.98</v>
          </cell>
        </row>
        <row r="467">
          <cell r="A467">
            <v>4903</v>
          </cell>
          <cell r="B467" t="str">
            <v>LÓPEZ HERNÁNDEZ HÉCTOR</v>
          </cell>
          <cell r="C467" t="str">
            <v>VELADOR</v>
          </cell>
          <cell r="D467">
            <v>337.98</v>
          </cell>
        </row>
        <row r="468">
          <cell r="A468">
            <v>4904</v>
          </cell>
          <cell r="B468" t="str">
            <v>BOBADILLA LARIOS MIGUEL</v>
          </cell>
          <cell r="C468" t="str">
            <v>VELADOR</v>
          </cell>
          <cell r="D468">
            <v>337.98</v>
          </cell>
        </row>
        <row r="469">
          <cell r="A469">
            <v>4905</v>
          </cell>
          <cell r="B469" t="str">
            <v>RODRIGUEZ GARZA JESUS </v>
          </cell>
          <cell r="C469" t="str">
            <v>OF</v>
          </cell>
          <cell r="D469">
            <v>608.38</v>
          </cell>
        </row>
        <row r="470">
          <cell r="A470">
            <v>4906</v>
          </cell>
          <cell r="B470" t="str">
            <v>RODRÍGUEZ HUÍZAR CHRISTOPHER EMMANUEL</v>
          </cell>
          <cell r="C470" t="str">
            <v>PEON</v>
          </cell>
          <cell r="D470">
            <v>337.98</v>
          </cell>
        </row>
        <row r="471">
          <cell r="A471">
            <v>4907</v>
          </cell>
          <cell r="B471" t="str">
            <v>ROCHA DELGADO ALEJANDRO</v>
          </cell>
          <cell r="C471" t="str">
            <v>PEON</v>
          </cell>
          <cell r="D471">
            <v>337.98</v>
          </cell>
        </row>
        <row r="481">
          <cell r="A481" t="str">
            <v>LISTA DE PRECIOS UNITARIOS</v>
          </cell>
        </row>
        <row r="483">
          <cell r="A483" t="str">
            <v>CVE</v>
          </cell>
          <cell r="B483" t="str">
            <v>CONCEPTO</v>
          </cell>
          <cell r="C483" t="str">
            <v>UNIDAD</v>
          </cell>
          <cell r="D483" t="str">
            <v>P.UNIT.</v>
          </cell>
          <cell r="E483" t="str">
            <v>M</v>
          </cell>
          <cell r="F483" t="str">
            <v>SJA</v>
          </cell>
        </row>
        <row r="485">
          <cell r="A485" t="str">
            <v>ABB01</v>
          </cell>
          <cell r="B485" t="str">
            <v>Abrir caja para amarre en boveda</v>
          </cell>
          <cell r="C485" t="str">
            <v>ML</v>
          </cell>
          <cell r="D485">
            <v>93.9762</v>
          </cell>
        </row>
        <row r="485">
          <cell r="F485">
            <v>108.07263</v>
          </cell>
        </row>
        <row r="486">
          <cell r="A486" t="str">
            <v>ABB02</v>
          </cell>
          <cell r="B486" t="str">
            <v>Abrir caja para amarre en muro</v>
          </cell>
          <cell r="C486" t="str">
            <v>ML</v>
          </cell>
          <cell r="D486">
            <v>75.18096</v>
          </cell>
        </row>
        <row r="486">
          <cell r="F486">
            <v>86.458104</v>
          </cell>
        </row>
        <row r="487">
          <cell r="A487" t="str">
            <v>ABB03</v>
          </cell>
          <cell r="B487" t="str">
            <v>Abrir caja para amarre en piso concreto y firme</v>
          </cell>
          <cell r="C487" t="str">
            <v>ML</v>
          </cell>
          <cell r="D487">
            <v>187.9524</v>
          </cell>
        </row>
        <row r="487">
          <cell r="F487">
            <v>216.14526</v>
          </cell>
        </row>
        <row r="488">
          <cell r="A488" t="str">
            <v>ABB04</v>
          </cell>
          <cell r="B488" t="str">
            <v>Abrir hueco en concreto para anclado de castillo</v>
          </cell>
          <cell r="C488" t="str">
            <v>PZA</v>
          </cell>
          <cell r="D488">
            <v>83.9340861244019</v>
          </cell>
        </row>
        <row r="488">
          <cell r="F488">
            <v>96.5241990430622</v>
          </cell>
        </row>
        <row r="489">
          <cell r="A489" t="str">
            <v>ABB05</v>
          </cell>
          <cell r="B489" t="str">
            <v>Abrir hueco en muro para amarre dalas</v>
          </cell>
          <cell r="C489" t="str">
            <v>PZA</v>
          </cell>
          <cell r="D489">
            <v>50.12064</v>
          </cell>
        </row>
        <row r="489">
          <cell r="F489">
            <v>57.638736</v>
          </cell>
        </row>
        <row r="490">
          <cell r="A490" t="str">
            <v>ABB06</v>
          </cell>
          <cell r="B490" t="str">
            <v>Abrir ranura esp. 5 cms. p/poliducto,cobre</v>
          </cell>
          <cell r="C490" t="str">
            <v>ML</v>
          </cell>
          <cell r="D490">
            <v>19.7844631578947</v>
          </cell>
        </row>
        <row r="490">
          <cell r="F490">
            <v>22.7521326315789</v>
          </cell>
        </row>
        <row r="491">
          <cell r="A491" t="str">
            <v>ABB06RT</v>
          </cell>
          <cell r="B491" t="str">
            <v>Abrir ranura esp. 5 cms. p/poliducto,cobre</v>
          </cell>
          <cell r="C491" t="str">
            <v>ML</v>
          </cell>
          <cell r="D491">
            <v>12.53016</v>
          </cell>
        </row>
        <row r="491">
          <cell r="F491">
            <v>14.409684</v>
          </cell>
        </row>
        <row r="492">
          <cell r="A492" t="str">
            <v>ABB07</v>
          </cell>
          <cell r="B492" t="str">
            <v>Abrir caja de luz</v>
          </cell>
          <cell r="C492" t="str">
            <v>PZA</v>
          </cell>
          <cell r="D492">
            <v>18.79524</v>
          </cell>
        </row>
        <row r="492">
          <cell r="F492">
            <v>21.614526</v>
          </cell>
        </row>
        <row r="493">
          <cell r="A493" t="str">
            <v>ABB08</v>
          </cell>
          <cell r="B493" t="str">
            <v>Abrir hueco en concreto p/ pata proteccion 20 x 20 x 30 rotomartillo</v>
          </cell>
          <cell r="C493" t="str">
            <v>PZA</v>
          </cell>
          <cell r="D493">
            <v>53.7006857142857</v>
          </cell>
        </row>
        <row r="493">
          <cell r="F493">
            <v>61.7557885714286</v>
          </cell>
        </row>
        <row r="494">
          <cell r="A494" t="str">
            <v>ACCE</v>
          </cell>
          <cell r="B494" t="str">
            <v>Accesorios de baño, colocacion</v>
          </cell>
          <cell r="C494" t="str">
            <v>PZA</v>
          </cell>
          <cell r="D494">
            <v>37.59048</v>
          </cell>
        </row>
        <row r="494">
          <cell r="F494">
            <v>43.229052</v>
          </cell>
        </row>
        <row r="495">
          <cell r="A495" t="str">
            <v>ACU20</v>
          </cell>
          <cell r="B495" t="str">
            <v>Acuñado de muro 20</v>
          </cell>
          <cell r="C495" t="str">
            <v>ML</v>
          </cell>
          <cell r="D495">
            <v>62.6508</v>
          </cell>
          <cell r="E495">
            <v>1</v>
          </cell>
          <cell r="F495">
            <v>72.04842</v>
          </cell>
        </row>
        <row r="496">
          <cell r="A496" t="str">
            <v>ACUCA</v>
          </cell>
          <cell r="B496" t="str">
            <v>Acuñado de muro capuchino</v>
          </cell>
          <cell r="C496" t="str">
            <v>ML</v>
          </cell>
          <cell r="D496">
            <v>50.12064</v>
          </cell>
          <cell r="E496">
            <v>1</v>
          </cell>
          <cell r="F496">
            <v>57.638736</v>
          </cell>
        </row>
        <row r="497">
          <cell r="A497" t="str">
            <v>ACUDE</v>
          </cell>
          <cell r="B497" t="str">
            <v>Acuñado de muro bajo decklosa</v>
          </cell>
          <cell r="C497" t="str">
            <v>ML</v>
          </cell>
          <cell r="D497">
            <v>30.072384</v>
          </cell>
          <cell r="E497">
            <v>1</v>
          </cell>
          <cell r="F497">
            <v>34.5832416</v>
          </cell>
        </row>
        <row r="498">
          <cell r="A498" t="str">
            <v>ACUSO</v>
          </cell>
          <cell r="B498" t="str">
            <v>Acuñado de muro soga</v>
          </cell>
          <cell r="C498" t="str">
            <v>ML</v>
          </cell>
          <cell r="D498">
            <v>62.6508</v>
          </cell>
          <cell r="E498">
            <v>1</v>
          </cell>
          <cell r="F498">
            <v>72.04842</v>
          </cell>
        </row>
        <row r="499">
          <cell r="A499" t="str">
            <v>ACUTE</v>
          </cell>
          <cell r="B499" t="str">
            <v>Acuñado de muro tezon</v>
          </cell>
          <cell r="C499" t="str">
            <v>ML</v>
          </cell>
          <cell r="D499">
            <v>75.18096</v>
          </cell>
          <cell r="E499">
            <v>1</v>
          </cell>
          <cell r="F499">
            <v>86.458104</v>
          </cell>
        </row>
        <row r="500">
          <cell r="A500" t="str">
            <v>ADOBE</v>
          </cell>
          <cell r="B500" t="str">
            <v>Muro de adobe asentado con lodo y rajueleado</v>
          </cell>
          <cell r="C500" t="str">
            <v>M2</v>
          </cell>
          <cell r="D500">
            <v>131.896421052632</v>
          </cell>
          <cell r="E500">
            <v>1</v>
          </cell>
          <cell r="F500">
            <v>151.680884210526</v>
          </cell>
        </row>
        <row r="501">
          <cell r="A501" t="str">
            <v>ADOBE2R</v>
          </cell>
          <cell r="B501" t="str">
            <v>Pegado de muro de adobe a 2 rostros con varillas</v>
          </cell>
          <cell r="C501" t="str">
            <v>M2</v>
          </cell>
          <cell r="D501">
            <v>250.6032</v>
          </cell>
          <cell r="E501">
            <v>1</v>
          </cell>
          <cell r="F501">
            <v>288.19368</v>
          </cell>
        </row>
        <row r="502">
          <cell r="A502" t="str">
            <v>ADORE</v>
          </cell>
          <cell r="B502" t="str">
            <v>Recorte de pza de adobe para resaque vigas y castillos</v>
          </cell>
          <cell r="C502" t="str">
            <v>PZA</v>
          </cell>
          <cell r="D502">
            <v>57.8315076923077</v>
          </cell>
        </row>
        <row r="502">
          <cell r="F502">
            <v>66.5062338461538</v>
          </cell>
        </row>
        <row r="503">
          <cell r="A503" t="str">
            <v>AFI01</v>
          </cell>
          <cell r="B503" t="str">
            <v>Afine de enjarre en boquillas</v>
          </cell>
          <cell r="C503" t="str">
            <v>ML</v>
          </cell>
          <cell r="D503">
            <v>9.39762</v>
          </cell>
          <cell r="E503">
            <v>1</v>
          </cell>
          <cell r="F503">
            <v>10.807263</v>
          </cell>
        </row>
        <row r="504">
          <cell r="A504" t="str">
            <v>AFI02</v>
          </cell>
          <cell r="B504" t="str">
            <v>Afine de enjarre en boveda</v>
          </cell>
          <cell r="C504" t="str">
            <v>M2</v>
          </cell>
          <cell r="D504">
            <v>34.1731636363636</v>
          </cell>
          <cell r="E504">
            <v>1</v>
          </cell>
          <cell r="F504">
            <v>39.2991381818182</v>
          </cell>
        </row>
        <row r="505">
          <cell r="A505" t="str">
            <v>AFI02JP</v>
          </cell>
          <cell r="B505" t="str">
            <v>Afine de enjarre en boveda PUERTA PLATA</v>
          </cell>
          <cell r="C505" t="str">
            <v>M2</v>
          </cell>
          <cell r="D505">
            <v>46.2652061538462</v>
          </cell>
          <cell r="E505">
            <v>1</v>
          </cell>
          <cell r="F505">
            <v>53.2049870769231</v>
          </cell>
        </row>
        <row r="506">
          <cell r="A506" t="str">
            <v>AFI03</v>
          </cell>
          <cell r="B506" t="str">
            <v>Afine de enjarre en muro</v>
          </cell>
          <cell r="C506" t="str">
            <v>M2</v>
          </cell>
          <cell r="D506">
            <v>15.6627</v>
          </cell>
          <cell r="E506">
            <v>1</v>
          </cell>
          <cell r="F506">
            <v>18.012105</v>
          </cell>
        </row>
        <row r="507">
          <cell r="A507" t="str">
            <v>AFI03JP</v>
          </cell>
          <cell r="B507" t="str">
            <v>Afine de enjarre en muro PUERTA PLATA</v>
          </cell>
          <cell r="C507" t="str">
            <v>M2</v>
          </cell>
          <cell r="D507">
            <v>27.7420516605166</v>
          </cell>
          <cell r="E507">
            <v>1</v>
          </cell>
          <cell r="F507">
            <v>31.9033594095941</v>
          </cell>
        </row>
        <row r="508">
          <cell r="A508" t="str">
            <v>AFIEX</v>
          </cell>
          <cell r="B508" t="str">
            <v>Afinado de excavacion en cepas</v>
          </cell>
          <cell r="C508" t="str">
            <v>M3</v>
          </cell>
          <cell r="D508">
            <v>125.3016</v>
          </cell>
        </row>
        <row r="508">
          <cell r="F508">
            <v>144.09684</v>
          </cell>
        </row>
        <row r="509">
          <cell r="A509" t="str">
            <v>AFIEXS</v>
          </cell>
          <cell r="B509" t="str">
            <v>Afinado de excavacion de maquina en sucio</v>
          </cell>
          <cell r="C509" t="str">
            <v>M3</v>
          </cell>
          <cell r="D509">
            <v>40.096512</v>
          </cell>
        </row>
        <row r="509">
          <cell r="F509">
            <v>46.1109888</v>
          </cell>
        </row>
        <row r="510">
          <cell r="A510" t="str">
            <v>AJUCCASO</v>
          </cell>
          <cell r="B510" t="str">
            <v>Ajuste de castillo de soga en muro de nivelacion</v>
          </cell>
          <cell r="C510" t="str">
            <v>PZA</v>
          </cell>
          <cell r="D510">
            <v>44.2240941176471</v>
          </cell>
          <cell r="E510">
            <v>1</v>
          </cell>
          <cell r="F510">
            <v>50.8577082352941</v>
          </cell>
        </row>
        <row r="511">
          <cell r="A511" t="str">
            <v>ANC01</v>
          </cell>
          <cell r="B511" t="str">
            <v>Anclado de castillo en hueco de piso y colado</v>
          </cell>
          <cell r="C511" t="str">
            <v>PZA</v>
          </cell>
          <cell r="D511">
            <v>62.6508</v>
          </cell>
          <cell r="E511">
            <v>1</v>
          </cell>
          <cell r="F511">
            <v>72.04842</v>
          </cell>
        </row>
        <row r="512">
          <cell r="A512" t="str">
            <v>ANC02</v>
          </cell>
          <cell r="B512" t="str">
            <v>Anclado y colado de castillo en mamposteo de 40 x40 x 50</v>
          </cell>
          <cell r="C512" t="str">
            <v>PZA</v>
          </cell>
          <cell r="D512">
            <v>107.401371428571</v>
          </cell>
          <cell r="E512">
            <v>1</v>
          </cell>
          <cell r="F512">
            <v>123.511577142857</v>
          </cell>
        </row>
        <row r="513">
          <cell r="A513" t="str">
            <v>ANC03</v>
          </cell>
          <cell r="B513" t="str">
            <v>Anclado de castillo en armados</v>
          </cell>
          <cell r="C513" t="str">
            <v>PZA</v>
          </cell>
          <cell r="D513">
            <v>50.12064</v>
          </cell>
        </row>
        <row r="513">
          <cell r="F513">
            <v>57.638736</v>
          </cell>
        </row>
        <row r="514">
          <cell r="A514" t="str">
            <v>ANC04</v>
          </cell>
          <cell r="B514" t="str">
            <v>Anclaje de pata de proteccion con colado y parche 20 x 20</v>
          </cell>
          <cell r="C514" t="str">
            <v>PZA</v>
          </cell>
          <cell r="D514">
            <v>44.2240941176471</v>
          </cell>
          <cell r="E514">
            <v>1</v>
          </cell>
          <cell r="F514">
            <v>50.8577082352941</v>
          </cell>
        </row>
        <row r="515">
          <cell r="A515" t="str">
            <v>ANC05</v>
          </cell>
          <cell r="B515" t="str">
            <v>anclaje y colado de pata de polin para cruceta</v>
          </cell>
          <cell r="C515" t="str">
            <v>PZA</v>
          </cell>
          <cell r="D515">
            <v>30.4376356275304</v>
          </cell>
          <cell r="E515">
            <v>1</v>
          </cell>
          <cell r="F515">
            <v>35.0032809716599</v>
          </cell>
        </row>
        <row r="516">
          <cell r="A516" t="str">
            <v>AND01</v>
          </cell>
          <cell r="B516" t="str">
            <v>Andamio, torres, cuerpo de 2 crucetas armado</v>
          </cell>
          <cell r="C516" t="str">
            <v>PZA</v>
          </cell>
          <cell r="D516">
            <v>41.7672</v>
          </cell>
        </row>
        <row r="516">
          <cell r="F516">
            <v>48.03228</v>
          </cell>
        </row>
        <row r="517">
          <cell r="A517" t="str">
            <v>AND02</v>
          </cell>
          <cell r="B517" t="str">
            <v>Andamios</v>
          </cell>
          <cell r="C517" t="str">
            <v>ML</v>
          </cell>
          <cell r="D517">
            <v>15.036192</v>
          </cell>
        </row>
        <row r="517">
          <cell r="F517">
            <v>17.2916208</v>
          </cell>
        </row>
        <row r="518">
          <cell r="A518" t="str">
            <v>APA01</v>
          </cell>
          <cell r="B518" t="str">
            <v>Apalillado de hormigon, piso o concreto</v>
          </cell>
          <cell r="C518" t="str">
            <v>M2</v>
          </cell>
          <cell r="D518">
            <v>37.59048</v>
          </cell>
        </row>
        <row r="518">
          <cell r="F518">
            <v>43.229052</v>
          </cell>
        </row>
        <row r="519">
          <cell r="A519" t="str">
            <v>APAC</v>
          </cell>
          <cell r="B519" t="str">
            <v>Aparentado de dala o castillo hiladas de ladrillo</v>
          </cell>
          <cell r="C519" t="str">
            <v>ML</v>
          </cell>
          <cell r="D519">
            <v>71.9435023923445</v>
          </cell>
        </row>
        <row r="519">
          <cell r="F519">
            <v>82.7350277511962</v>
          </cell>
        </row>
        <row r="520">
          <cell r="A520" t="str">
            <v>APU01</v>
          </cell>
          <cell r="B520" t="str">
            <v>Apuntalamiento de decklosa</v>
          </cell>
          <cell r="C520" t="str">
            <v>M2</v>
          </cell>
          <cell r="D520">
            <v>7.9137852631579</v>
          </cell>
        </row>
        <row r="520">
          <cell r="F520">
            <v>9.10085305263158</v>
          </cell>
        </row>
        <row r="521">
          <cell r="A521" t="str">
            <v>APU02</v>
          </cell>
          <cell r="B521" t="str">
            <v>Apuntalar boveda, losa o cerramientos</v>
          </cell>
          <cell r="C521" t="str">
            <v>M2</v>
          </cell>
          <cell r="D521">
            <v>37.59048</v>
          </cell>
        </row>
        <row r="521">
          <cell r="F521">
            <v>43.229052</v>
          </cell>
        </row>
        <row r="522">
          <cell r="A522" t="str">
            <v>ARC01</v>
          </cell>
          <cell r="B522" t="str">
            <v>Forjado de arco,incluye cimbra,cercha m.20</v>
          </cell>
          <cell r="C522" t="str">
            <v>ML</v>
          </cell>
          <cell r="D522">
            <v>375.9048</v>
          </cell>
          <cell r="E522">
            <v>1</v>
          </cell>
          <cell r="F522">
            <v>432.29052</v>
          </cell>
        </row>
        <row r="523">
          <cell r="A523" t="str">
            <v>ARC02</v>
          </cell>
          <cell r="B523" t="str">
            <v>Forjado de arco,incluye cimbra,cercha m.capuchino</v>
          </cell>
          <cell r="C523" t="str">
            <v>ML</v>
          </cell>
          <cell r="D523">
            <v>125.3016</v>
          </cell>
          <cell r="E523">
            <v>1</v>
          </cell>
          <cell r="F523">
            <v>144.09684</v>
          </cell>
        </row>
        <row r="524">
          <cell r="A524" t="str">
            <v>ARC03</v>
          </cell>
          <cell r="B524" t="str">
            <v>Forjado de arco,incluye cimbra,cercha m.soga</v>
          </cell>
          <cell r="C524" t="str">
            <v>ML</v>
          </cell>
          <cell r="D524">
            <v>187.9524</v>
          </cell>
          <cell r="E524">
            <v>1</v>
          </cell>
          <cell r="F524">
            <v>216.14526</v>
          </cell>
        </row>
        <row r="525">
          <cell r="A525" t="str">
            <v>ARC04</v>
          </cell>
          <cell r="B525" t="str">
            <v>Forjado de arco,incluye cimbra,cercha m.tezon</v>
          </cell>
          <cell r="C525" t="str">
            <v>ML</v>
          </cell>
          <cell r="D525">
            <v>358.004571428571</v>
          </cell>
          <cell r="E525">
            <v>1</v>
          </cell>
          <cell r="F525">
            <v>411.705257142857</v>
          </cell>
        </row>
        <row r="526">
          <cell r="A526" t="str">
            <v>ARM01</v>
          </cell>
          <cell r="B526" t="str">
            <v>Armado de castillos</v>
          </cell>
          <cell r="C526" t="str">
            <v>KG</v>
          </cell>
          <cell r="D526">
            <v>4.91378823529412</v>
          </cell>
        </row>
        <row r="526">
          <cell r="F526">
            <v>5.65085647058824</v>
          </cell>
        </row>
        <row r="527">
          <cell r="A527" t="str">
            <v>ARM02</v>
          </cell>
          <cell r="B527" t="str">
            <v>Armado de columnas</v>
          </cell>
          <cell r="C527" t="str">
            <v>KG</v>
          </cell>
          <cell r="D527">
            <v>4.91378823529412</v>
          </cell>
        </row>
        <row r="527">
          <cell r="F527">
            <v>5.65085647058824</v>
          </cell>
        </row>
        <row r="528">
          <cell r="A528" t="str">
            <v>ARM03</v>
          </cell>
          <cell r="B528" t="str">
            <v>Armado de dados</v>
          </cell>
          <cell r="C528" t="str">
            <v>KG</v>
          </cell>
          <cell r="D528">
            <v>4.91378823529412</v>
          </cell>
        </row>
        <row r="528">
          <cell r="F528">
            <v>5.65085647058824</v>
          </cell>
        </row>
        <row r="529">
          <cell r="A529" t="str">
            <v>ARM04</v>
          </cell>
          <cell r="B529" t="str">
            <v>Armado de dala o castillo lagartija</v>
          </cell>
          <cell r="C529" t="str">
            <v>ML</v>
          </cell>
          <cell r="D529">
            <v>25.06032</v>
          </cell>
        </row>
        <row r="529">
          <cell r="F529">
            <v>28.819368</v>
          </cell>
        </row>
        <row r="530">
          <cell r="A530" t="str">
            <v>ARM05</v>
          </cell>
          <cell r="B530" t="str">
            <v>Armado de dalas diametros varios</v>
          </cell>
          <cell r="C530" t="str">
            <v>KG</v>
          </cell>
          <cell r="D530">
            <v>4.91378823529412</v>
          </cell>
        </row>
        <row r="530">
          <cell r="F530">
            <v>5.65085647058824</v>
          </cell>
        </row>
        <row r="531">
          <cell r="A531" t="str">
            <v>ARM06</v>
          </cell>
          <cell r="B531" t="str">
            <v>Armado de parrilla para losa de ovalines o closeds</v>
          </cell>
          <cell r="C531" t="str">
            <v>ML</v>
          </cell>
          <cell r="D531">
            <v>75.18096</v>
          </cell>
        </row>
        <row r="531">
          <cell r="F531">
            <v>86.458104</v>
          </cell>
        </row>
        <row r="532">
          <cell r="A532" t="str">
            <v>ARM07</v>
          </cell>
          <cell r="B532" t="str">
            <v>Armado parrilla para losa de concreto</v>
          </cell>
          <cell r="C532" t="str">
            <v>KG</v>
          </cell>
          <cell r="D532">
            <v>4.91378823529412</v>
          </cell>
        </row>
        <row r="532">
          <cell r="F532">
            <v>5.65085647058824</v>
          </cell>
        </row>
        <row r="533">
          <cell r="A533" t="str">
            <v>ARM07g</v>
          </cell>
          <cell r="B533" t="str">
            <v>Armado parrilla para losa de concreto grandes superficies</v>
          </cell>
          <cell r="C533" t="str">
            <v>KG</v>
          </cell>
          <cell r="D533">
            <v>4.42110908556307</v>
          </cell>
        </row>
        <row r="533">
          <cell r="F533">
            <v>5.08427544839753</v>
          </cell>
        </row>
        <row r="534">
          <cell r="A534" t="str">
            <v>ARM08</v>
          </cell>
          <cell r="B534" t="str">
            <v>Armado parrilla para zapata</v>
          </cell>
          <cell r="C534" t="str">
            <v>KG</v>
          </cell>
          <cell r="D534">
            <v>4.91378823529412</v>
          </cell>
        </row>
        <row r="534">
          <cell r="F534">
            <v>5.65085647058824</v>
          </cell>
        </row>
        <row r="535">
          <cell r="A535" t="str">
            <v>ARM09</v>
          </cell>
          <cell r="B535" t="str">
            <v>Armado de dala o castillo 3/8" estribos de alambron 20x20</v>
          </cell>
          <cell r="C535" t="str">
            <v>ML</v>
          </cell>
          <cell r="D535">
            <v>39.5689263157895</v>
          </cell>
        </row>
        <row r="535">
          <cell r="F535">
            <v>45.5042652631579</v>
          </cell>
        </row>
        <row r="536">
          <cell r="A536" t="str">
            <v>ARM09A</v>
          </cell>
          <cell r="B536" t="str">
            <v>Armado de dala o castillo 3/8" estribos de varillas</v>
          </cell>
          <cell r="C536" t="str">
            <v>ML</v>
          </cell>
        </row>
        <row r="536">
          <cell r="F536">
            <v>0</v>
          </cell>
        </row>
        <row r="537">
          <cell r="A537" t="str">
            <v>ARM10</v>
          </cell>
          <cell r="B537" t="str">
            <v>Armado de zapatas, dados, etc. A granel</v>
          </cell>
          <cell r="C537" t="str">
            <v>KG</v>
          </cell>
          <cell r="D537">
            <v>4.0425</v>
          </cell>
        </row>
        <row r="537">
          <cell r="F537">
            <v>4.648875</v>
          </cell>
        </row>
        <row r="538">
          <cell r="A538" t="str">
            <v>ARMTL</v>
          </cell>
          <cell r="B538" t="str">
            <v>Armado de trabe de liga</v>
          </cell>
          <cell r="C538" t="str">
            <v>KG</v>
          </cell>
          <cell r="D538">
            <v>4.91378823529412</v>
          </cell>
        </row>
        <row r="538">
          <cell r="F538">
            <v>5.65085647058824</v>
          </cell>
        </row>
        <row r="539">
          <cell r="A539" t="str">
            <v>ARMEX</v>
          </cell>
          <cell r="B539" t="str">
            <v>Colocar armex incluye cortes y acarreos</v>
          </cell>
          <cell r="C539" t="str">
            <v>ML</v>
          </cell>
          <cell r="D539">
            <v>3.759048</v>
          </cell>
        </row>
        <row r="539">
          <cell r="F539">
            <v>4.3229052</v>
          </cell>
        </row>
        <row r="540">
          <cell r="A540" t="str">
            <v>BAJ01</v>
          </cell>
          <cell r="B540" t="str">
            <v>Bajar parrilla y centrar dado, castillo o columna c/hilos</v>
          </cell>
          <cell r="C540" t="str">
            <v>PZA</v>
          </cell>
          <cell r="D540">
            <v>203.191783783784</v>
          </cell>
        </row>
        <row r="540">
          <cell r="F540">
            <v>233.670551351351</v>
          </cell>
        </row>
        <row r="541">
          <cell r="A541" t="str">
            <v>BANCA</v>
          </cell>
          <cell r="B541" t="str">
            <v>Forro de banca mampara con azulejo</v>
          </cell>
          <cell r="C541" t="str">
            <v>PZA</v>
          </cell>
          <cell r="D541">
            <v>501.2064</v>
          </cell>
        </row>
        <row r="541">
          <cell r="F541">
            <v>576.38736</v>
          </cell>
        </row>
        <row r="542">
          <cell r="A542" t="str">
            <v>BAR01</v>
          </cell>
          <cell r="B542" t="str">
            <v>Barbas en dala lagartija para panel W</v>
          </cell>
          <cell r="C542" t="str">
            <v>PZA</v>
          </cell>
          <cell r="D542">
            <v>13.6692654545455</v>
          </cell>
        </row>
        <row r="542">
          <cell r="F542">
            <v>15.7196552727273</v>
          </cell>
        </row>
        <row r="543">
          <cell r="A543" t="str">
            <v>BARRE</v>
          </cell>
          <cell r="B543" t="str">
            <v>Barreno en azulejo, rejillas y tubos</v>
          </cell>
          <cell r="C543" t="str">
            <v>PZA</v>
          </cell>
          <cell r="D543">
            <v>59.9529186602871</v>
          </cell>
        </row>
        <row r="543">
          <cell r="F543">
            <v>68.9458564593302</v>
          </cell>
        </row>
        <row r="544">
          <cell r="A544" t="str">
            <v>BARREVA</v>
          </cell>
          <cell r="B544" t="str">
            <v>Barreno en concreto para varillas</v>
          </cell>
          <cell r="C544" t="str">
            <v>PZA</v>
          </cell>
          <cell r="D544">
            <v>16.70688</v>
          </cell>
        </row>
        <row r="544">
          <cell r="F544">
            <v>19.212912</v>
          </cell>
        </row>
        <row r="545">
          <cell r="A545" t="str">
            <v>BAS01</v>
          </cell>
          <cell r="B545" t="str">
            <v>Bastones para malla lack, panel, armados</v>
          </cell>
          <cell r="C545" t="str">
            <v>PZA</v>
          </cell>
          <cell r="D545">
            <v>13.6692654545455</v>
          </cell>
        </row>
        <row r="545">
          <cell r="F545">
            <v>15.7196552727273</v>
          </cell>
        </row>
        <row r="546">
          <cell r="A546" t="str">
            <v>BASEA</v>
          </cell>
          <cell r="B546" t="str">
            <v>Base para equipo de aire acondicionado 70 x 70</v>
          </cell>
          <cell r="C546" t="str">
            <v>PZA</v>
          </cell>
          <cell r="D546">
            <v>375.9048</v>
          </cell>
        </row>
        <row r="546">
          <cell r="F546">
            <v>432.29052</v>
          </cell>
        </row>
        <row r="547">
          <cell r="A547" t="str">
            <v>BASET</v>
          </cell>
          <cell r="B547" t="str">
            <v>Base de ladrillo para tuberia, perfilada</v>
          </cell>
          <cell r="C547" t="str">
            <v>PZA</v>
          </cell>
          <cell r="D547">
            <v>75.18096</v>
          </cell>
        </row>
        <row r="547">
          <cell r="F547">
            <v>86.458104</v>
          </cell>
        </row>
        <row r="548">
          <cell r="A548" t="str">
            <v>BAYO</v>
          </cell>
          <cell r="B548" t="str">
            <v>Bayoneteo de varillas </v>
          </cell>
          <cell r="C548" t="str">
            <v>PZA</v>
          </cell>
          <cell r="D548">
            <v>3.0072384</v>
          </cell>
        </row>
        <row r="548">
          <cell r="F548">
            <v>3.45832416</v>
          </cell>
        </row>
        <row r="549">
          <cell r="A549" t="str">
            <v>BOL01</v>
          </cell>
          <cell r="B549" t="str">
            <v>Boleado apalillado en aristas muros</v>
          </cell>
          <cell r="C549" t="str">
            <v>ML</v>
          </cell>
          <cell r="D549">
            <v>30.072384</v>
          </cell>
        </row>
        <row r="549">
          <cell r="F549">
            <v>34.5832416</v>
          </cell>
        </row>
        <row r="550">
          <cell r="A550" t="str">
            <v>BOL02</v>
          </cell>
          <cell r="B550" t="str">
            <v>Boleado pulido en aristas muros</v>
          </cell>
          <cell r="C550" t="str">
            <v>ML</v>
          </cell>
          <cell r="D550">
            <v>37.59048</v>
          </cell>
        </row>
        <row r="550">
          <cell r="F550">
            <v>43.229052</v>
          </cell>
        </row>
        <row r="551">
          <cell r="A551" t="str">
            <v>BOL03</v>
          </cell>
          <cell r="B551" t="str">
            <v>Boleado rustico en aristas de muros</v>
          </cell>
          <cell r="C551" t="str">
            <v>ML</v>
          </cell>
          <cell r="D551">
            <v>25.06032</v>
          </cell>
        </row>
        <row r="551">
          <cell r="F551">
            <v>28.819368</v>
          </cell>
        </row>
        <row r="552">
          <cell r="A552" t="str">
            <v>BOND</v>
          </cell>
          <cell r="B552" t="str">
            <v>Aplicar festerbond en superficies</v>
          </cell>
          <cell r="C552" t="str">
            <v>M2</v>
          </cell>
          <cell r="D552">
            <v>9.39762</v>
          </cell>
        </row>
        <row r="552">
          <cell r="F552">
            <v>10.807263</v>
          </cell>
        </row>
        <row r="553">
          <cell r="A553" t="str">
            <v>BOQ01</v>
          </cell>
          <cell r="B553" t="str">
            <v>Boquilla 1 rostro en herreria</v>
          </cell>
          <cell r="C553" t="str">
            <v>ML</v>
          </cell>
          <cell r="D553">
            <v>37.59048</v>
          </cell>
          <cell r="E553">
            <v>1</v>
          </cell>
          <cell r="F553">
            <v>43.229052</v>
          </cell>
        </row>
        <row r="554">
          <cell r="A554" t="str">
            <v>BOQ02</v>
          </cell>
          <cell r="B554" t="str">
            <v>Boquilla boleada</v>
          </cell>
          <cell r="C554" t="str">
            <v>ML</v>
          </cell>
          <cell r="D554">
            <v>75.18096</v>
          </cell>
          <cell r="E554">
            <v>1</v>
          </cell>
          <cell r="F554">
            <v>86.458104</v>
          </cell>
        </row>
        <row r="555">
          <cell r="A555" t="str">
            <v>BOQ03</v>
          </cell>
          <cell r="B555" t="str">
            <v>Boquilla</v>
          </cell>
          <cell r="C555" t="str">
            <v>ML</v>
          </cell>
          <cell r="D555">
            <v>50.12064</v>
          </cell>
          <cell r="E555">
            <v>1</v>
          </cell>
          <cell r="F555">
            <v>57.638736</v>
          </cell>
        </row>
        <row r="556">
          <cell r="A556" t="str">
            <v>BOQ04</v>
          </cell>
          <cell r="B556" t="str">
            <v>Boquillas en azulejo</v>
          </cell>
          <cell r="C556" t="str">
            <v>ML</v>
          </cell>
          <cell r="D556">
            <v>93.9762</v>
          </cell>
        </row>
        <row r="556">
          <cell r="F556">
            <v>108.07263</v>
          </cell>
        </row>
        <row r="557">
          <cell r="A557" t="str">
            <v>BOQ05</v>
          </cell>
          <cell r="B557" t="str">
            <v>Boquilla de arco</v>
          </cell>
          <cell r="C557" t="str">
            <v>ML</v>
          </cell>
          <cell r="D557">
            <v>93.9762</v>
          </cell>
          <cell r="E557">
            <v>1</v>
          </cell>
          <cell r="F557">
            <v>108.07263</v>
          </cell>
        </row>
        <row r="558">
          <cell r="A558" t="str">
            <v>BOQ06</v>
          </cell>
          <cell r="B558" t="str">
            <v>Boquilla terminado rustico</v>
          </cell>
          <cell r="C558" t="str">
            <v>ML</v>
          </cell>
          <cell r="D558">
            <v>75.18096</v>
          </cell>
          <cell r="E558">
            <v>1</v>
          </cell>
          <cell r="F558">
            <v>86.458104</v>
          </cell>
        </row>
        <row r="559">
          <cell r="A559" t="str">
            <v>BOQAF</v>
          </cell>
          <cell r="B559" t="str">
            <v>Boquilla terminado afinado esp max 30 cms</v>
          </cell>
          <cell r="C559" t="str">
            <v>ML</v>
          </cell>
          <cell r="D559">
            <v>68.3463272727273</v>
          </cell>
          <cell r="E559">
            <v>1</v>
          </cell>
          <cell r="F559">
            <v>78.5982763636364</v>
          </cell>
        </row>
        <row r="560">
          <cell r="A560" t="str">
            <v>BOV01</v>
          </cell>
          <cell r="B560" t="str">
            <v>Boveda de cuña en limpio</v>
          </cell>
          <cell r="C560" t="str">
            <v>M2</v>
          </cell>
          <cell r="D560">
            <v>150.36192</v>
          </cell>
          <cell r="E560">
            <v>1</v>
          </cell>
          <cell r="F560">
            <v>172.916208</v>
          </cell>
        </row>
        <row r="561">
          <cell r="A561" t="str">
            <v>BOV02</v>
          </cell>
          <cell r="B561" t="str">
            <v>Boveda de cuña en limpio 2a h.</v>
          </cell>
          <cell r="C561" t="str">
            <v>M2</v>
          </cell>
          <cell r="D561">
            <v>167.0688</v>
          </cell>
          <cell r="E561">
            <v>1</v>
          </cell>
          <cell r="F561">
            <v>192.12912</v>
          </cell>
        </row>
        <row r="562">
          <cell r="A562" t="str">
            <v>BOV03</v>
          </cell>
          <cell r="B562" t="str">
            <v>Boveda de cuña en losa inclinada</v>
          </cell>
          <cell r="C562" t="str">
            <v>M2</v>
          </cell>
          <cell r="D562">
            <v>107.401371428571</v>
          </cell>
          <cell r="E562">
            <v>1</v>
          </cell>
          <cell r="F562">
            <v>123.511577142857</v>
          </cell>
        </row>
        <row r="563">
          <cell r="A563" t="str">
            <v>BOV04</v>
          </cell>
          <cell r="B563" t="str">
            <v>Boveda de cuña en losa inclinada 2a h.</v>
          </cell>
          <cell r="C563" t="str">
            <v>M2</v>
          </cell>
          <cell r="D563">
            <v>123.511577142857</v>
          </cell>
          <cell r="E563">
            <v>1</v>
          </cell>
          <cell r="F563">
            <v>142.038313714286</v>
          </cell>
        </row>
        <row r="564">
          <cell r="A564" t="str">
            <v>BOV05</v>
          </cell>
          <cell r="B564" t="str">
            <v>Boveda de cuña en sucio</v>
          </cell>
          <cell r="C564" t="str">
            <v>M2</v>
          </cell>
          <cell r="D564">
            <v>115.663015384615</v>
          </cell>
          <cell r="E564">
            <v>1</v>
          </cell>
          <cell r="F564">
            <v>133.012467692308</v>
          </cell>
        </row>
        <row r="565">
          <cell r="A565" t="str">
            <v>BOV06</v>
          </cell>
          <cell r="B565" t="str">
            <v>Boveda de cuña en sucio 2a h.</v>
          </cell>
          <cell r="C565" t="str">
            <v>M2</v>
          </cell>
          <cell r="D565">
            <v>133.012467692308</v>
          </cell>
          <cell r="E565">
            <v>1</v>
          </cell>
          <cell r="F565">
            <v>152.964337846154</v>
          </cell>
        </row>
        <row r="566">
          <cell r="A566" t="str">
            <v>BROC1</v>
          </cell>
          <cell r="B566" t="str">
            <v>Colocar brocal en pozo de visita</v>
          </cell>
          <cell r="C566" t="str">
            <v>PZA</v>
          </cell>
          <cell r="D566">
            <v>150.36192</v>
          </cell>
        </row>
        <row r="566">
          <cell r="F566">
            <v>172.916208</v>
          </cell>
        </row>
        <row r="567">
          <cell r="A567" t="str">
            <v>CAB01</v>
          </cell>
          <cell r="B567" t="str">
            <v>Caballete en aristas de teja</v>
          </cell>
          <cell r="C567" t="str">
            <v>ML</v>
          </cell>
          <cell r="D567">
            <v>107.401371428571</v>
          </cell>
          <cell r="E567">
            <v>1</v>
          </cell>
          <cell r="F567">
            <v>123.511577142857</v>
          </cell>
        </row>
        <row r="568">
          <cell r="A568" t="str">
            <v>CAJ01</v>
          </cell>
          <cell r="B568" t="str">
            <v>Abrir, forjar y terminar caja de luz cortesia</v>
          </cell>
          <cell r="C568" t="str">
            <v>PZA</v>
          </cell>
          <cell r="D568">
            <v>659.482105263158</v>
          </cell>
        </row>
        <row r="568">
          <cell r="F568">
            <v>758.404421052632</v>
          </cell>
        </row>
        <row r="569">
          <cell r="A569" t="str">
            <v>CAL01</v>
          </cell>
          <cell r="B569" t="str">
            <v>Calavereado muro abultado en mamposteo</v>
          </cell>
          <cell r="C569" t="str">
            <v>M2</v>
          </cell>
          <cell r="D569">
            <v>93.9762</v>
          </cell>
          <cell r="E569">
            <v>1</v>
          </cell>
          <cell r="F569">
            <v>108.07263</v>
          </cell>
        </row>
        <row r="570">
          <cell r="A570" t="str">
            <v>CAL02</v>
          </cell>
          <cell r="B570" t="str">
            <v>Calavereado muro embutido en mamposteo</v>
          </cell>
          <cell r="C570" t="str">
            <v>M2</v>
          </cell>
          <cell r="D570">
            <v>65.9482105263158</v>
          </cell>
          <cell r="E570">
            <v>1</v>
          </cell>
          <cell r="F570">
            <v>75.8404421052632</v>
          </cell>
        </row>
        <row r="571">
          <cell r="A571" t="str">
            <v>CALAF</v>
          </cell>
          <cell r="B571" t="str">
            <v>Calafateo de junta de dilatacion</v>
          </cell>
          <cell r="C571" t="str">
            <v>ML</v>
          </cell>
          <cell r="D571">
            <v>25.06032</v>
          </cell>
        </row>
        <row r="571">
          <cell r="F571">
            <v>28.819368</v>
          </cell>
        </row>
        <row r="572">
          <cell r="A572" t="str">
            <v>CAMI</v>
          </cell>
          <cell r="B572" t="str">
            <v>Cama individual terminada</v>
          </cell>
          <cell r="C572" t="str">
            <v>PZA</v>
          </cell>
          <cell r="D572">
            <v>2506.032</v>
          </cell>
        </row>
        <row r="572">
          <cell r="F572">
            <v>2881.9368</v>
          </cell>
        </row>
        <row r="573">
          <cell r="A573" t="str">
            <v>CAMK</v>
          </cell>
          <cell r="B573" t="str">
            <v>Cama king size terminada</v>
          </cell>
          <cell r="C573" t="str">
            <v>PZA</v>
          </cell>
          <cell r="D573">
            <v>3759.048</v>
          </cell>
        </row>
        <row r="573">
          <cell r="F573">
            <v>4322.9052</v>
          </cell>
        </row>
        <row r="574">
          <cell r="A574" t="str">
            <v>CAMM</v>
          </cell>
          <cell r="B574" t="str">
            <v>Cama matrimonial terminada</v>
          </cell>
          <cell r="C574" t="str">
            <v>PZA</v>
          </cell>
          <cell r="D574">
            <v>3007.2384</v>
          </cell>
        </row>
        <row r="574">
          <cell r="F574">
            <v>3458.32416</v>
          </cell>
        </row>
        <row r="575">
          <cell r="A575" t="str">
            <v>CAMQ</v>
          </cell>
          <cell r="B575" t="str">
            <v>Cama queen size terminada</v>
          </cell>
          <cell r="C575" t="str">
            <v>PZA</v>
          </cell>
          <cell r="D575">
            <v>3417.31636363636</v>
          </cell>
        </row>
        <row r="575">
          <cell r="F575">
            <v>3929.91381818182</v>
          </cell>
        </row>
        <row r="576">
          <cell r="A576" t="str">
            <v>CAMT</v>
          </cell>
          <cell r="B576" t="str">
            <v>Cama para sentar tuberia</v>
          </cell>
          <cell r="C576" t="str">
            <v>ML</v>
          </cell>
          <cell r="D576">
            <v>12.53016</v>
          </cell>
        </row>
        <row r="576">
          <cell r="F576">
            <v>14.409684</v>
          </cell>
        </row>
        <row r="577">
          <cell r="A577" t="str">
            <v>CANES</v>
          </cell>
          <cell r="B577" t="str">
            <v>Canes de varilla p/sujecion reglas boquillas</v>
          </cell>
          <cell r="C577" t="str">
            <v>PZA</v>
          </cell>
          <cell r="D577">
            <v>13.6692654545455</v>
          </cell>
        </row>
        <row r="577">
          <cell r="F577">
            <v>15.7196552727273</v>
          </cell>
        </row>
        <row r="578">
          <cell r="A578" t="str">
            <v>CARR1</v>
          </cell>
          <cell r="B578" t="str">
            <v>Carrucha en fachadas para acarreo material</v>
          </cell>
          <cell r="C578" t="str">
            <v>PZA</v>
          </cell>
          <cell r="D578">
            <v>107.401371428571</v>
          </cell>
        </row>
        <row r="578">
          <cell r="F578">
            <v>123.511577142857</v>
          </cell>
        </row>
        <row r="579">
          <cell r="A579" t="str">
            <v>CCA01</v>
          </cell>
          <cell r="B579" t="str">
            <v>C.y colar castillo 3 caras p/20</v>
          </cell>
          <cell r="C579" t="str">
            <v>ML</v>
          </cell>
          <cell r="D579">
            <v>93.9762</v>
          </cell>
          <cell r="E579">
            <v>1</v>
          </cell>
          <cell r="F579">
            <v>108.07263</v>
          </cell>
        </row>
        <row r="580">
          <cell r="A580" t="str">
            <v>CCA02</v>
          </cell>
          <cell r="B580" t="str">
            <v>C.y colar castillo 3 caras p/20 2a h.</v>
          </cell>
          <cell r="C580" t="str">
            <v>ML</v>
          </cell>
          <cell r="D580">
            <v>108.07263</v>
          </cell>
          <cell r="E580">
            <v>1</v>
          </cell>
          <cell r="F580">
            <v>124.2835245</v>
          </cell>
        </row>
        <row r="581">
          <cell r="A581" t="str">
            <v>CCA03</v>
          </cell>
          <cell r="B581" t="str">
            <v>C.y colar castillo 3 caras p/capuchino o lagartija</v>
          </cell>
          <cell r="C581" t="str">
            <v>ML</v>
          </cell>
          <cell r="D581">
            <v>68.3463272727273</v>
          </cell>
          <cell r="E581">
            <v>1</v>
          </cell>
          <cell r="F581">
            <v>78.5982763636364</v>
          </cell>
        </row>
        <row r="582">
          <cell r="A582" t="str">
            <v>CCA04</v>
          </cell>
          <cell r="B582" t="str">
            <v>C.y colar castillo 3 caras p/capuchino 2a h.</v>
          </cell>
          <cell r="C582" t="str">
            <v>ML</v>
          </cell>
          <cell r="D582">
            <v>78.3135</v>
          </cell>
          <cell r="E582">
            <v>1</v>
          </cell>
          <cell r="F582">
            <v>90.060525</v>
          </cell>
        </row>
        <row r="583">
          <cell r="A583" t="str">
            <v>CCA05</v>
          </cell>
          <cell r="B583" t="str">
            <v>C.y colar castillo 3 caras p/soga</v>
          </cell>
          <cell r="C583" t="str">
            <v>ML</v>
          </cell>
          <cell r="D583">
            <v>75.18096</v>
          </cell>
          <cell r="E583">
            <v>1</v>
          </cell>
          <cell r="F583">
            <v>86.458104</v>
          </cell>
        </row>
        <row r="584">
          <cell r="A584" t="str">
            <v>CCA06</v>
          </cell>
          <cell r="B584" t="str">
            <v>C.y colar castillo 3 caras p/soga 2a h.</v>
          </cell>
          <cell r="C584" t="str">
            <v>ML</v>
          </cell>
          <cell r="D584">
            <v>86.458104</v>
          </cell>
          <cell r="E584">
            <v>1</v>
          </cell>
          <cell r="F584">
            <v>99.4268196</v>
          </cell>
        </row>
        <row r="585">
          <cell r="A585" t="str">
            <v>CCA07</v>
          </cell>
          <cell r="B585" t="str">
            <v>C.y colar castillo 3 caras p/tezon</v>
          </cell>
          <cell r="C585" t="str">
            <v>ML</v>
          </cell>
          <cell r="D585">
            <v>107.401371428571</v>
          </cell>
          <cell r="E585">
            <v>1</v>
          </cell>
          <cell r="F585">
            <v>123.511577142857</v>
          </cell>
        </row>
        <row r="586">
          <cell r="A586" t="str">
            <v>CCA08</v>
          </cell>
          <cell r="B586" t="str">
            <v>C.y colar castillo 3 caras p/tezon 2a h.</v>
          </cell>
          <cell r="C586" t="str">
            <v>ML</v>
          </cell>
          <cell r="D586">
            <v>123.511577142857</v>
          </cell>
          <cell r="E586">
            <v>1</v>
          </cell>
          <cell r="F586">
            <v>142.038313714286</v>
          </cell>
        </row>
        <row r="587">
          <cell r="A587" t="str">
            <v>CCA09</v>
          </cell>
          <cell r="B587" t="str">
            <v>C.y colar castillo p/20</v>
          </cell>
          <cell r="C587" t="str">
            <v>ML</v>
          </cell>
          <cell r="D587">
            <v>79.137852631579</v>
          </cell>
          <cell r="E587">
            <v>1</v>
          </cell>
          <cell r="F587">
            <v>91.0085305263158</v>
          </cell>
        </row>
        <row r="588">
          <cell r="A588" t="str">
            <v>CCA10</v>
          </cell>
          <cell r="B588" t="str">
            <v>C.y colar castillo p/20 2a h.</v>
          </cell>
          <cell r="C588" t="str">
            <v>ML</v>
          </cell>
          <cell r="D588">
            <v>91.1284363636364</v>
          </cell>
          <cell r="E588">
            <v>1</v>
          </cell>
          <cell r="F588">
            <v>104.797701818182</v>
          </cell>
        </row>
        <row r="589">
          <cell r="A589" t="str">
            <v>CCA11</v>
          </cell>
          <cell r="B589" t="str">
            <v>C.y colar castillo p/capuchino o lagartija</v>
          </cell>
          <cell r="C589" t="str">
            <v>ML</v>
          </cell>
          <cell r="D589">
            <v>60.144768</v>
          </cell>
          <cell r="E589">
            <v>1</v>
          </cell>
          <cell r="F589">
            <v>69.1664832</v>
          </cell>
        </row>
        <row r="590">
          <cell r="A590" t="str">
            <v>CCA12</v>
          </cell>
          <cell r="B590" t="str">
            <v>C.y colar castillo p/capuchino 2a h.</v>
          </cell>
          <cell r="C590" t="str">
            <v>ML</v>
          </cell>
          <cell r="D590">
            <v>68.9733577981651</v>
          </cell>
          <cell r="E590">
            <v>1</v>
          </cell>
          <cell r="F590">
            <v>79.3193614678899</v>
          </cell>
        </row>
        <row r="591">
          <cell r="A591" t="str">
            <v>CCA13</v>
          </cell>
          <cell r="B591" t="str">
            <v>C.y colar castillo p/soga</v>
          </cell>
          <cell r="C591" t="str">
            <v>ML</v>
          </cell>
          <cell r="D591">
            <v>65.374747826087</v>
          </cell>
          <cell r="E591">
            <v>1</v>
          </cell>
          <cell r="F591">
            <v>75.18096</v>
          </cell>
        </row>
        <row r="592">
          <cell r="A592" t="str">
            <v>CCA14</v>
          </cell>
          <cell r="B592" t="str">
            <v>C.y colar castillo p/soga 2a h.</v>
          </cell>
          <cell r="C592" t="str">
            <v>ML</v>
          </cell>
          <cell r="D592">
            <v>75.18096</v>
          </cell>
          <cell r="E592">
            <v>1</v>
          </cell>
          <cell r="F592">
            <v>86.458104</v>
          </cell>
        </row>
        <row r="593">
          <cell r="A593" t="str">
            <v>CCA15</v>
          </cell>
          <cell r="B593" t="str">
            <v>C.y colar castillo p/tezon</v>
          </cell>
          <cell r="C593" t="str">
            <v>ML</v>
          </cell>
          <cell r="D593">
            <v>88.4481882352941</v>
          </cell>
          <cell r="E593">
            <v>1</v>
          </cell>
          <cell r="F593">
            <v>101.715416470588</v>
          </cell>
        </row>
        <row r="594">
          <cell r="A594" t="str">
            <v>CCA16</v>
          </cell>
          <cell r="B594" t="str">
            <v>C.y colar castillo p/tezon 2a h.</v>
          </cell>
          <cell r="C594" t="str">
            <v>ML</v>
          </cell>
          <cell r="D594">
            <v>101.715416470588</v>
          </cell>
          <cell r="E594">
            <v>1</v>
          </cell>
          <cell r="F594">
            <v>116.972728941176</v>
          </cell>
        </row>
        <row r="595">
          <cell r="A595" t="str">
            <v>CCA17</v>
          </cell>
          <cell r="B595" t="str">
            <v>C y colar castillo 4 caras</v>
          </cell>
          <cell r="C595" t="str">
            <v>ML</v>
          </cell>
          <cell r="D595">
            <v>125.3016</v>
          </cell>
          <cell r="E595">
            <v>1</v>
          </cell>
          <cell r="F595">
            <v>144.09684</v>
          </cell>
        </row>
        <row r="596">
          <cell r="A596" t="str">
            <v>CCA201</v>
          </cell>
          <cell r="B596" t="str">
            <v>Cimbrar y colar castillo de 1 rostro muro de 20 c/twinos</v>
          </cell>
          <cell r="C596" t="str">
            <v>ML</v>
          </cell>
          <cell r="D596">
            <v>107.401371428571</v>
          </cell>
          <cell r="E596">
            <v>1</v>
          </cell>
          <cell r="F596">
            <v>123.511577142857</v>
          </cell>
        </row>
        <row r="597">
          <cell r="A597" t="str">
            <v>CCA202</v>
          </cell>
          <cell r="B597" t="str">
            <v>Cimbrar y colar castillo de 2 rostros muro de 20 c/twinos</v>
          </cell>
          <cell r="C597" t="str">
            <v>ML</v>
          </cell>
          <cell r="D597">
            <v>136.692654545455</v>
          </cell>
          <cell r="E597">
            <v>1</v>
          </cell>
          <cell r="F597">
            <v>157.196552727273</v>
          </cell>
        </row>
        <row r="598">
          <cell r="A598" t="str">
            <v>CCA203</v>
          </cell>
          <cell r="B598" t="str">
            <v>Cimbrar y colar castillo de 20 a 3a h</v>
          </cell>
          <cell r="C598" t="str">
            <v>ML</v>
          </cell>
          <cell r="D598">
            <v>102.987616438356</v>
          </cell>
          <cell r="E598">
            <v>1</v>
          </cell>
          <cell r="F598">
            <v>118.43575890411</v>
          </cell>
        </row>
        <row r="599">
          <cell r="A599" t="str">
            <v>CCA25</v>
          </cell>
          <cell r="B599" t="str">
            <v>C.y colar castillo para muro de 25</v>
          </cell>
          <cell r="C599" t="str">
            <v>ML</v>
          </cell>
          <cell r="D599">
            <v>98.2757647058824</v>
          </cell>
          <cell r="E599">
            <v>1</v>
          </cell>
          <cell r="F599">
            <v>113.017129411765</v>
          </cell>
        </row>
        <row r="600">
          <cell r="A600" t="str">
            <v>CCA252</v>
          </cell>
          <cell r="B600" t="str">
            <v>C.y colar castillo para muro de 25 2a h</v>
          </cell>
          <cell r="C600" t="str">
            <v>ML</v>
          </cell>
          <cell r="D600">
            <v>113.017129411765</v>
          </cell>
          <cell r="E600">
            <v>1</v>
          </cell>
          <cell r="F600">
            <v>129.969698823529</v>
          </cell>
        </row>
        <row r="601">
          <cell r="A601" t="str">
            <v>CCA253</v>
          </cell>
          <cell r="B601" t="str">
            <v>C.y colar castillo para muro de 25 3a h</v>
          </cell>
          <cell r="C601" t="str">
            <v>ML</v>
          </cell>
          <cell r="D601">
            <v>129.969698823529</v>
          </cell>
          <cell r="E601">
            <v>1</v>
          </cell>
          <cell r="F601">
            <v>149.465153647059</v>
          </cell>
        </row>
        <row r="602">
          <cell r="A602" t="str">
            <v>CCA253C</v>
          </cell>
          <cell r="B602" t="str">
            <v>C.y colar castillo 3 caras para muro 25</v>
          </cell>
          <cell r="C602" t="str">
            <v>ML</v>
          </cell>
          <cell r="D602">
            <v>117.47025</v>
          </cell>
          <cell r="E602">
            <v>1</v>
          </cell>
          <cell r="F602">
            <v>135.0907875</v>
          </cell>
        </row>
        <row r="603">
          <cell r="A603" t="str">
            <v>CCA253C2</v>
          </cell>
          <cell r="B603" t="str">
            <v>C.y colar castillo 3 caras para muro 25 2a h</v>
          </cell>
          <cell r="C603" t="str">
            <v>ML</v>
          </cell>
          <cell r="D603">
            <v>135.0907875</v>
          </cell>
          <cell r="E603">
            <v>1</v>
          </cell>
          <cell r="F603">
            <v>155.354405625</v>
          </cell>
        </row>
        <row r="604">
          <cell r="A604" t="str">
            <v>CCA35</v>
          </cell>
          <cell r="B604" t="str">
            <v>C.y colar castillo para muro de 35</v>
          </cell>
          <cell r="C604" t="str">
            <v>ML</v>
          </cell>
          <cell r="D604">
            <v>196.124243478261</v>
          </cell>
          <cell r="E604">
            <v>1</v>
          </cell>
          <cell r="F604">
            <v>225.54288</v>
          </cell>
        </row>
        <row r="605">
          <cell r="A605" t="str">
            <v>CCASO3</v>
          </cell>
          <cell r="B605" t="str">
            <v>Cimbrar y colar castillo de soga a 3a h</v>
          </cell>
          <cell r="C605" t="str">
            <v>ML</v>
          </cell>
          <cell r="D605">
            <v>81.7184347826087</v>
          </cell>
          <cell r="E605">
            <v>1</v>
          </cell>
          <cell r="F605">
            <v>93.9762</v>
          </cell>
        </row>
        <row r="606">
          <cell r="A606" t="str">
            <v>CCASO4</v>
          </cell>
          <cell r="B606" t="str">
            <v>Cimbrar y colar castillo de soga a 4a h</v>
          </cell>
          <cell r="C606" t="str">
            <v>ML</v>
          </cell>
          <cell r="D606">
            <v>93.9762</v>
          </cell>
          <cell r="E606">
            <v>1</v>
          </cell>
          <cell r="F606">
            <v>108.07263</v>
          </cell>
        </row>
        <row r="607">
          <cell r="A607" t="str">
            <v>CCASO5</v>
          </cell>
          <cell r="B607" t="str">
            <v>Cimbrar y colar castillo de soga a 5a h</v>
          </cell>
          <cell r="C607" t="str">
            <v>ML</v>
          </cell>
          <cell r="D607">
            <v>108.07263</v>
          </cell>
          <cell r="E607">
            <v>1</v>
          </cell>
          <cell r="F607">
            <v>124.2835245</v>
          </cell>
        </row>
        <row r="608">
          <cell r="A608" t="str">
            <v>CCATE3</v>
          </cell>
          <cell r="B608" t="str">
            <v>Cimbrar y colar castillo de tezon a 3a h</v>
          </cell>
          <cell r="C608" t="str">
            <v>ML</v>
          </cell>
          <cell r="D608">
            <v>122.16906</v>
          </cell>
          <cell r="E608">
            <v>1</v>
          </cell>
          <cell r="F608">
            <v>140.494419</v>
          </cell>
        </row>
        <row r="609">
          <cell r="A609" t="str">
            <v>CCATE4</v>
          </cell>
          <cell r="B609" t="str">
            <v>Cimbrar y colar castillo de tezon a 4a h</v>
          </cell>
          <cell r="C609" t="str">
            <v>ML</v>
          </cell>
          <cell r="D609">
            <v>140.494419</v>
          </cell>
          <cell r="E609">
            <v>1</v>
          </cell>
          <cell r="F609">
            <v>161.56858185</v>
          </cell>
        </row>
        <row r="610">
          <cell r="A610" t="str">
            <v>CCATE5</v>
          </cell>
          <cell r="B610" t="str">
            <v>Cimbrar y colar castillo de tezon a 5a h</v>
          </cell>
          <cell r="C610" t="str">
            <v>ML</v>
          </cell>
          <cell r="D610">
            <v>161.56858185</v>
          </cell>
          <cell r="E610">
            <v>1</v>
          </cell>
          <cell r="F610">
            <v>185.8038691275</v>
          </cell>
        </row>
        <row r="611">
          <cell r="A611" t="str">
            <v>CCATE1R</v>
          </cell>
          <cell r="B611" t="str">
            <v>Cimbrar y colar castillo de 1 rostro muro tezon c/twinos</v>
          </cell>
          <cell r="C611" t="str">
            <v>ML</v>
          </cell>
          <cell r="D611">
            <v>113.738214826021</v>
          </cell>
          <cell r="E611">
            <v>1</v>
          </cell>
          <cell r="F611">
            <v>130.798947049924</v>
          </cell>
        </row>
        <row r="612">
          <cell r="A612" t="str">
            <v>CCE20</v>
          </cell>
          <cell r="B612" t="str">
            <v>C. y colar cerramiento muro 20</v>
          </cell>
          <cell r="C612" t="str">
            <v>ML</v>
          </cell>
          <cell r="D612">
            <v>125.3016</v>
          </cell>
          <cell r="E612">
            <v>1</v>
          </cell>
          <cell r="F612">
            <v>144.09684</v>
          </cell>
        </row>
        <row r="613">
          <cell r="A613" t="str">
            <v>CCE25</v>
          </cell>
          <cell r="B613" t="str">
            <v>C. y colar cerramiento muro de 25</v>
          </cell>
          <cell r="C613" t="str">
            <v>ML</v>
          </cell>
          <cell r="D613">
            <v>159.959489361702</v>
          </cell>
          <cell r="E613">
            <v>1</v>
          </cell>
          <cell r="F613">
            <v>183.953412765957</v>
          </cell>
        </row>
        <row r="614">
          <cell r="A614" t="str">
            <v>CCE35</v>
          </cell>
          <cell r="B614" t="str">
            <v>C. y colar cerramiento muro de 35</v>
          </cell>
          <cell r="C614" t="str">
            <v>ML</v>
          </cell>
          <cell r="D614">
            <v>319.918978723404</v>
          </cell>
          <cell r="E614">
            <v>1</v>
          </cell>
          <cell r="F614">
            <v>367.906825531915</v>
          </cell>
        </row>
        <row r="615">
          <cell r="A615" t="str">
            <v>CCECA</v>
          </cell>
          <cell r="B615" t="str">
            <v>C. y colar cerramiento muro capuchino o lagartija</v>
          </cell>
          <cell r="C615" t="str">
            <v>ML</v>
          </cell>
          <cell r="D615">
            <v>68.3463272727273</v>
          </cell>
          <cell r="E615">
            <v>1</v>
          </cell>
          <cell r="F615">
            <v>78.5982763636364</v>
          </cell>
        </row>
        <row r="616">
          <cell r="A616" t="str">
            <v>CCESO</v>
          </cell>
          <cell r="B616" t="str">
            <v>C. y colar cerramiento muro soga</v>
          </cell>
          <cell r="C616" t="str">
            <v>ML</v>
          </cell>
          <cell r="D616">
            <v>83.5344</v>
          </cell>
          <cell r="E616">
            <v>1</v>
          </cell>
          <cell r="F616">
            <v>96.06456</v>
          </cell>
        </row>
        <row r="617">
          <cell r="A617" t="str">
            <v>CCETE</v>
          </cell>
          <cell r="B617" t="str">
            <v>C. y colar cerramiento muro tezon</v>
          </cell>
          <cell r="C617" t="str">
            <v>ML</v>
          </cell>
          <cell r="D617">
            <v>150.36192</v>
          </cell>
          <cell r="E617">
            <v>1</v>
          </cell>
          <cell r="F617">
            <v>172.916208</v>
          </cell>
        </row>
        <row r="618">
          <cell r="A618" t="str">
            <v>CDA01</v>
          </cell>
          <cell r="B618" t="str">
            <v>C. y colar dala corona 20</v>
          </cell>
          <cell r="C618" t="str">
            <v>ML</v>
          </cell>
          <cell r="D618">
            <v>88.4481882352941</v>
          </cell>
          <cell r="E618">
            <v>1</v>
          </cell>
          <cell r="F618">
            <v>101.715416470588</v>
          </cell>
        </row>
        <row r="619">
          <cell r="A619" t="str">
            <v>CDA02</v>
          </cell>
          <cell r="B619" t="str">
            <v>C. y colar dala corona capuchino</v>
          </cell>
          <cell r="C619" t="str">
            <v>ML</v>
          </cell>
          <cell r="D619">
            <v>68.3463272727273</v>
          </cell>
          <cell r="E619">
            <v>1</v>
          </cell>
          <cell r="F619">
            <v>78.5982763636364</v>
          </cell>
        </row>
        <row r="620">
          <cell r="A620" t="str">
            <v>CDA03</v>
          </cell>
          <cell r="B620" t="str">
            <v>C. y colar dala corona soga</v>
          </cell>
          <cell r="C620" t="str">
            <v>ML</v>
          </cell>
          <cell r="D620">
            <v>75.18096</v>
          </cell>
          <cell r="E620">
            <v>1</v>
          </cell>
          <cell r="F620">
            <v>86.458104</v>
          </cell>
        </row>
        <row r="621">
          <cell r="A621" t="str">
            <v>CDA04</v>
          </cell>
          <cell r="B621" t="str">
            <v>C. y colar dala corona tezon</v>
          </cell>
          <cell r="C621" t="str">
            <v>ML</v>
          </cell>
          <cell r="D621">
            <v>93.9762</v>
          </cell>
          <cell r="E621">
            <v>1</v>
          </cell>
          <cell r="F621">
            <v>108.07263</v>
          </cell>
        </row>
        <row r="622">
          <cell r="A622" t="str">
            <v>CDA05</v>
          </cell>
          <cell r="B622" t="str">
            <v>C. y colar dala desplante 20</v>
          </cell>
          <cell r="C622" t="str">
            <v>ML</v>
          </cell>
          <cell r="D622">
            <v>79.137852631579</v>
          </cell>
          <cell r="E622">
            <v>1</v>
          </cell>
          <cell r="F622">
            <v>91.0085305263158</v>
          </cell>
        </row>
        <row r="623">
          <cell r="A623" t="str">
            <v>CDA06</v>
          </cell>
          <cell r="B623" t="str">
            <v>C. y colar dala desplante capuchino o lagartija</v>
          </cell>
          <cell r="C623" t="str">
            <v>ML</v>
          </cell>
          <cell r="D623">
            <v>62.6508</v>
          </cell>
          <cell r="E623">
            <v>1</v>
          </cell>
          <cell r="F623">
            <v>72.04842</v>
          </cell>
        </row>
        <row r="624">
          <cell r="A624" t="str">
            <v>CDA07</v>
          </cell>
          <cell r="B624" t="str">
            <v>C. y colar dala desplante soga</v>
          </cell>
          <cell r="C624" t="str">
            <v>ML</v>
          </cell>
          <cell r="D624">
            <v>62.6508</v>
          </cell>
          <cell r="E624">
            <v>1</v>
          </cell>
          <cell r="F624">
            <v>72.04842</v>
          </cell>
        </row>
        <row r="625">
          <cell r="A625" t="str">
            <v>CDA08</v>
          </cell>
          <cell r="B625" t="str">
            <v>C. y colar dala desplante tezon</v>
          </cell>
          <cell r="C625" t="str">
            <v>ML</v>
          </cell>
          <cell r="D625">
            <v>83.5344</v>
          </cell>
          <cell r="E625">
            <v>1</v>
          </cell>
          <cell r="F625">
            <v>96.06456</v>
          </cell>
        </row>
        <row r="626">
          <cell r="A626" t="str">
            <v>CDA09</v>
          </cell>
          <cell r="B626" t="str">
            <v>C. y colar dala intermedia 20</v>
          </cell>
          <cell r="C626" t="str">
            <v>ML</v>
          </cell>
          <cell r="D626">
            <v>83.5344</v>
          </cell>
          <cell r="E626">
            <v>1</v>
          </cell>
          <cell r="F626">
            <v>96.06456</v>
          </cell>
        </row>
        <row r="627">
          <cell r="A627" t="str">
            <v>CDA10</v>
          </cell>
          <cell r="B627" t="str">
            <v>C. y colar dala intermedia capuchino</v>
          </cell>
          <cell r="C627" t="str">
            <v>ML</v>
          </cell>
          <cell r="D627">
            <v>71.6009142857143</v>
          </cell>
          <cell r="E627">
            <v>1</v>
          </cell>
          <cell r="F627">
            <v>82.3410514285714</v>
          </cell>
        </row>
        <row r="628">
          <cell r="A628" t="str">
            <v>CDA11</v>
          </cell>
          <cell r="B628" t="str">
            <v>C. y colar dala intermedia soga</v>
          </cell>
          <cell r="C628" t="str">
            <v>ML</v>
          </cell>
          <cell r="D628">
            <v>71.6009142857143</v>
          </cell>
          <cell r="E628">
            <v>1</v>
          </cell>
          <cell r="F628">
            <v>82.3410514285714</v>
          </cell>
        </row>
        <row r="629">
          <cell r="A629" t="str">
            <v>CDA12</v>
          </cell>
          <cell r="B629" t="str">
            <v>C. y colar dala intermedia tezon</v>
          </cell>
          <cell r="C629" t="str">
            <v>ML</v>
          </cell>
          <cell r="D629">
            <v>88.4481882352941</v>
          </cell>
          <cell r="E629">
            <v>1</v>
          </cell>
          <cell r="F629">
            <v>101.715416470588</v>
          </cell>
        </row>
        <row r="630">
          <cell r="A630" t="str">
            <v>CDA201</v>
          </cell>
          <cell r="B630" t="str">
            <v>Cimbrar y colar dala de 1 rostro muro de 20 c/twinos</v>
          </cell>
          <cell r="C630" t="str">
            <v>ML</v>
          </cell>
          <cell r="D630">
            <v>107.401371428571</v>
          </cell>
          <cell r="E630">
            <v>1</v>
          </cell>
          <cell r="F630">
            <v>123.511577142857</v>
          </cell>
        </row>
        <row r="631">
          <cell r="A631" t="str">
            <v>CDA202</v>
          </cell>
          <cell r="B631" t="str">
            <v>Cimbrar y colar dala de 2 rostro muro de 20 c/twinos</v>
          </cell>
          <cell r="C631" t="str">
            <v>ML</v>
          </cell>
          <cell r="D631">
            <v>136.692654545455</v>
          </cell>
          <cell r="E631">
            <v>1</v>
          </cell>
          <cell r="F631">
            <v>157.196552727273</v>
          </cell>
        </row>
        <row r="632">
          <cell r="A632" t="str">
            <v>CDA25D</v>
          </cell>
          <cell r="B632" t="str">
            <v>C. y colar dala desplante muro de 25</v>
          </cell>
          <cell r="C632" t="str">
            <v>ML</v>
          </cell>
          <cell r="D632">
            <v>92.816</v>
          </cell>
          <cell r="E632">
            <v>1</v>
          </cell>
          <cell r="F632">
            <v>106.7384</v>
          </cell>
        </row>
        <row r="633">
          <cell r="A633" t="str">
            <v>CDA25I</v>
          </cell>
          <cell r="B633" t="str">
            <v>C. y colar dala intermedia muro de 25</v>
          </cell>
          <cell r="C633" t="str">
            <v>ML</v>
          </cell>
          <cell r="D633">
            <v>106.7384</v>
          </cell>
          <cell r="E633">
            <v>1</v>
          </cell>
          <cell r="F633">
            <v>122.74916</v>
          </cell>
        </row>
        <row r="634">
          <cell r="A634" t="str">
            <v>CDA25C</v>
          </cell>
          <cell r="B634" t="str">
            <v>C. y colar dala corona muro de 25</v>
          </cell>
          <cell r="C634" t="str">
            <v>ML</v>
          </cell>
          <cell r="D634">
            <v>113.910545454545</v>
          </cell>
          <cell r="E634">
            <v>1</v>
          </cell>
          <cell r="F634">
            <v>130.997127272727</v>
          </cell>
        </row>
        <row r="635">
          <cell r="A635" t="str">
            <v>CDA301</v>
          </cell>
          <cell r="B635" t="str">
            <v>Cimbrar y colar dala de 1 rostro muro de 30 c/twinos</v>
          </cell>
          <cell r="C635" t="str">
            <v>ML</v>
          </cell>
          <cell r="D635">
            <v>150.36192</v>
          </cell>
          <cell r="E635">
            <v>1</v>
          </cell>
          <cell r="F635">
            <v>172.916208</v>
          </cell>
        </row>
        <row r="636">
          <cell r="A636" t="str">
            <v>CDATE1</v>
          </cell>
          <cell r="B636" t="str">
            <v>Cimbrar y colar dala de 1 rostro muro tezon c/twinos</v>
          </cell>
          <cell r="C636" t="str">
            <v>ML</v>
          </cell>
          <cell r="D636">
            <v>113.738214826021</v>
          </cell>
          <cell r="E636">
            <v>1</v>
          </cell>
          <cell r="F636">
            <v>130.798947049924</v>
          </cell>
        </row>
        <row r="637">
          <cell r="A637" t="str">
            <v>CDATE2</v>
          </cell>
          <cell r="B637" t="str">
            <v>Cimbrar y colar dala de 2 rostros muro tezon c/twinos</v>
          </cell>
          <cell r="C637" t="str">
            <v>ML</v>
          </cell>
          <cell r="D637">
            <v>130.798947049924</v>
          </cell>
          <cell r="E637">
            <v>1</v>
          </cell>
          <cell r="F637">
            <v>150.418789107413</v>
          </cell>
        </row>
        <row r="638">
          <cell r="A638" t="str">
            <v>CDA20X40</v>
          </cell>
          <cell r="B638" t="str">
            <v>Cimbrar y colar dala 20x40 con trompo</v>
          </cell>
          <cell r="C638" t="str">
            <v>ML</v>
          </cell>
          <cell r="D638">
            <v>80</v>
          </cell>
        </row>
        <row r="639">
          <cell r="A639" t="str">
            <v>CEL01</v>
          </cell>
          <cell r="B639" t="str">
            <v>Celosia, instalacion</v>
          </cell>
          <cell r="C639" t="str">
            <v>M2</v>
          </cell>
          <cell r="D639">
            <v>250.6032</v>
          </cell>
        </row>
        <row r="639">
          <cell r="F639">
            <v>288.19368</v>
          </cell>
        </row>
        <row r="640">
          <cell r="A640" t="str">
            <v>CELOT</v>
          </cell>
          <cell r="B640" t="str">
            <v>Celotex, colocacion</v>
          </cell>
          <cell r="C640" t="str">
            <v>ML</v>
          </cell>
          <cell r="D640">
            <v>7.518096</v>
          </cell>
        </row>
        <row r="640">
          <cell r="F640">
            <v>8.6458104</v>
          </cell>
        </row>
        <row r="641">
          <cell r="A641" t="str">
            <v>CESP</v>
          </cell>
          <cell r="B641" t="str">
            <v>Cesped plantado en rollo incluye acarreos, preparacion</v>
          </cell>
          <cell r="C641" t="str">
            <v>M2</v>
          </cell>
          <cell r="D641">
            <v>7.518096</v>
          </cell>
        </row>
        <row r="641">
          <cell r="F641">
            <v>8.6458104</v>
          </cell>
        </row>
        <row r="642">
          <cell r="A642" t="str">
            <v>CIM01</v>
          </cell>
          <cell r="B642" t="str">
            <v>Cimbra perimetral en losa de concreto o piso</v>
          </cell>
          <cell r="C642" t="str">
            <v>ML</v>
          </cell>
          <cell r="D642">
            <v>7.518096</v>
          </cell>
        </row>
        <row r="642">
          <cell r="F642">
            <v>8.6458104</v>
          </cell>
        </row>
        <row r="643">
          <cell r="A643" t="str">
            <v>CIM02</v>
          </cell>
          <cell r="B643" t="str">
            <v>Cimbra perimetral en piso</v>
          </cell>
          <cell r="C643" t="str">
            <v>ML</v>
          </cell>
          <cell r="D643">
            <v>7.518096</v>
          </cell>
        </row>
        <row r="643">
          <cell r="F643">
            <v>8.6458104</v>
          </cell>
        </row>
        <row r="644">
          <cell r="A644" t="str">
            <v>CIM03</v>
          </cell>
          <cell r="B644" t="str">
            <v>Cimbra y descimbra de castillo</v>
          </cell>
          <cell r="C644" t="str">
            <v>ML</v>
          </cell>
          <cell r="D644">
            <v>37.59048</v>
          </cell>
        </row>
        <row r="644">
          <cell r="F644">
            <v>43.229052</v>
          </cell>
        </row>
        <row r="645">
          <cell r="A645" t="str">
            <v>CIM04</v>
          </cell>
          <cell r="B645" t="str">
            <v>Cimbra y descimbra de columna o dado</v>
          </cell>
          <cell r="C645" t="str">
            <v>ML</v>
          </cell>
          <cell r="D645">
            <v>75.18096</v>
          </cell>
        </row>
        <row r="645">
          <cell r="F645">
            <v>86.458104</v>
          </cell>
        </row>
        <row r="646">
          <cell r="A646" t="str">
            <v>CIM05</v>
          </cell>
          <cell r="B646" t="str">
            <v>Cimbra y descimbra de dala</v>
          </cell>
          <cell r="C646" t="str">
            <v>ML</v>
          </cell>
          <cell r="D646">
            <v>37.59048</v>
          </cell>
        </row>
        <row r="646">
          <cell r="F646">
            <v>43.229052</v>
          </cell>
        </row>
        <row r="647">
          <cell r="A647" t="str">
            <v>CIM06</v>
          </cell>
          <cell r="B647" t="str">
            <v>Cimbra de losa con triplay</v>
          </cell>
          <cell r="C647" t="str">
            <v>M2</v>
          </cell>
          <cell r="D647">
            <v>50.12064</v>
          </cell>
        </row>
        <row r="647">
          <cell r="F647">
            <v>57.638736</v>
          </cell>
        </row>
        <row r="648">
          <cell r="A648" t="str">
            <v>CMA01</v>
          </cell>
          <cell r="B648" t="str">
            <v>C. y colar macizo en muro</v>
          </cell>
          <cell r="C648" t="str">
            <v>PZA</v>
          </cell>
          <cell r="D648">
            <v>93.9762</v>
          </cell>
          <cell r="E648">
            <v>1</v>
          </cell>
          <cell r="F648">
            <v>108.07263</v>
          </cell>
        </row>
        <row r="649">
          <cell r="A649" t="str">
            <v>CMA02</v>
          </cell>
          <cell r="B649" t="str">
            <v>Colado de macizo en acuñados</v>
          </cell>
          <cell r="C649" t="str">
            <v>PZA</v>
          </cell>
          <cell r="D649">
            <v>75.18096</v>
          </cell>
          <cell r="E649">
            <v>1</v>
          </cell>
          <cell r="F649">
            <v>86.458104</v>
          </cell>
        </row>
        <row r="650">
          <cell r="A650" t="str">
            <v>COL01</v>
          </cell>
          <cell r="B650" t="str">
            <v>Columna redonda diametro 50 cms terminada</v>
          </cell>
          <cell r="C650" t="str">
            <v>ML</v>
          </cell>
          <cell r="D650">
            <v>501.2064</v>
          </cell>
        </row>
        <row r="650">
          <cell r="F650">
            <v>576.38736</v>
          </cell>
        </row>
        <row r="651">
          <cell r="A651" t="str">
            <v>COL02</v>
          </cell>
          <cell r="B651" t="str">
            <v>Columna cuadrada forjada con ladrillo 50 cms esp.</v>
          </cell>
          <cell r="C651" t="str">
            <v>ML</v>
          </cell>
          <cell r="D651">
            <v>300.72384</v>
          </cell>
        </row>
        <row r="651">
          <cell r="F651">
            <v>345.832416</v>
          </cell>
        </row>
        <row r="652">
          <cell r="A652" t="str">
            <v>COM01</v>
          </cell>
          <cell r="B652" t="str">
            <v>Compactacion de terreno suelto con bailarina</v>
          </cell>
          <cell r="C652" t="str">
            <v>M2</v>
          </cell>
          <cell r="D652">
            <v>12.53016</v>
          </cell>
        </row>
        <row r="652">
          <cell r="F652">
            <v>14.409684</v>
          </cell>
        </row>
        <row r="653">
          <cell r="A653" t="str">
            <v>COM02</v>
          </cell>
          <cell r="B653" t="str">
            <v>Compactacion terreno con pizon en capas de 10-15</v>
          </cell>
          <cell r="C653" t="str">
            <v>M2</v>
          </cell>
          <cell r="D653">
            <v>50.12064</v>
          </cell>
        </row>
        <row r="653">
          <cell r="F653">
            <v>57.638736</v>
          </cell>
        </row>
        <row r="654">
          <cell r="A654" t="str">
            <v>CON01</v>
          </cell>
          <cell r="B654" t="str">
            <v>Colar concreto hecho en obra</v>
          </cell>
          <cell r="C654" t="str">
            <v>M3</v>
          </cell>
          <cell r="D654">
            <v>375.9048</v>
          </cell>
          <cell r="E654">
            <v>1</v>
          </cell>
          <cell r="F654">
            <v>432.29052</v>
          </cell>
        </row>
        <row r="655">
          <cell r="A655" t="str">
            <v>CON02</v>
          </cell>
          <cell r="B655" t="str">
            <v>Colar concreto premezclado vaciado con carretilla</v>
          </cell>
          <cell r="C655" t="str">
            <v>M3</v>
          </cell>
          <cell r="D655">
            <v>187.9524</v>
          </cell>
        </row>
        <row r="655">
          <cell r="F655">
            <v>216.14526</v>
          </cell>
        </row>
        <row r="656">
          <cell r="A656" t="str">
            <v>CON03</v>
          </cell>
          <cell r="B656" t="str">
            <v>Colar concreto premezclado vaciado con bomba</v>
          </cell>
          <cell r="C656" t="str">
            <v>M3</v>
          </cell>
          <cell r="D656">
            <v>37.59048</v>
          </cell>
        </row>
        <row r="656">
          <cell r="F656">
            <v>43.229052</v>
          </cell>
        </row>
        <row r="657">
          <cell r="A657" t="str">
            <v>CONT1</v>
          </cell>
          <cell r="B657" t="str">
            <v>Contracimbra de ladrillo p/zapata</v>
          </cell>
          <cell r="C657" t="str">
            <v>ML</v>
          </cell>
          <cell r="D657">
            <v>37.59048</v>
          </cell>
          <cell r="E657">
            <v>1</v>
          </cell>
          <cell r="F657">
            <v>43.229052</v>
          </cell>
        </row>
        <row r="658">
          <cell r="A658" t="str">
            <v>COR01</v>
          </cell>
          <cell r="B658" t="str">
            <v>Corte de piso con maquina losa de 15-20 cms</v>
          </cell>
          <cell r="C658" t="str">
            <v>ML</v>
          </cell>
          <cell r="D658">
            <v>18.4654989473684</v>
          </cell>
        </row>
        <row r="658">
          <cell r="F658">
            <v>21.2353237894737</v>
          </cell>
        </row>
        <row r="659">
          <cell r="A659" t="str">
            <v>COR01a</v>
          </cell>
          <cell r="B659" t="str">
            <v>Corte de piso de concreto espesor de 5-10 cms</v>
          </cell>
          <cell r="C659" t="str">
            <v>ML</v>
          </cell>
          <cell r="D659">
            <v>11.8395212598425</v>
          </cell>
        </row>
        <row r="659">
          <cell r="F659">
            <v>13.6154494488189</v>
          </cell>
        </row>
        <row r="660">
          <cell r="A660" t="str">
            <v>COR01b</v>
          </cell>
          <cell r="B660" t="str">
            <v>Corte de losa de concreto de 3 cms para marcar losas</v>
          </cell>
          <cell r="C660" t="str">
            <v>ML</v>
          </cell>
          <cell r="D660">
            <v>5.78315076923077</v>
          </cell>
        </row>
        <row r="660">
          <cell r="F660">
            <v>6.65062338461538</v>
          </cell>
        </row>
        <row r="661">
          <cell r="A661" t="str">
            <v>COR02</v>
          </cell>
          <cell r="B661" t="str">
            <v>Corte de varilla</v>
          </cell>
          <cell r="C661" t="str">
            <v>PZA</v>
          </cell>
          <cell r="D661">
            <v>3.0072384</v>
          </cell>
        </row>
        <row r="661">
          <cell r="F661">
            <v>3.45832416</v>
          </cell>
        </row>
        <row r="662">
          <cell r="A662" t="str">
            <v>COR03</v>
          </cell>
          <cell r="B662" t="str">
            <v>Corte de ladrillo de azotea con cincel y marro</v>
          </cell>
          <cell r="C662" t="str">
            <v>ML</v>
          </cell>
          <cell r="D662">
            <v>25.06032</v>
          </cell>
        </row>
        <row r="662">
          <cell r="F662">
            <v>28.819368</v>
          </cell>
        </row>
        <row r="663">
          <cell r="A663" t="str">
            <v>COR04</v>
          </cell>
          <cell r="B663" t="str">
            <v>Corte de viga de 4 " con segueta</v>
          </cell>
          <cell r="C663" t="str">
            <v>PZA</v>
          </cell>
          <cell r="D663">
            <v>150.36192</v>
          </cell>
        </row>
        <row r="663">
          <cell r="F663">
            <v>172.916208</v>
          </cell>
        </row>
        <row r="664">
          <cell r="A664" t="str">
            <v>CRU01</v>
          </cell>
          <cell r="B664" t="str">
            <v>Crucetas colocacion y habilitado a nivel</v>
          </cell>
          <cell r="C664" t="str">
            <v>PZA</v>
          </cell>
          <cell r="D664">
            <v>25.06032</v>
          </cell>
        </row>
        <row r="664">
          <cell r="F664">
            <v>28.819368</v>
          </cell>
        </row>
        <row r="665">
          <cell r="A665" t="str">
            <v>CUAR</v>
          </cell>
          <cell r="B665" t="str">
            <v>Instalacion de cuarteron en cubiertas, junteado</v>
          </cell>
          <cell r="C665" t="str">
            <v>M2</v>
          </cell>
          <cell r="D665">
            <v>659.482105263158</v>
          </cell>
        </row>
        <row r="665">
          <cell r="F665">
            <v>758.404421052632</v>
          </cell>
        </row>
        <row r="666">
          <cell r="A666" t="str">
            <v>CHA01</v>
          </cell>
          <cell r="B666" t="str">
            <v>Chaflan en boquilla ( botaguas )</v>
          </cell>
          <cell r="C666" t="str">
            <v>ML</v>
          </cell>
          <cell r="D666">
            <v>37.59048</v>
          </cell>
          <cell r="E666">
            <v>1</v>
          </cell>
          <cell r="F666">
            <v>43.229052</v>
          </cell>
        </row>
        <row r="667">
          <cell r="A667" t="str">
            <v>CHA02</v>
          </cell>
          <cell r="B667" t="str">
            <v>Chaflan en arista de muros corte a 45</v>
          </cell>
          <cell r="C667" t="str">
            <v>ML</v>
          </cell>
          <cell r="D667">
            <v>25.06032</v>
          </cell>
        </row>
        <row r="667">
          <cell r="F667">
            <v>28.819368</v>
          </cell>
        </row>
        <row r="668">
          <cell r="A668" t="str">
            <v>DADO</v>
          </cell>
          <cell r="B668" t="str">
            <v>Cimbra y colado de dado revoltura hecha en obra</v>
          </cell>
          <cell r="C668" t="str">
            <v>ML</v>
          </cell>
          <cell r="D668">
            <v>375.9048</v>
          </cell>
          <cell r="E668">
            <v>1</v>
          </cell>
          <cell r="F668">
            <v>432.29052</v>
          </cell>
        </row>
        <row r="669">
          <cell r="A669" t="str">
            <v>DADO2</v>
          </cell>
          <cell r="B669" t="str">
            <v>Colado de dado rev. Premezclada</v>
          </cell>
          <cell r="C669" t="str">
            <v>M3</v>
          </cell>
          <cell r="D669">
            <v>250.6032</v>
          </cell>
        </row>
        <row r="669">
          <cell r="F669">
            <v>288.19368</v>
          </cell>
        </row>
        <row r="670">
          <cell r="A670" t="str">
            <v>DECK</v>
          </cell>
          <cell r="B670" t="str">
            <v>Colado de decklosa concreto premezclado incluye aplanado</v>
          </cell>
          <cell r="C670" t="str">
            <v>M2</v>
          </cell>
          <cell r="D670">
            <v>46.9881</v>
          </cell>
        </row>
        <row r="670">
          <cell r="F670">
            <v>54.036315</v>
          </cell>
        </row>
        <row r="671">
          <cell r="A671" t="str">
            <v>DEM01</v>
          </cell>
          <cell r="B671" t="str">
            <v>Demoler boveda de ladrillo</v>
          </cell>
          <cell r="C671" t="str">
            <v>M2</v>
          </cell>
          <cell r="D671">
            <v>60.6723536842106</v>
          </cell>
        </row>
        <row r="671">
          <cell r="F671">
            <v>69.7732067368421</v>
          </cell>
        </row>
        <row r="672">
          <cell r="A672" t="str">
            <v>DEM02</v>
          </cell>
          <cell r="B672" t="str">
            <v>Demoler losa armada en piso esp. 10 cms</v>
          </cell>
          <cell r="C672" t="str">
            <v>M2</v>
          </cell>
          <cell r="D672">
            <v>150.36192</v>
          </cell>
        </row>
        <row r="672">
          <cell r="F672">
            <v>172.916208</v>
          </cell>
        </row>
        <row r="673">
          <cell r="A673" t="str">
            <v>DEM02R</v>
          </cell>
          <cell r="B673" t="str">
            <v>Demoler losa armada en piso esp. 10 cms con rotomartillo</v>
          </cell>
          <cell r="C673" t="str">
            <v>M2</v>
          </cell>
          <cell r="D673">
            <v>75.18096</v>
          </cell>
        </row>
        <row r="673">
          <cell r="F673">
            <v>86.458104</v>
          </cell>
        </row>
        <row r="674">
          <cell r="A674" t="str">
            <v>DEM03</v>
          </cell>
          <cell r="B674" t="str">
            <v>Demoler losa armada en piso esp. 15 cms</v>
          </cell>
          <cell r="C674" t="str">
            <v>M2</v>
          </cell>
          <cell r="D674">
            <v>225.54288</v>
          </cell>
        </row>
        <row r="674">
          <cell r="F674">
            <v>259.374312</v>
          </cell>
        </row>
        <row r="675">
          <cell r="A675" t="str">
            <v>DEM03R</v>
          </cell>
          <cell r="B675" t="str">
            <v>Demoler losa armada en piso esp. 15 cms con rotomartillo</v>
          </cell>
          <cell r="C675" t="str">
            <v>M2</v>
          </cell>
          <cell r="D675">
            <v>112.77144</v>
          </cell>
        </row>
        <row r="675">
          <cell r="F675">
            <v>129.687156</v>
          </cell>
        </row>
        <row r="676">
          <cell r="A676" t="str">
            <v>DEM04</v>
          </cell>
          <cell r="B676" t="str">
            <v>Demoler losa armada en piso esp. 20 cms</v>
          </cell>
          <cell r="C676" t="str">
            <v>M2</v>
          </cell>
          <cell r="D676">
            <v>300.72384</v>
          </cell>
        </row>
        <row r="676">
          <cell r="F676">
            <v>345.832416</v>
          </cell>
        </row>
        <row r="677">
          <cell r="A677" t="str">
            <v>DEM04R</v>
          </cell>
          <cell r="B677" t="str">
            <v>Demoler losa armada en piso esp. 20 cms con rotomartillo</v>
          </cell>
          <cell r="C677" t="str">
            <v>M2</v>
          </cell>
          <cell r="D677">
            <v>150.36192</v>
          </cell>
        </row>
        <row r="677">
          <cell r="F677">
            <v>172.916208</v>
          </cell>
        </row>
        <row r="678">
          <cell r="A678" t="str">
            <v>DEM05</v>
          </cell>
          <cell r="B678" t="str">
            <v>Demoler losa armada esp. 10 cms</v>
          </cell>
          <cell r="C678" t="str">
            <v>M2</v>
          </cell>
          <cell r="D678">
            <v>107.401371428571</v>
          </cell>
        </row>
        <row r="678">
          <cell r="F678">
            <v>123.511577142857</v>
          </cell>
        </row>
        <row r="679">
          <cell r="A679" t="str">
            <v>DEM06</v>
          </cell>
          <cell r="B679" t="str">
            <v>Demoler media caña</v>
          </cell>
          <cell r="C679" t="str">
            <v>ML</v>
          </cell>
          <cell r="D679">
            <v>16.70688</v>
          </cell>
        </row>
        <row r="679">
          <cell r="F679">
            <v>19.212912</v>
          </cell>
        </row>
        <row r="680">
          <cell r="A680" t="str">
            <v>DEM07</v>
          </cell>
          <cell r="B680" t="str">
            <v>Demoler muro de tablaroca y canales</v>
          </cell>
          <cell r="C680" t="str">
            <v>M2</v>
          </cell>
          <cell r="D680">
            <v>18.79524</v>
          </cell>
        </row>
        <row r="680">
          <cell r="F680">
            <v>21.614526</v>
          </cell>
        </row>
        <row r="681">
          <cell r="A681" t="str">
            <v>DEM08</v>
          </cell>
          <cell r="B681" t="str">
            <v>Demoler plafond de tablaroca incluye alambres y canales</v>
          </cell>
          <cell r="C681" t="str">
            <v>M2</v>
          </cell>
          <cell r="D681">
            <v>20.8836</v>
          </cell>
        </row>
        <row r="681">
          <cell r="F681">
            <v>24.01614</v>
          </cell>
        </row>
        <row r="682">
          <cell r="A682" t="str">
            <v>DEM09</v>
          </cell>
          <cell r="B682" t="str">
            <v>Demoler plafond metal desplegado</v>
          </cell>
          <cell r="C682" t="str">
            <v>M2</v>
          </cell>
          <cell r="D682">
            <v>41.7672</v>
          </cell>
        </row>
        <row r="682">
          <cell r="F682">
            <v>48.03228</v>
          </cell>
        </row>
        <row r="683">
          <cell r="A683" t="str">
            <v>DEM10</v>
          </cell>
          <cell r="B683" t="str">
            <v>Demoler tubo de drenaje 6"</v>
          </cell>
          <cell r="C683" t="str">
            <v>ML</v>
          </cell>
          <cell r="D683">
            <v>16.70688</v>
          </cell>
        </row>
        <row r="683">
          <cell r="F683">
            <v>19.212912</v>
          </cell>
        </row>
        <row r="684">
          <cell r="A684" t="str">
            <v>DEM11</v>
          </cell>
          <cell r="B684" t="str">
            <v>Demolicion de boquilla</v>
          </cell>
          <cell r="C684" t="str">
            <v>ML</v>
          </cell>
          <cell r="D684">
            <v>12.53016</v>
          </cell>
        </row>
        <row r="684">
          <cell r="F684">
            <v>14.409684</v>
          </cell>
        </row>
        <row r="685">
          <cell r="A685" t="str">
            <v>DEM12</v>
          </cell>
          <cell r="B685" t="str">
            <v>Demolicion de castillo muro de 20</v>
          </cell>
          <cell r="C685" t="str">
            <v>ML</v>
          </cell>
          <cell r="D685">
            <v>93.9762</v>
          </cell>
        </row>
        <row r="685">
          <cell r="F685">
            <v>108.07263</v>
          </cell>
        </row>
        <row r="686">
          <cell r="A686" t="str">
            <v>DEM13</v>
          </cell>
          <cell r="B686" t="str">
            <v>Demolicion de castillo muro de capuchino</v>
          </cell>
          <cell r="C686" t="str">
            <v>ML</v>
          </cell>
          <cell r="D686">
            <v>50.12064</v>
          </cell>
        </row>
        <row r="686">
          <cell r="F686">
            <v>57.638736</v>
          </cell>
        </row>
        <row r="687">
          <cell r="A687" t="str">
            <v>DEM14</v>
          </cell>
          <cell r="B687" t="str">
            <v>Demolicion de castillo muro de soga</v>
          </cell>
          <cell r="C687" t="str">
            <v>ML</v>
          </cell>
          <cell r="D687">
            <v>83.5344</v>
          </cell>
        </row>
        <row r="687">
          <cell r="F687">
            <v>96.06456</v>
          </cell>
        </row>
        <row r="688">
          <cell r="A688" t="str">
            <v>DEM15</v>
          </cell>
          <cell r="B688" t="str">
            <v>Demolicion de castillo muro de tezon</v>
          </cell>
          <cell r="C688" t="str">
            <v>ML</v>
          </cell>
          <cell r="D688">
            <v>93.9762</v>
          </cell>
        </row>
        <row r="688">
          <cell r="F688">
            <v>108.07263</v>
          </cell>
        </row>
        <row r="689">
          <cell r="A689" t="str">
            <v>DEM16</v>
          </cell>
          <cell r="B689" t="str">
            <v>Demolicion de cerramiento con marro y cincel</v>
          </cell>
          <cell r="C689" t="str">
            <v>ML</v>
          </cell>
          <cell r="D689">
            <v>93.9762</v>
          </cell>
        </row>
        <row r="689">
          <cell r="F689">
            <v>108.07263</v>
          </cell>
        </row>
        <row r="690">
          <cell r="A690" t="str">
            <v>DEM17</v>
          </cell>
          <cell r="B690" t="str">
            <v>Demolicion de cimiento de piedra c/marro</v>
          </cell>
          <cell r="C690" t="str">
            <v>M3</v>
          </cell>
          <cell r="D690">
            <v>216.686977443609</v>
          </cell>
        </row>
        <row r="690">
          <cell r="F690">
            <v>249.19002406015</v>
          </cell>
        </row>
        <row r="691">
          <cell r="A691" t="str">
            <v>DEM18</v>
          </cell>
          <cell r="B691" t="str">
            <v>Demolicion de dala muro de 20</v>
          </cell>
          <cell r="C691" t="str">
            <v>ML</v>
          </cell>
          <cell r="D691">
            <v>93.9762</v>
          </cell>
        </row>
        <row r="691">
          <cell r="F691">
            <v>108.07263</v>
          </cell>
        </row>
        <row r="692">
          <cell r="A692" t="str">
            <v>DEM19</v>
          </cell>
          <cell r="B692" t="str">
            <v>Demolicion de dala muro de capuchino</v>
          </cell>
          <cell r="C692" t="str">
            <v>ML</v>
          </cell>
          <cell r="D692">
            <v>50.12064</v>
          </cell>
        </row>
        <row r="692">
          <cell r="F692">
            <v>57.638736</v>
          </cell>
        </row>
        <row r="693">
          <cell r="A693" t="str">
            <v>DEM20</v>
          </cell>
          <cell r="B693" t="str">
            <v>Demolicion de dala muro de soga</v>
          </cell>
          <cell r="C693" t="str">
            <v>ML</v>
          </cell>
          <cell r="D693">
            <v>83.5344</v>
          </cell>
        </row>
        <row r="693">
          <cell r="F693">
            <v>96.06456</v>
          </cell>
        </row>
        <row r="694">
          <cell r="A694" t="str">
            <v>DEM21</v>
          </cell>
          <cell r="B694" t="str">
            <v>Demolicion de dala muro de tezon</v>
          </cell>
          <cell r="C694" t="str">
            <v>ML</v>
          </cell>
          <cell r="D694">
            <v>93.9762</v>
          </cell>
        </row>
        <row r="694">
          <cell r="F694">
            <v>108.07263</v>
          </cell>
        </row>
        <row r="695">
          <cell r="A695" t="str">
            <v>DEM22</v>
          </cell>
          <cell r="B695" t="str">
            <v>Demolicion de enjarre con barra</v>
          </cell>
          <cell r="C695" t="str">
            <v>M2</v>
          </cell>
          <cell r="D695">
            <v>30.072384</v>
          </cell>
        </row>
        <row r="695">
          <cell r="F695">
            <v>34.5832416</v>
          </cell>
        </row>
        <row r="696">
          <cell r="A696" t="str">
            <v>DEM23</v>
          </cell>
          <cell r="B696" t="str">
            <v>Demolicion de firme de hormigon</v>
          </cell>
          <cell r="C696" t="str">
            <v>M2</v>
          </cell>
          <cell r="D696">
            <v>26.8503428571429</v>
          </cell>
        </row>
        <row r="696">
          <cell r="F696">
            <v>30.8778942857143</v>
          </cell>
        </row>
        <row r="697">
          <cell r="A697" t="str">
            <v>DEM24</v>
          </cell>
          <cell r="B697" t="str">
            <v>Demolicion de firme de ladrillo</v>
          </cell>
          <cell r="C697" t="str">
            <v>M2</v>
          </cell>
          <cell r="D697">
            <v>30.072384</v>
          </cell>
        </row>
        <row r="697">
          <cell r="F697">
            <v>34.5832416</v>
          </cell>
        </row>
        <row r="698">
          <cell r="A698" t="str">
            <v>DEM25</v>
          </cell>
          <cell r="B698" t="str">
            <v>Demolicion de losa de concreto esp. 10 cms</v>
          </cell>
          <cell r="C698" t="str">
            <v>M2</v>
          </cell>
          <cell r="D698">
            <v>75.18096</v>
          </cell>
        </row>
        <row r="698">
          <cell r="F698">
            <v>86.458104</v>
          </cell>
        </row>
        <row r="699">
          <cell r="A699" t="str">
            <v>DEM25A</v>
          </cell>
          <cell r="B699" t="str">
            <v>Demolicion de losa de concreto esp. 15 cms</v>
          </cell>
          <cell r="C699" t="str">
            <v>M2</v>
          </cell>
          <cell r="D699">
            <v>112.77144</v>
          </cell>
        </row>
        <row r="699">
          <cell r="F699">
            <v>129.687156</v>
          </cell>
        </row>
        <row r="700">
          <cell r="A700" t="str">
            <v>DEM25R</v>
          </cell>
          <cell r="B700" t="str">
            <v>Demolicion de losa de concreto esp. 10 cms con rotomartillo</v>
          </cell>
          <cell r="C700" t="str">
            <v>M2</v>
          </cell>
          <cell r="D700">
            <v>37.59048</v>
          </cell>
        </row>
        <row r="700">
          <cell r="F700">
            <v>43.229052</v>
          </cell>
        </row>
        <row r="701">
          <cell r="A701" t="str">
            <v>DEM25AR</v>
          </cell>
          <cell r="B701" t="str">
            <v>Demolicion de losa de concreto esp. 15 cms con rotomartillo</v>
          </cell>
          <cell r="C701" t="str">
            <v>M2</v>
          </cell>
          <cell r="D701">
            <v>56.38572</v>
          </cell>
        </row>
        <row r="701">
          <cell r="F701">
            <v>64.843578</v>
          </cell>
        </row>
        <row r="702">
          <cell r="A702" t="str">
            <v>DEM26</v>
          </cell>
          <cell r="B702" t="str">
            <v>Demolicion de losa de concreto esp. 5 cms </v>
          </cell>
          <cell r="C702" t="str">
            <v>M2</v>
          </cell>
          <cell r="D702">
            <v>31.3254</v>
          </cell>
        </row>
        <row r="702">
          <cell r="F702">
            <v>36.02421</v>
          </cell>
        </row>
        <row r="703">
          <cell r="A703" t="str">
            <v>DEM26A</v>
          </cell>
          <cell r="B703" t="str">
            <v>Demolición de azulejo en muros</v>
          </cell>
          <cell r="C703" t="str">
            <v>M2</v>
          </cell>
          <cell r="D703">
            <v>31.3254</v>
          </cell>
        </row>
        <row r="703">
          <cell r="F703">
            <v>36.02421</v>
          </cell>
        </row>
        <row r="704">
          <cell r="A704" t="str">
            <v>DEM27</v>
          </cell>
          <cell r="B704" t="str">
            <v>Demolicion de losa de concreto esp. 7 cms</v>
          </cell>
          <cell r="C704" t="str">
            <v>M2</v>
          </cell>
          <cell r="D704">
            <v>46.9881</v>
          </cell>
        </row>
        <row r="704">
          <cell r="F704">
            <v>54.036315</v>
          </cell>
        </row>
        <row r="705">
          <cell r="A705" t="str">
            <v>DEM28</v>
          </cell>
          <cell r="B705" t="str">
            <v>Demolicion de machuelo de concreto</v>
          </cell>
          <cell r="C705" t="str">
            <v>ML</v>
          </cell>
          <cell r="D705">
            <v>75.18096</v>
          </cell>
        </row>
        <row r="705">
          <cell r="F705">
            <v>86.458104</v>
          </cell>
        </row>
        <row r="706">
          <cell r="A706" t="str">
            <v>DEM29</v>
          </cell>
          <cell r="B706" t="str">
            <v>Demolicion de machuelo de ladrillo</v>
          </cell>
          <cell r="C706" t="str">
            <v>ML</v>
          </cell>
          <cell r="D706">
            <v>25.06032</v>
          </cell>
        </row>
        <row r="706">
          <cell r="F706">
            <v>28.819368</v>
          </cell>
        </row>
        <row r="707">
          <cell r="A707" t="str">
            <v>DEM30</v>
          </cell>
          <cell r="B707" t="str">
            <v>Demolicion de muro de 20</v>
          </cell>
          <cell r="C707" t="str">
            <v>M2</v>
          </cell>
          <cell r="D707">
            <v>20.3191783783784</v>
          </cell>
        </row>
        <row r="707">
          <cell r="F707">
            <v>23.3670551351351</v>
          </cell>
        </row>
        <row r="708">
          <cell r="A708" t="str">
            <v>DEM31</v>
          </cell>
          <cell r="B708" t="str">
            <v>Demolicion de muro de capuchino</v>
          </cell>
          <cell r="C708" t="str">
            <v>M2</v>
          </cell>
          <cell r="D708">
            <v>10.1120589473684</v>
          </cell>
        </row>
        <row r="708">
          <cell r="F708">
            <v>11.6288677894737</v>
          </cell>
        </row>
        <row r="709">
          <cell r="A709" t="str">
            <v>DEM32</v>
          </cell>
          <cell r="B709" t="str">
            <v>Demolicion de muro de soga</v>
          </cell>
          <cell r="C709" t="str">
            <v>M2</v>
          </cell>
          <cell r="D709">
            <v>15.3430530612245</v>
          </cell>
        </row>
        <row r="709">
          <cell r="F709">
            <v>17.6445110204082</v>
          </cell>
        </row>
        <row r="710">
          <cell r="A710" t="str">
            <v>DEM33</v>
          </cell>
          <cell r="B710" t="str">
            <v>Demolicion de muro de tezon</v>
          </cell>
          <cell r="C710" t="str">
            <v>M2</v>
          </cell>
          <cell r="D710">
            <v>23.49405</v>
          </cell>
        </row>
        <row r="710">
          <cell r="F710">
            <v>27.0181575</v>
          </cell>
        </row>
        <row r="711">
          <cell r="A711" t="str">
            <v>DEM34</v>
          </cell>
          <cell r="B711" t="str">
            <v>Demolicion de piso de cemento esp. 10 cms</v>
          </cell>
          <cell r="C711" t="str">
            <v>M2</v>
          </cell>
          <cell r="D711">
            <v>53.7006857142857</v>
          </cell>
        </row>
        <row r="711">
          <cell r="F711">
            <v>61.7557885714286</v>
          </cell>
        </row>
        <row r="712">
          <cell r="A712" t="str">
            <v>DEM35</v>
          </cell>
          <cell r="B712" t="str">
            <v>Demolicion de piso de cemento esp. 5 cms</v>
          </cell>
          <cell r="C712" t="str">
            <v>M2</v>
          </cell>
          <cell r="D712">
            <v>26.8503428571429</v>
          </cell>
        </row>
        <row r="712">
          <cell r="F712">
            <v>30.8778942857143</v>
          </cell>
        </row>
        <row r="713">
          <cell r="A713" t="str">
            <v>DEM36</v>
          </cell>
          <cell r="B713" t="str">
            <v>Demolicion de piso de cemento esp. 7 cms</v>
          </cell>
          <cell r="C713" t="str">
            <v>M2</v>
          </cell>
          <cell r="D713">
            <v>37.59048</v>
          </cell>
        </row>
        <row r="713">
          <cell r="F713">
            <v>43.229052</v>
          </cell>
        </row>
        <row r="714">
          <cell r="A714" t="str">
            <v>DEM37</v>
          </cell>
          <cell r="B714" t="str">
            <v>Demolicion de registro sanitario</v>
          </cell>
          <cell r="C714" t="str">
            <v>PZA</v>
          </cell>
          <cell r="D714">
            <v>150.36192</v>
          </cell>
        </row>
        <row r="714">
          <cell r="F714">
            <v>172.916208</v>
          </cell>
        </row>
        <row r="715">
          <cell r="A715" t="str">
            <v>DEM38</v>
          </cell>
          <cell r="B715" t="str">
            <v>Demoler zavaleta</v>
          </cell>
          <cell r="C715" t="str">
            <v>ML</v>
          </cell>
          <cell r="D715">
            <v>25.06032</v>
          </cell>
        </row>
        <row r="715">
          <cell r="F715">
            <v>28.819368</v>
          </cell>
        </row>
        <row r="716">
          <cell r="A716" t="str">
            <v>DEM39</v>
          </cell>
          <cell r="B716" t="str">
            <v>Demoler trabe de concreto</v>
          </cell>
          <cell r="C716" t="str">
            <v>ML</v>
          </cell>
          <cell r="D716">
            <v>150.36192</v>
          </cell>
        </row>
        <row r="716">
          <cell r="F716">
            <v>172.916208</v>
          </cell>
        </row>
        <row r="717">
          <cell r="A717" t="str">
            <v>DEM40</v>
          </cell>
          <cell r="B717" t="str">
            <v>Demolicion de hilada de ladrillo</v>
          </cell>
          <cell r="C717" t="str">
            <v>ML</v>
          </cell>
          <cell r="D717">
            <v>10.024128</v>
          </cell>
        </row>
        <row r="717">
          <cell r="F717">
            <v>11.5277472</v>
          </cell>
        </row>
        <row r="718">
          <cell r="A718" t="str">
            <v>DEM41</v>
          </cell>
          <cell r="B718" t="str">
            <v>Demoler enchape de viga</v>
          </cell>
          <cell r="C718" t="str">
            <v>ML</v>
          </cell>
          <cell r="D718">
            <v>21.4802742857143</v>
          </cell>
        </row>
        <row r="718">
          <cell r="F718">
            <v>24.7023154285714</v>
          </cell>
        </row>
        <row r="719">
          <cell r="A719" t="str">
            <v>DEM42</v>
          </cell>
          <cell r="B719" t="str">
            <v>Demoler concreto armado en volumen</v>
          </cell>
          <cell r="C719" t="str">
            <v>M3</v>
          </cell>
          <cell r="D719">
            <v>751.8096</v>
          </cell>
        </row>
        <row r="719">
          <cell r="F719">
            <v>864.58104</v>
          </cell>
        </row>
        <row r="720">
          <cell r="A720" t="str">
            <v>DEM43</v>
          </cell>
          <cell r="B720" t="str">
            <v>Demolicion de piso de mosaico incluyendo mortero</v>
          </cell>
          <cell r="C720" t="str">
            <v>M2</v>
          </cell>
          <cell r="D720">
            <v>15.1680884210526</v>
          </cell>
        </row>
        <row r="720">
          <cell r="F720">
            <v>17.4433016842105</v>
          </cell>
        </row>
        <row r="721">
          <cell r="A721" t="str">
            <v>DEM44</v>
          </cell>
          <cell r="B721" t="str">
            <v>Demolicion de enladrillado, relleno y chaflanes de azotea</v>
          </cell>
          <cell r="C721" t="str">
            <v>M2</v>
          </cell>
          <cell r="D721">
            <v>16.8534315789473</v>
          </cell>
        </row>
        <row r="721">
          <cell r="F721">
            <v>19.3814463157894</v>
          </cell>
        </row>
        <row r="722">
          <cell r="A722" t="str">
            <v>DENTAR</v>
          </cell>
          <cell r="B722" t="str">
            <v>Dentado de muro para crecimiento</v>
          </cell>
          <cell r="C722" t="str">
            <v>ML</v>
          </cell>
          <cell r="D722">
            <v>30.072384</v>
          </cell>
        </row>
        <row r="722">
          <cell r="F722">
            <v>34.5832416</v>
          </cell>
        </row>
        <row r="723">
          <cell r="A723" t="str">
            <v>DES01</v>
          </cell>
          <cell r="B723" t="str">
            <v>Descubrir tuberia por recubrimiento</v>
          </cell>
          <cell r="C723" t="str">
            <v>ML</v>
          </cell>
          <cell r="D723">
            <v>25.06032</v>
          </cell>
        </row>
        <row r="723">
          <cell r="F723">
            <v>28.819368</v>
          </cell>
        </row>
        <row r="724">
          <cell r="A724" t="str">
            <v>DES02</v>
          </cell>
          <cell r="B724" t="str">
            <v>Descubrir varilla en dala, castillo o dado</v>
          </cell>
          <cell r="C724" t="str">
            <v>PZA</v>
          </cell>
          <cell r="D724">
            <v>25.06032</v>
          </cell>
        </row>
        <row r="724">
          <cell r="F724">
            <v>28.819368</v>
          </cell>
        </row>
        <row r="725">
          <cell r="A725" t="str">
            <v>DES03</v>
          </cell>
          <cell r="B725" t="str">
            <v>Desmontar cesped con recuperacion</v>
          </cell>
          <cell r="C725" t="str">
            <v>M2</v>
          </cell>
          <cell r="D725">
            <v>15.036192</v>
          </cell>
        </row>
        <row r="725">
          <cell r="F725">
            <v>17.2916208</v>
          </cell>
        </row>
        <row r="726">
          <cell r="A726" t="str">
            <v>DES04</v>
          </cell>
          <cell r="B726" t="str">
            <v>Desmontar cristales con junquillo</v>
          </cell>
          <cell r="C726" t="str">
            <v>M2</v>
          </cell>
          <cell r="D726">
            <v>20.8836</v>
          </cell>
        </row>
        <row r="726">
          <cell r="F726">
            <v>24.01614</v>
          </cell>
        </row>
        <row r="727">
          <cell r="A727" t="str">
            <v>DES05</v>
          </cell>
          <cell r="B727" t="str">
            <v>Desmontar cristales con mastique</v>
          </cell>
          <cell r="C727" t="str">
            <v>M2</v>
          </cell>
          <cell r="D727">
            <v>25.06032</v>
          </cell>
        </row>
        <row r="727">
          <cell r="F727">
            <v>28.819368</v>
          </cell>
        </row>
        <row r="728">
          <cell r="A728" t="str">
            <v>DES06</v>
          </cell>
          <cell r="B728" t="str">
            <v>Desmontar herreria demoliendo anclas</v>
          </cell>
          <cell r="C728" t="str">
            <v>M2</v>
          </cell>
          <cell r="D728">
            <v>37.59048</v>
          </cell>
        </row>
        <row r="728">
          <cell r="F728">
            <v>43.229052</v>
          </cell>
        </row>
        <row r="729">
          <cell r="A729" t="str">
            <v>DES07</v>
          </cell>
          <cell r="B729" t="str">
            <v>Desmontar puerta de madera o aluminio con todo y marco</v>
          </cell>
          <cell r="C729" t="str">
            <v>PZA</v>
          </cell>
          <cell r="D729">
            <v>75.18096</v>
          </cell>
        </row>
        <row r="729">
          <cell r="F729">
            <v>86.458104</v>
          </cell>
        </row>
        <row r="730">
          <cell r="A730" t="str">
            <v>DES08</v>
          </cell>
          <cell r="B730" t="str">
            <v>Desmontar ladrillo de azotea</v>
          </cell>
          <cell r="C730" t="str">
            <v>M2</v>
          </cell>
          <cell r="D730">
            <v>15.1680884210526</v>
          </cell>
        </row>
        <row r="730">
          <cell r="F730">
            <v>17.4433016842105</v>
          </cell>
        </row>
        <row r="731">
          <cell r="A731" t="str">
            <v>DES09</v>
          </cell>
          <cell r="B731" t="str">
            <v>Despegar tecata impermeabilizante o mezcla</v>
          </cell>
          <cell r="C731" t="str">
            <v>M2</v>
          </cell>
          <cell r="D731">
            <v>15.036192</v>
          </cell>
        </row>
        <row r="731">
          <cell r="F731">
            <v>17.2916208</v>
          </cell>
        </row>
        <row r="732">
          <cell r="A732" t="str">
            <v>DES10</v>
          </cell>
          <cell r="B732" t="str">
            <v>Descimbrar losa</v>
          </cell>
          <cell r="C732" t="str">
            <v>M2</v>
          </cell>
          <cell r="D732">
            <v>15.036192</v>
          </cell>
        </row>
        <row r="732">
          <cell r="F732">
            <v>17.2916208</v>
          </cell>
        </row>
        <row r="733">
          <cell r="A733" t="str">
            <v>DES11</v>
          </cell>
          <cell r="B733" t="str">
            <v>Desmontar teja colocada en losas, incluye acomodo</v>
          </cell>
          <cell r="C733" t="str">
            <v>M2</v>
          </cell>
          <cell r="D733">
            <v>15.036192</v>
          </cell>
        </row>
        <row r="733">
          <cell r="F733">
            <v>17.2916208</v>
          </cell>
        </row>
        <row r="734">
          <cell r="A734" t="str">
            <v>DES12</v>
          </cell>
          <cell r="B734" t="str">
            <v>Desmontar empedrado </v>
          </cell>
          <cell r="C734" t="str">
            <v>M2</v>
          </cell>
          <cell r="D734">
            <v>12.1344707368421</v>
          </cell>
        </row>
        <row r="734">
          <cell r="F734">
            <v>13.9546413473684</v>
          </cell>
        </row>
        <row r="735">
          <cell r="A735" t="str">
            <v>DES13</v>
          </cell>
          <cell r="B735" t="str">
            <v>Desmontaje de muebles sanitarios</v>
          </cell>
          <cell r="C735" t="str">
            <v>PZA</v>
          </cell>
          <cell r="D735">
            <v>125.3016</v>
          </cell>
        </row>
        <row r="735">
          <cell r="F735">
            <v>144.09684</v>
          </cell>
        </row>
        <row r="736">
          <cell r="A736" t="str">
            <v>DES14</v>
          </cell>
          <cell r="B736" t="str">
            <v>Desapuntalar decklosa</v>
          </cell>
          <cell r="C736" t="str">
            <v>M2</v>
          </cell>
          <cell r="D736">
            <v>5.27585684210526</v>
          </cell>
        </row>
        <row r="736">
          <cell r="F736">
            <v>6.06723536842105</v>
          </cell>
        </row>
        <row r="737">
          <cell r="A737" t="str">
            <v>DESBA</v>
          </cell>
          <cell r="B737" t="str">
            <v>Desbastar piso con maquina</v>
          </cell>
          <cell r="C737" t="str">
            <v>M2</v>
          </cell>
          <cell r="D737">
            <v>48.5038451612903</v>
          </cell>
        </row>
        <row r="737">
          <cell r="F737">
            <v>55.7794219354839</v>
          </cell>
        </row>
        <row r="738">
          <cell r="A738" t="str">
            <v>DESPA1</v>
          </cell>
          <cell r="B738" t="str">
            <v>Despatillado de piso o azulejo</v>
          </cell>
          <cell r="C738" t="str">
            <v>ML</v>
          </cell>
          <cell r="D738">
            <v>62.6508</v>
          </cell>
        </row>
        <row r="738">
          <cell r="F738">
            <v>72.04842</v>
          </cell>
        </row>
        <row r="739">
          <cell r="A739" t="str">
            <v>DESPA2</v>
          </cell>
          <cell r="B739" t="str">
            <v>Despatillado de piso o azulejo en cartabon</v>
          </cell>
          <cell r="C739" t="str">
            <v>ML</v>
          </cell>
          <cell r="D739">
            <v>62.6508</v>
          </cell>
        </row>
        <row r="739">
          <cell r="F739">
            <v>72.04842</v>
          </cell>
        </row>
        <row r="740">
          <cell r="A740" t="str">
            <v>DESPA3</v>
          </cell>
          <cell r="B740" t="str">
            <v>Despalme de terreno con pala de 10 a 20 cms prof.</v>
          </cell>
          <cell r="C740" t="str">
            <v>M2</v>
          </cell>
          <cell r="D740">
            <v>37.59048</v>
          </cell>
        </row>
        <row r="740">
          <cell r="F740">
            <v>43.229052</v>
          </cell>
        </row>
        <row r="741">
          <cell r="A741" t="str">
            <v>DESTAJ</v>
          </cell>
          <cell r="B741" t="str">
            <v>Destajos y nominas</v>
          </cell>
          <cell r="C741" t="str">
            <v>LOTE</v>
          </cell>
          <cell r="D741">
            <v>100</v>
          </cell>
        </row>
        <row r="741">
          <cell r="F741">
            <v>100</v>
          </cell>
        </row>
        <row r="742">
          <cell r="A742" t="str">
            <v>DIAFE</v>
          </cell>
          <cell r="B742" t="str">
            <v>Dia festivo ( 1 oficial + 1 peon )</v>
          </cell>
          <cell r="C742" t="str">
            <v>JORNAL</v>
          </cell>
          <cell r="D742">
            <v>751.8096</v>
          </cell>
        </row>
        <row r="743">
          <cell r="A743" t="str">
            <v>DOM</v>
          </cell>
          <cell r="B743" t="str">
            <v>Domingo trabajado</v>
          </cell>
          <cell r="C743" t="str">
            <v>LOTE</v>
          </cell>
          <cell r="D743">
            <v>100</v>
          </cell>
        </row>
        <row r="743">
          <cell r="F743">
            <v>100</v>
          </cell>
        </row>
        <row r="744">
          <cell r="A744" t="str">
            <v>DUCTO</v>
          </cell>
          <cell r="B744" t="str">
            <v>Recibir ducto de aire en muro o boveda colando y resanando</v>
          </cell>
          <cell r="C744" t="str">
            <v>PZA</v>
          </cell>
          <cell r="D744">
            <v>250.6032</v>
          </cell>
        </row>
        <row r="744">
          <cell r="F744">
            <v>288.19368</v>
          </cell>
        </row>
        <row r="745">
          <cell r="A745" t="str">
            <v>DUELA</v>
          </cell>
          <cell r="B745" t="str">
            <v>Instalacion de duela aparente lecho bajo de cubierta machihembrada</v>
          </cell>
          <cell r="C745" t="str">
            <v>M2</v>
          </cell>
          <cell r="D745">
            <v>48.5351581665591</v>
          </cell>
        </row>
        <row r="745">
          <cell r="F745">
            <v>55.8154318915429</v>
          </cell>
        </row>
        <row r="746">
          <cell r="A746" t="str">
            <v>DUROCK</v>
          </cell>
          <cell r="B746" t="str">
            <v>Instalacion de bastidor de metal y hojas de durock a 2 rostros</v>
          </cell>
          <cell r="C746" t="str">
            <v>M2</v>
          </cell>
          <cell r="D746">
            <v>208.836</v>
          </cell>
        </row>
        <row r="746">
          <cell r="F746">
            <v>208.836</v>
          </cell>
        </row>
        <row r="747">
          <cell r="A747" t="str">
            <v>DURM</v>
          </cell>
          <cell r="B747" t="str">
            <v>Acarreo, nivelacion, fijar y colocar durmiente de madera</v>
          </cell>
          <cell r="C747" t="str">
            <v>ML</v>
          </cell>
          <cell r="D747">
            <v>62.6508</v>
          </cell>
        </row>
        <row r="747">
          <cell r="F747">
            <v>72.04842</v>
          </cell>
        </row>
        <row r="748">
          <cell r="A748" t="str">
            <v>EMP01</v>
          </cell>
          <cell r="B748" t="str">
            <v>Empedrado ( piedra bola 4" a 8 " )</v>
          </cell>
          <cell r="C748" t="str">
            <v>M2</v>
          </cell>
          <cell r="D748">
            <v>115.663015384615</v>
          </cell>
        </row>
        <row r="748">
          <cell r="F748">
            <v>133.012467692308</v>
          </cell>
        </row>
        <row r="749">
          <cell r="A749" t="str">
            <v>EMP02</v>
          </cell>
          <cell r="B749" t="str">
            <v>Empedrado ( piedra castilla 4" a 8 " )</v>
          </cell>
          <cell r="C749" t="str">
            <v>M2</v>
          </cell>
          <cell r="D749">
            <v>115.663015384615</v>
          </cell>
        </row>
        <row r="749">
          <cell r="F749">
            <v>133.012467692308</v>
          </cell>
        </row>
        <row r="750">
          <cell r="A750" t="str">
            <v>ENC01</v>
          </cell>
          <cell r="B750" t="str">
            <v>Enchape de bajante</v>
          </cell>
          <cell r="C750" t="str">
            <v>ML</v>
          </cell>
          <cell r="D750">
            <v>57.8315076923077</v>
          </cell>
          <cell r="E750">
            <v>1</v>
          </cell>
          <cell r="F750">
            <v>66.5062338461538</v>
          </cell>
        </row>
        <row r="751">
          <cell r="A751" t="str">
            <v>ENC02</v>
          </cell>
          <cell r="B751" t="str">
            <v>Enchape de muro </v>
          </cell>
          <cell r="C751" t="str">
            <v>M2</v>
          </cell>
          <cell r="D751">
            <v>50.12064</v>
          </cell>
          <cell r="E751">
            <v>1</v>
          </cell>
          <cell r="F751">
            <v>57.638736</v>
          </cell>
        </row>
        <row r="752">
          <cell r="A752" t="str">
            <v>ENC03</v>
          </cell>
          <cell r="B752" t="str">
            <v>Enchape de viga </v>
          </cell>
          <cell r="C752" t="str">
            <v>ML</v>
          </cell>
          <cell r="D752">
            <v>25.06032</v>
          </cell>
          <cell r="E752">
            <v>1</v>
          </cell>
          <cell r="F752">
            <v>28.819368</v>
          </cell>
        </row>
        <row r="753">
          <cell r="A753" t="str">
            <v>ENC04</v>
          </cell>
          <cell r="B753" t="str">
            <v>Enchape de muro con rajuela de piedra a 1 rostro</v>
          </cell>
          <cell r="C753" t="str">
            <v>M2</v>
          </cell>
          <cell r="D753">
            <v>93.9762</v>
          </cell>
          <cell r="E753">
            <v>1</v>
          </cell>
          <cell r="F753">
            <v>108.07263</v>
          </cell>
        </row>
        <row r="754">
          <cell r="A754" t="str">
            <v>ENCAR</v>
          </cell>
          <cell r="B754" t="str">
            <v>Encartonado de piso</v>
          </cell>
          <cell r="C754" t="str">
            <v>M2</v>
          </cell>
          <cell r="D754">
            <v>3.0072384</v>
          </cell>
        </row>
        <row r="754">
          <cell r="F754">
            <v>3.45832416</v>
          </cell>
        </row>
        <row r="755">
          <cell r="A755" t="str">
            <v>ENJ01</v>
          </cell>
          <cell r="B755" t="str">
            <v>Enjarre apalillado</v>
          </cell>
          <cell r="C755" t="str">
            <v>M2</v>
          </cell>
          <cell r="D755">
            <v>77.1086769230769</v>
          </cell>
          <cell r="E755">
            <v>1</v>
          </cell>
          <cell r="F755">
            <v>88.6749784615385</v>
          </cell>
        </row>
        <row r="756">
          <cell r="A756" t="str">
            <v>ENJ02</v>
          </cell>
          <cell r="B756" t="str">
            <v>Enjarre apalillado 2a h.</v>
          </cell>
          <cell r="C756" t="str">
            <v>M2</v>
          </cell>
          <cell r="D756">
            <v>88.6749784615385</v>
          </cell>
          <cell r="E756">
            <v>1</v>
          </cell>
          <cell r="F756">
            <v>101.976225230769</v>
          </cell>
        </row>
        <row r="757">
          <cell r="A757" t="str">
            <v>ENJ03</v>
          </cell>
          <cell r="B757" t="str">
            <v>Enjarre apalillado en boveda</v>
          </cell>
          <cell r="C757" t="str">
            <v>M2</v>
          </cell>
          <cell r="D757">
            <v>93.9762</v>
          </cell>
          <cell r="E757">
            <v>1</v>
          </cell>
          <cell r="F757">
            <v>108.07263</v>
          </cell>
        </row>
        <row r="758">
          <cell r="A758" t="str">
            <v>ENJ04</v>
          </cell>
          <cell r="B758" t="str">
            <v>Enjarre apalillado en boveda 2a h.</v>
          </cell>
          <cell r="C758" t="str">
            <v>M2</v>
          </cell>
          <cell r="D758">
            <v>108.07263</v>
          </cell>
          <cell r="E758">
            <v>1</v>
          </cell>
          <cell r="F758">
            <v>124.2835245</v>
          </cell>
        </row>
        <row r="759">
          <cell r="A759" t="str">
            <v>ENJ05</v>
          </cell>
          <cell r="B759" t="str">
            <v>Enjarre apalillado en muro curvo</v>
          </cell>
          <cell r="C759" t="str">
            <v>M2</v>
          </cell>
          <cell r="D759">
            <v>105.517136842105</v>
          </cell>
          <cell r="E759">
            <v>1</v>
          </cell>
          <cell r="F759">
            <v>121.344707368421</v>
          </cell>
        </row>
        <row r="760">
          <cell r="A760" t="str">
            <v>ENJ06</v>
          </cell>
          <cell r="B760" t="str">
            <v>Enjarre apalillado en muro curvo 2a h.</v>
          </cell>
          <cell r="C760" t="str">
            <v>M2</v>
          </cell>
          <cell r="D760">
            <v>121.259612903226</v>
          </cell>
          <cell r="E760">
            <v>1</v>
          </cell>
          <cell r="F760">
            <v>139.44855483871</v>
          </cell>
        </row>
        <row r="761">
          <cell r="A761" t="str">
            <v>ENJ06-3</v>
          </cell>
          <cell r="B761" t="str">
            <v>Enjarre apalillado en muro curvo 3a h.</v>
          </cell>
          <cell r="C761" t="str">
            <v>M2</v>
          </cell>
          <cell r="D761">
            <v>139.44855483871</v>
          </cell>
          <cell r="E761">
            <v>1</v>
          </cell>
          <cell r="F761">
            <v>160.365838064516</v>
          </cell>
        </row>
        <row r="762">
          <cell r="A762" t="str">
            <v>ENJ07</v>
          </cell>
          <cell r="B762" t="str">
            <v>Enjarre de contrahuella escalones</v>
          </cell>
          <cell r="C762" t="str">
            <v>ML</v>
          </cell>
          <cell r="D762">
            <v>30.072384</v>
          </cell>
          <cell r="E762">
            <v>1</v>
          </cell>
          <cell r="F762">
            <v>34.5832416</v>
          </cell>
        </row>
        <row r="763">
          <cell r="A763" t="str">
            <v>ENJ08</v>
          </cell>
          <cell r="B763" t="str">
            <v>Enjarre apalillado en losa inclinada </v>
          </cell>
          <cell r="C763" t="str">
            <v>M2</v>
          </cell>
          <cell r="D763">
            <v>105.517136842105</v>
          </cell>
          <cell r="E763">
            <v>1</v>
          </cell>
          <cell r="F763">
            <v>121.344707368421</v>
          </cell>
        </row>
        <row r="764">
          <cell r="A764" t="str">
            <v>ENJ09</v>
          </cell>
          <cell r="B764" t="str">
            <v>Enjarre apalillado en losa inclinada 2a h</v>
          </cell>
          <cell r="C764" t="str">
            <v>M2</v>
          </cell>
          <cell r="D764">
            <v>121.259612903226</v>
          </cell>
          <cell r="E764">
            <v>1</v>
          </cell>
          <cell r="F764">
            <v>139.44855483871</v>
          </cell>
        </row>
        <row r="765">
          <cell r="A765" t="str">
            <v>ENJ10</v>
          </cell>
          <cell r="B765" t="str">
            <v>Enjarre de losa inclinada pulido</v>
          </cell>
          <cell r="C765" t="str">
            <v>M2</v>
          </cell>
          <cell r="D765">
            <v>110.792993684211</v>
          </cell>
          <cell r="E765">
            <v>1</v>
          </cell>
          <cell r="F765">
            <v>127.411942736842</v>
          </cell>
        </row>
        <row r="766">
          <cell r="A766" t="str">
            <v>ENJ11</v>
          </cell>
          <cell r="B766" t="str">
            <v>Enjarre de losa inclinada pulido 2a h.</v>
          </cell>
          <cell r="C766" t="str">
            <v>M2</v>
          </cell>
          <cell r="D766">
            <v>127.331522827688</v>
          </cell>
          <cell r="E766">
            <v>1</v>
          </cell>
          <cell r="F766">
            <v>146.431251251841</v>
          </cell>
        </row>
        <row r="767">
          <cell r="A767" t="str">
            <v>ENJ12</v>
          </cell>
          <cell r="B767" t="str">
            <v>Enjarre de muro mamposteo incluye sarpeado cemento</v>
          </cell>
          <cell r="C767" t="str">
            <v>M2</v>
          </cell>
          <cell r="D767">
            <v>107.401371428571</v>
          </cell>
          <cell r="E767">
            <v>1</v>
          </cell>
          <cell r="F767">
            <v>123.511577142857</v>
          </cell>
        </row>
        <row r="768">
          <cell r="A768" t="str">
            <v>ENJ13</v>
          </cell>
          <cell r="B768" t="str">
            <v>Enjarre de pretil</v>
          </cell>
          <cell r="C768" t="str">
            <v>ML</v>
          </cell>
          <cell r="D768">
            <v>59.9529186602871</v>
          </cell>
          <cell r="E768">
            <v>1</v>
          </cell>
          <cell r="F768">
            <v>68.9458564593302</v>
          </cell>
        </row>
        <row r="769">
          <cell r="A769" t="str">
            <v>ENJ14</v>
          </cell>
          <cell r="B769" t="str">
            <v>Enjarre en muro de panel incluye sarpeo</v>
          </cell>
          <cell r="C769" t="str">
            <v>M2</v>
          </cell>
          <cell r="D769">
            <v>118.706778947368</v>
          </cell>
          <cell r="E769">
            <v>1</v>
          </cell>
          <cell r="F769">
            <v>136.512795789474</v>
          </cell>
        </row>
        <row r="770">
          <cell r="A770" t="str">
            <v>ENJ15</v>
          </cell>
          <cell r="B770" t="str">
            <v>Enjarre en boveda de panel incluye sarpeo</v>
          </cell>
          <cell r="C770" t="str">
            <v>M2</v>
          </cell>
          <cell r="D770">
            <v>136.584682464455</v>
          </cell>
          <cell r="E770">
            <v>1</v>
          </cell>
          <cell r="F770">
            <v>157.072384834123</v>
          </cell>
        </row>
        <row r="771">
          <cell r="A771" t="str">
            <v>ENJ16</v>
          </cell>
          <cell r="B771" t="str">
            <v>Enjarre pulido </v>
          </cell>
          <cell r="C771" t="str">
            <v>M2</v>
          </cell>
          <cell r="D771">
            <v>92.3274947368421</v>
          </cell>
          <cell r="E771">
            <v>1</v>
          </cell>
          <cell r="F771">
            <v>106.176618947368</v>
          </cell>
        </row>
        <row r="772">
          <cell r="A772" t="str">
            <v>ENJ17</v>
          </cell>
          <cell r="B772" t="str">
            <v>Enjarre pulido 2a h.</v>
          </cell>
          <cell r="C772" t="str">
            <v>M2</v>
          </cell>
          <cell r="D772">
            <v>105.517136842105</v>
          </cell>
          <cell r="E772">
            <v>1</v>
          </cell>
          <cell r="F772">
            <v>121.344707368421</v>
          </cell>
        </row>
        <row r="773">
          <cell r="A773" t="str">
            <v>ENJ18</v>
          </cell>
          <cell r="B773" t="str">
            <v>Enjarre pulido en boveda</v>
          </cell>
          <cell r="C773" t="str">
            <v>M2</v>
          </cell>
          <cell r="D773">
            <v>93.9762</v>
          </cell>
          <cell r="E773">
            <v>1</v>
          </cell>
          <cell r="F773">
            <v>108.07263</v>
          </cell>
        </row>
        <row r="774">
          <cell r="A774" t="str">
            <v>ENJ19</v>
          </cell>
          <cell r="B774" t="str">
            <v>Enjarre pulido en boveda 2a h.</v>
          </cell>
          <cell r="C774" t="str">
            <v>M2</v>
          </cell>
          <cell r="D774">
            <v>108.07263</v>
          </cell>
          <cell r="E774">
            <v>1</v>
          </cell>
          <cell r="F774">
            <v>124.2835245</v>
          </cell>
        </row>
        <row r="775">
          <cell r="A775" t="str">
            <v>ENJ20</v>
          </cell>
          <cell r="B775" t="str">
            <v>Enjarre pulido en muro curvo</v>
          </cell>
          <cell r="C775" t="str">
            <v>M2</v>
          </cell>
          <cell r="D775">
            <v>107.915253588517</v>
          </cell>
          <cell r="E775">
            <v>1</v>
          </cell>
          <cell r="F775">
            <v>124.102541626794</v>
          </cell>
        </row>
        <row r="776">
          <cell r="A776" t="str">
            <v>ENJ21</v>
          </cell>
          <cell r="B776" t="str">
            <v>Enjarre pulido en muro curvo 2a h.</v>
          </cell>
          <cell r="C776" t="str">
            <v>M2</v>
          </cell>
          <cell r="D776">
            <v>124.043190817791</v>
          </cell>
          <cell r="E776">
            <v>1</v>
          </cell>
          <cell r="F776">
            <v>142.649669440459</v>
          </cell>
        </row>
        <row r="777">
          <cell r="A777" t="str">
            <v>ENJ22</v>
          </cell>
          <cell r="B777" t="str">
            <v>Enjarre rustico</v>
          </cell>
          <cell r="C777" t="str">
            <v>M2</v>
          </cell>
          <cell r="D777">
            <v>107.915253588517</v>
          </cell>
          <cell r="E777">
            <v>1</v>
          </cell>
          <cell r="F777">
            <v>124.102541626794</v>
          </cell>
        </row>
        <row r="778">
          <cell r="A778" t="str">
            <v>ENJ23</v>
          </cell>
          <cell r="B778" t="str">
            <v>Enjarre rustico 2a h.</v>
          </cell>
          <cell r="C778" t="str">
            <v>M2</v>
          </cell>
          <cell r="D778">
            <v>124.043190817791</v>
          </cell>
          <cell r="E778">
            <v>1</v>
          </cell>
          <cell r="F778">
            <v>142.649669440459</v>
          </cell>
        </row>
        <row r="779">
          <cell r="A779" t="str">
            <v>ENJ24</v>
          </cell>
          <cell r="B779" t="str">
            <v>Enjarre apalillado a 15 mts altura</v>
          </cell>
          <cell r="C779" t="str">
            <v>M2</v>
          </cell>
          <cell r="D779">
            <v>167.0688</v>
          </cell>
          <cell r="E779">
            <v>1</v>
          </cell>
          <cell r="F779">
            <v>192.12912</v>
          </cell>
        </row>
        <row r="780">
          <cell r="A780" t="str">
            <v>ENJ25</v>
          </cell>
          <cell r="B780" t="str">
            <v>Enjarre repellado en muro con terminado pendiente</v>
          </cell>
          <cell r="C780" t="str">
            <v>M2</v>
          </cell>
          <cell r="D780">
            <v>76.7152653061225</v>
          </cell>
          <cell r="E780">
            <v>1</v>
          </cell>
          <cell r="F780">
            <v>88.2225551020408</v>
          </cell>
        </row>
        <row r="781">
          <cell r="A781" t="str">
            <v>ENJ252</v>
          </cell>
          <cell r="B781" t="str">
            <v>Enjarre repellado en muro con terminado pendiente 2a h</v>
          </cell>
          <cell r="C781" t="str">
            <v>M2</v>
          </cell>
          <cell r="D781">
            <v>88.2225551020408</v>
          </cell>
          <cell r="E781">
            <v>1</v>
          </cell>
          <cell r="F781">
            <v>101.455938367347</v>
          </cell>
        </row>
        <row r="782">
          <cell r="A782" t="str">
            <v>ENJ253</v>
          </cell>
          <cell r="B782" t="str">
            <v>Enjarre repellado en muro con terminado pendiente 3a h</v>
          </cell>
          <cell r="C782" t="str">
            <v>M2</v>
          </cell>
          <cell r="D782">
            <v>99.7298448979592</v>
          </cell>
          <cell r="E782">
            <v>1</v>
          </cell>
          <cell r="F782">
            <v>114.689321632653</v>
          </cell>
        </row>
        <row r="783">
          <cell r="A783" t="str">
            <v>ENJ254</v>
          </cell>
          <cell r="B783" t="str">
            <v>Enjarre repellado en muro con terminado pendiente 4a h</v>
          </cell>
          <cell r="C783" t="str">
            <v>M2</v>
          </cell>
          <cell r="D783">
            <v>111.237134693878</v>
          </cell>
          <cell r="E783">
            <v>1</v>
          </cell>
          <cell r="F783">
            <v>127.922704897959</v>
          </cell>
        </row>
        <row r="784">
          <cell r="A784" t="str">
            <v>ENJ26</v>
          </cell>
          <cell r="B784" t="str">
            <v>Enjarre repellado en boveda con terminado pendiente</v>
          </cell>
          <cell r="C784" t="str">
            <v>M2</v>
          </cell>
          <cell r="D784">
            <v>92.2465766871166</v>
          </cell>
          <cell r="E784">
            <v>1</v>
          </cell>
          <cell r="F784">
            <v>106.083563190184</v>
          </cell>
        </row>
        <row r="785">
          <cell r="A785" t="str">
            <v>ENJ262</v>
          </cell>
          <cell r="B785" t="str">
            <v>Enjarre repellado en boveda con terminado pendiente 2a h</v>
          </cell>
          <cell r="C785" t="str">
            <v>M2</v>
          </cell>
          <cell r="D785">
            <v>106.083563190184</v>
          </cell>
          <cell r="E785">
            <v>1</v>
          </cell>
          <cell r="F785">
            <v>121.996097668712</v>
          </cell>
        </row>
        <row r="786">
          <cell r="A786" t="str">
            <v>ENJ3AH</v>
          </cell>
          <cell r="B786" t="str">
            <v>Enjarre apalillado a 3a h</v>
          </cell>
          <cell r="C786" t="str">
            <v>M2</v>
          </cell>
          <cell r="D786">
            <v>110.967432589286</v>
          </cell>
          <cell r="E786">
            <v>1</v>
          </cell>
          <cell r="F786">
            <v>127.612547477679</v>
          </cell>
        </row>
        <row r="787">
          <cell r="A787" t="str">
            <v>ENJ4AH</v>
          </cell>
          <cell r="B787" t="str">
            <v>Enjarre apalillado 4a h.</v>
          </cell>
          <cell r="C787" t="str">
            <v>M2</v>
          </cell>
          <cell r="D787">
            <v>127.612547477679</v>
          </cell>
          <cell r="E787">
            <v>1</v>
          </cell>
          <cell r="F787">
            <v>146.75442959933</v>
          </cell>
        </row>
        <row r="788">
          <cell r="A788" t="str">
            <v>ENJ5AH</v>
          </cell>
          <cell r="B788" t="str">
            <v>Enjarre apalillado 5a h.</v>
          </cell>
          <cell r="C788" t="str">
            <v>M2</v>
          </cell>
          <cell r="D788">
            <v>146.75442959933</v>
          </cell>
          <cell r="E788">
            <v>1</v>
          </cell>
          <cell r="F788">
            <v>168.76759403923</v>
          </cell>
        </row>
        <row r="789">
          <cell r="A789" t="str">
            <v>ENJAFB</v>
          </cell>
          <cell r="B789" t="str">
            <v>Enjarre de boveda terminado afinado con esponja</v>
          </cell>
          <cell r="C789" t="str">
            <v>M2</v>
          </cell>
          <cell r="D789">
            <v>103.119020095694</v>
          </cell>
          <cell r="E789">
            <v>1</v>
          </cell>
          <cell r="F789">
            <v>118.586873110048</v>
          </cell>
        </row>
        <row r="790">
          <cell r="A790" t="str">
            <v>ENJAFB2</v>
          </cell>
          <cell r="B790" t="str">
            <v>Enjarre de boveda terminado afinado con esponja 2a h</v>
          </cell>
          <cell r="C790" t="str">
            <v>M2</v>
          </cell>
          <cell r="D790">
            <v>118.598222222222</v>
          </cell>
          <cell r="E790">
            <v>1</v>
          </cell>
          <cell r="F790">
            <v>136.387955555556</v>
          </cell>
        </row>
        <row r="791">
          <cell r="A791" t="str">
            <v>ENJAFB3</v>
          </cell>
          <cell r="B791" t="str">
            <v>Enjarre de boveda terminado afinado con esponja 3a h</v>
          </cell>
          <cell r="C791" t="str">
            <v>M2</v>
          </cell>
          <cell r="D791">
            <v>136.369249211356</v>
          </cell>
          <cell r="E791">
            <v>1</v>
          </cell>
          <cell r="F791">
            <v>156.82463659306</v>
          </cell>
        </row>
        <row r="792">
          <cell r="A792" t="str">
            <v>ENJAFM</v>
          </cell>
          <cell r="B792" t="str">
            <v>Enjarre de muro terminado afinado con esponja</v>
          </cell>
          <cell r="C792" t="str">
            <v>M2</v>
          </cell>
          <cell r="D792">
            <v>92.3274947368421</v>
          </cell>
          <cell r="E792">
            <v>1</v>
          </cell>
          <cell r="F792">
            <v>106.176618947368</v>
          </cell>
        </row>
        <row r="793">
          <cell r="A793" t="str">
            <v>ENJAFM2</v>
          </cell>
          <cell r="B793" t="str">
            <v>Enjarre de muro terminado afinado con esponja 2a h</v>
          </cell>
          <cell r="C793" t="str">
            <v>M2</v>
          </cell>
          <cell r="D793">
            <v>105.517136842105</v>
          </cell>
          <cell r="E793">
            <v>1</v>
          </cell>
          <cell r="F793">
            <v>121.344707368421</v>
          </cell>
        </row>
        <row r="794">
          <cell r="A794" t="str">
            <v>ENJAFM3</v>
          </cell>
          <cell r="B794" t="str">
            <v>Enjarre de muro terminado afinado con esponja 3a h</v>
          </cell>
          <cell r="C794" t="str">
            <v>M2</v>
          </cell>
          <cell r="D794">
            <v>118.706778947368</v>
          </cell>
          <cell r="E794">
            <v>1</v>
          </cell>
          <cell r="F794">
            <v>136.512795789474</v>
          </cell>
        </row>
        <row r="795">
          <cell r="A795" t="str">
            <v>ENJAFM4</v>
          </cell>
          <cell r="B795" t="str">
            <v>Enjarre de muro terminado afinado con esponja 4a h</v>
          </cell>
          <cell r="C795" t="str">
            <v>M2</v>
          </cell>
          <cell r="D795">
            <v>136.513514281654</v>
          </cell>
          <cell r="E795">
            <v>1</v>
          </cell>
          <cell r="F795">
            <v>156.990541423902</v>
          </cell>
        </row>
        <row r="796">
          <cell r="A796" t="str">
            <v>ENJAFM5</v>
          </cell>
          <cell r="B796" t="str">
            <v>Enjarre de muro terminado afinado con esponja 5a h</v>
          </cell>
          <cell r="C796" t="str">
            <v>M2</v>
          </cell>
          <cell r="D796">
            <v>156.990541423902</v>
          </cell>
          <cell r="E796">
            <v>1</v>
          </cell>
          <cell r="F796">
            <v>180.539122637488</v>
          </cell>
        </row>
        <row r="797">
          <cell r="A797" t="str">
            <v>ENJAFMJP</v>
          </cell>
          <cell r="B797" t="str">
            <v>Enjarre de muro terminado afinado con esponja PUERTA PLATA</v>
          </cell>
          <cell r="C797" t="str">
            <v>M2</v>
          </cell>
          <cell r="D797">
            <v>104.418</v>
          </cell>
          <cell r="E797">
            <v>1</v>
          </cell>
          <cell r="F797">
            <v>120.0807</v>
          </cell>
        </row>
        <row r="798">
          <cell r="A798" t="str">
            <v>ENJAFM2JP</v>
          </cell>
          <cell r="B798" t="str">
            <v>Enjarre de muro terminado afinado con esponja 2a h PUERTA PLATA</v>
          </cell>
          <cell r="C798" t="str">
            <v>M2</v>
          </cell>
          <cell r="D798">
            <v>120.0807</v>
          </cell>
          <cell r="E798">
            <v>1</v>
          </cell>
          <cell r="F798">
            <v>138.092805</v>
          </cell>
        </row>
        <row r="799">
          <cell r="A799" t="str">
            <v>ENJRYF</v>
          </cell>
          <cell r="B799" t="str">
            <v>Enjarre de fachadas terminado rayado</v>
          </cell>
          <cell r="C799" t="str">
            <v>M2</v>
          </cell>
          <cell r="D799">
            <v>102.287020408163</v>
          </cell>
          <cell r="E799">
            <v>1</v>
          </cell>
          <cell r="F799">
            <v>117.630073469388</v>
          </cell>
        </row>
        <row r="800">
          <cell r="A800" t="str">
            <v>ENJRYF2</v>
          </cell>
          <cell r="B800" t="str">
            <v>Enjarre de fachadas terminado rayado 2do nivel</v>
          </cell>
          <cell r="C800" t="str">
            <v>M2</v>
          </cell>
          <cell r="D800">
            <v>117.630073469388</v>
          </cell>
          <cell r="E800">
            <v>1</v>
          </cell>
          <cell r="F800">
            <v>135.274584489796</v>
          </cell>
        </row>
        <row r="801">
          <cell r="A801" t="str">
            <v>ENJRYF3</v>
          </cell>
          <cell r="B801" t="str">
            <v>Enjarre de fachadas terminado rayado 3er nivel</v>
          </cell>
          <cell r="C801" t="str">
            <v>M2</v>
          </cell>
          <cell r="D801">
            <v>135.274584489796</v>
          </cell>
          <cell r="E801">
            <v>1</v>
          </cell>
          <cell r="F801">
            <v>155.565772163265</v>
          </cell>
        </row>
        <row r="802">
          <cell r="A802" t="str">
            <v>ENJRYF4</v>
          </cell>
          <cell r="B802" t="str">
            <v>Enjarre de fachadas terminado rayado 4to nivel</v>
          </cell>
          <cell r="C802" t="str">
            <v>M2</v>
          </cell>
          <cell r="D802">
            <v>155.565772163265</v>
          </cell>
          <cell r="E802">
            <v>1</v>
          </cell>
          <cell r="F802">
            <v>178.900637987755</v>
          </cell>
        </row>
        <row r="803">
          <cell r="A803" t="str">
            <v>ENJ25JP</v>
          </cell>
          <cell r="B803" t="str">
            <v>Enjarre repellado en muro con terminado pendiente PUERTA PLATA</v>
          </cell>
          <cell r="C803" t="str">
            <v>M2</v>
          </cell>
          <cell r="D803">
            <v>88.8663829787234</v>
          </cell>
          <cell r="E803">
            <v>1</v>
          </cell>
          <cell r="F803">
            <v>102.196340425532</v>
          </cell>
        </row>
        <row r="804">
          <cell r="A804" t="str">
            <v>ENJ252JP</v>
          </cell>
          <cell r="B804" t="str">
            <v>Enjarre repellado en muro con terminado pendiente 2ha alt PUERTA PLATA</v>
          </cell>
          <cell r="C804" t="str">
            <v>M2</v>
          </cell>
          <cell r="D804">
            <v>102.196340425532</v>
          </cell>
          <cell r="E804">
            <v>1</v>
          </cell>
          <cell r="F804">
            <v>117.525791489362</v>
          </cell>
        </row>
        <row r="805">
          <cell r="A805" t="str">
            <v>ENJ253JP</v>
          </cell>
          <cell r="B805" t="str">
            <v>Enjarre repellado en muro con terminado pendiente 3ha alt PUERTA PLATA</v>
          </cell>
          <cell r="C805" t="str">
            <v>M2</v>
          </cell>
          <cell r="D805">
            <v>117.525791489362</v>
          </cell>
          <cell r="E805">
            <v>1</v>
          </cell>
          <cell r="F805">
            <v>135.154660212766</v>
          </cell>
        </row>
        <row r="806">
          <cell r="A806" t="str">
            <v>ENJ26JP</v>
          </cell>
          <cell r="B806" t="str">
            <v>Enjarre repellado en boveda con terminado pendiente PUERTA PLATA</v>
          </cell>
          <cell r="C806" t="str">
            <v>M2</v>
          </cell>
          <cell r="D806">
            <v>104.418</v>
          </cell>
          <cell r="E806">
            <v>1</v>
          </cell>
          <cell r="F806">
            <v>120.0807</v>
          </cell>
        </row>
        <row r="807">
          <cell r="A807" t="str">
            <v>ENJ262JP</v>
          </cell>
          <cell r="B807" t="str">
            <v>Enjarre repellado en boveda con terminado pendiente 2a h PUERTA PLATA</v>
          </cell>
          <cell r="C807" t="str">
            <v>M2</v>
          </cell>
          <cell r="D807">
            <v>120.0807</v>
          </cell>
          <cell r="E807">
            <v>1</v>
          </cell>
          <cell r="F807">
            <v>138.092805</v>
          </cell>
        </row>
        <row r="808">
          <cell r="A808" t="str">
            <v>ENL01</v>
          </cell>
          <cell r="B808" t="str">
            <v>Enladrillado de azotea ordinario</v>
          </cell>
          <cell r="C808" t="str">
            <v>M2</v>
          </cell>
          <cell r="D808">
            <v>73.7068235294118</v>
          </cell>
          <cell r="E808">
            <v>1</v>
          </cell>
          <cell r="F808">
            <v>84.7628470588235</v>
          </cell>
        </row>
        <row r="809">
          <cell r="A809" t="str">
            <v>ENL02</v>
          </cell>
          <cell r="B809" t="str">
            <v>Enladrillado de azotea con crest</v>
          </cell>
          <cell r="C809" t="str">
            <v>M2</v>
          </cell>
          <cell r="D809">
            <v>81.0139655172414</v>
          </cell>
          <cell r="E809">
            <v>1</v>
          </cell>
          <cell r="F809">
            <v>93.1660603448276</v>
          </cell>
        </row>
        <row r="810">
          <cell r="A810" t="str">
            <v>ESC01</v>
          </cell>
          <cell r="B810" t="str">
            <v>Escalon colado con revoltura de concreto</v>
          </cell>
          <cell r="C810" t="str">
            <v>ML</v>
          </cell>
          <cell r="D810">
            <v>93.9762</v>
          </cell>
          <cell r="E810">
            <v>1</v>
          </cell>
          <cell r="F810">
            <v>108.07263</v>
          </cell>
        </row>
        <row r="811">
          <cell r="A811" t="str">
            <v>ESC02</v>
          </cell>
          <cell r="B811" t="str">
            <v>Escalon curvo forjado con ladrillo</v>
          </cell>
          <cell r="C811" t="str">
            <v>ML</v>
          </cell>
          <cell r="D811">
            <v>93.9762</v>
          </cell>
          <cell r="E811">
            <v>1</v>
          </cell>
          <cell r="F811">
            <v>108.07263</v>
          </cell>
        </row>
        <row r="812">
          <cell r="A812" t="str">
            <v>ESC03</v>
          </cell>
          <cell r="B812" t="str">
            <v>Escalon forjado con ladrillo</v>
          </cell>
          <cell r="C812" t="str">
            <v>ML</v>
          </cell>
          <cell r="D812">
            <v>83.5344</v>
          </cell>
          <cell r="E812">
            <v>1</v>
          </cell>
          <cell r="F812">
            <v>96.06456</v>
          </cell>
        </row>
        <row r="813">
          <cell r="A813" t="str">
            <v>ESC04</v>
          </cell>
          <cell r="B813" t="str">
            <v>Escuadras de varilla</v>
          </cell>
          <cell r="C813" t="str">
            <v>PZA</v>
          </cell>
          <cell r="D813">
            <v>10.024128</v>
          </cell>
        </row>
        <row r="813">
          <cell r="F813">
            <v>11.5277472</v>
          </cell>
        </row>
        <row r="814">
          <cell r="A814" t="str">
            <v>ESC05</v>
          </cell>
          <cell r="B814" t="str">
            <v>Escalon forjado con piedra en huella y peralte</v>
          </cell>
          <cell r="C814" t="str">
            <v>ML</v>
          </cell>
          <cell r="D814">
            <v>250.6032</v>
          </cell>
          <cell r="E814">
            <v>1</v>
          </cell>
          <cell r="F814">
            <v>288.19368</v>
          </cell>
        </row>
        <row r="815">
          <cell r="A815" t="str">
            <v>ESQ01</v>
          </cell>
          <cell r="B815" t="str">
            <v>Esquina con muro de piedra</v>
          </cell>
          <cell r="C815" t="str">
            <v>ML</v>
          </cell>
          <cell r="D815">
            <v>250.6032</v>
          </cell>
        </row>
        <row r="815">
          <cell r="F815">
            <v>288.19368</v>
          </cell>
        </row>
        <row r="816">
          <cell r="A816" t="str">
            <v>ESQ02</v>
          </cell>
          <cell r="B816" t="str">
            <v>Esquina de muro de piedra RV</v>
          </cell>
          <cell r="C816" t="str">
            <v>ML</v>
          </cell>
          <cell r="D816">
            <v>250</v>
          </cell>
        </row>
        <row r="817">
          <cell r="A817" t="str">
            <v>EST01</v>
          </cell>
          <cell r="B817" t="str">
            <v>Estrias en enjarre</v>
          </cell>
          <cell r="C817" t="str">
            <v>ML</v>
          </cell>
          <cell r="D817">
            <v>41.7672</v>
          </cell>
        </row>
        <row r="817">
          <cell r="F817">
            <v>48.03228</v>
          </cell>
        </row>
        <row r="818">
          <cell r="A818" t="str">
            <v>EST02</v>
          </cell>
          <cell r="B818" t="str">
            <v>Estrias en piso</v>
          </cell>
          <cell r="C818" t="str">
            <v>ML</v>
          </cell>
          <cell r="D818">
            <v>10.5148195804196</v>
          </cell>
        </row>
        <row r="818">
          <cell r="F818">
            <v>12.0920425174825</v>
          </cell>
        </row>
        <row r="819">
          <cell r="A819" t="str">
            <v>EST03</v>
          </cell>
          <cell r="B819" t="str">
            <v>Estriado de piso en losa colada para rampa</v>
          </cell>
          <cell r="C819" t="str">
            <v>M2</v>
          </cell>
          <cell r="D819">
            <v>191.849339712919</v>
          </cell>
        </row>
        <row r="819">
          <cell r="F819">
            <v>220.626740669856</v>
          </cell>
        </row>
        <row r="820">
          <cell r="A820" t="str">
            <v>EXC01</v>
          </cell>
          <cell r="B820" t="str">
            <v>Excavacion de cepa para drenaje/cimiento</v>
          </cell>
          <cell r="C820" t="str">
            <v>M3</v>
          </cell>
          <cell r="D820">
            <v>179.858755980861</v>
          </cell>
        </row>
        <row r="820">
          <cell r="F820">
            <v>206.83756937799</v>
          </cell>
        </row>
        <row r="821">
          <cell r="A821" t="str">
            <v>EXC02</v>
          </cell>
          <cell r="B821" t="str">
            <v>Excavacion para zapata o registro</v>
          </cell>
          <cell r="C821" t="str">
            <v>M3</v>
          </cell>
          <cell r="D821">
            <v>179.858755980861</v>
          </cell>
        </row>
        <row r="821">
          <cell r="F821">
            <v>206.83756937799</v>
          </cell>
        </row>
        <row r="822">
          <cell r="A822" t="str">
            <v>EXC03</v>
          </cell>
          <cell r="B822" t="str">
            <v>Excavacion terreno A 0.00-1.50 prof.</v>
          </cell>
          <cell r="C822" t="str">
            <v>M3</v>
          </cell>
          <cell r="D822">
            <v>179.858755980861</v>
          </cell>
        </row>
        <row r="822">
          <cell r="F822">
            <v>206.83756937799</v>
          </cell>
        </row>
        <row r="823">
          <cell r="A823" t="str">
            <v>EXC04</v>
          </cell>
          <cell r="B823" t="str">
            <v>Excavacion terreno A1.50- 3.00 prof.</v>
          </cell>
          <cell r="C823" t="str">
            <v>M3</v>
          </cell>
          <cell r="D823">
            <v>206.83756937799</v>
          </cell>
        </row>
        <row r="823">
          <cell r="F823">
            <v>237.863204784689</v>
          </cell>
        </row>
        <row r="824">
          <cell r="A824" t="str">
            <v>EXC05</v>
          </cell>
          <cell r="B824" t="str">
            <v>Excavacion terreno B 0.00-1.50 prof.</v>
          </cell>
          <cell r="C824" t="str">
            <v>M3</v>
          </cell>
          <cell r="D824">
            <v>300.72384</v>
          </cell>
        </row>
        <row r="824">
          <cell r="F824">
            <v>345.832416</v>
          </cell>
        </row>
        <row r="825">
          <cell r="A825" t="str">
            <v>EXC06</v>
          </cell>
          <cell r="B825" t="str">
            <v>Excavacion terreno B 1.50- 3.00 prof.</v>
          </cell>
          <cell r="C825" t="str">
            <v>M3</v>
          </cell>
          <cell r="D825">
            <v>345.832416</v>
          </cell>
        </row>
        <row r="825">
          <cell r="F825">
            <v>397.7072784</v>
          </cell>
        </row>
        <row r="826">
          <cell r="A826" t="str">
            <v>EXC07</v>
          </cell>
          <cell r="B826" t="str">
            <v>Excavacion terreno C 0.00-1.50  prof.</v>
          </cell>
          <cell r="C826" t="str">
            <v>M3</v>
          </cell>
          <cell r="D826">
            <v>359.717511961723</v>
          </cell>
        </row>
        <row r="826">
          <cell r="F826">
            <v>413.675138755981</v>
          </cell>
        </row>
        <row r="827">
          <cell r="A827" t="str">
            <v>EXC08</v>
          </cell>
          <cell r="B827" t="str">
            <v>Excavacion terreno C 1.50-3.00 prof.</v>
          </cell>
          <cell r="C827" t="str">
            <v>M3</v>
          </cell>
          <cell r="D827">
            <v>413.675138755981</v>
          </cell>
        </row>
        <row r="827">
          <cell r="F827">
            <v>475.726409569378</v>
          </cell>
        </row>
        <row r="828">
          <cell r="A828" t="str">
            <v>EXC09</v>
          </cell>
          <cell r="B828" t="str">
            <v>Excavacion superficial de terrenos</v>
          </cell>
          <cell r="C828" t="str">
            <v>M3</v>
          </cell>
          <cell r="D828">
            <v>139.224</v>
          </cell>
        </row>
        <row r="828">
          <cell r="F828">
            <v>160.1076</v>
          </cell>
        </row>
        <row r="829">
          <cell r="A829" t="str">
            <v>EXC10</v>
          </cell>
          <cell r="B829" t="str">
            <v>Excavacion de terreno con piedra</v>
          </cell>
          <cell r="C829" t="str">
            <v>M3</v>
          </cell>
          <cell r="D829">
            <v>359.717511961723</v>
          </cell>
        </row>
        <row r="829">
          <cell r="F829">
            <v>413.675138755981</v>
          </cell>
        </row>
        <row r="830">
          <cell r="A830" t="str">
            <v>FIR01</v>
          </cell>
          <cell r="B830" t="str">
            <v>Firme de hormigon en entrepiso espesor promedio 7 cms</v>
          </cell>
          <cell r="C830" t="str">
            <v>M2</v>
          </cell>
          <cell r="D830">
            <v>43.2074482758621</v>
          </cell>
          <cell r="E830">
            <v>1</v>
          </cell>
          <cell r="F830">
            <v>49.6885655172414</v>
          </cell>
        </row>
        <row r="831">
          <cell r="A831" t="str">
            <v>FIR02</v>
          </cell>
          <cell r="B831" t="str">
            <v>Firme de hormigon en piso espesor promedio 7 cms</v>
          </cell>
          <cell r="C831" t="str">
            <v>M2</v>
          </cell>
          <cell r="D831">
            <v>37.59048</v>
          </cell>
          <cell r="E831">
            <v>1</v>
          </cell>
          <cell r="F831">
            <v>43.229052</v>
          </cell>
        </row>
        <row r="832">
          <cell r="A832" t="str">
            <v>FIR03</v>
          </cell>
          <cell r="B832" t="str">
            <v>Firme de ladrillo</v>
          </cell>
          <cell r="C832" t="str">
            <v>M2</v>
          </cell>
          <cell r="D832">
            <v>48.1929230769231</v>
          </cell>
          <cell r="E832">
            <v>1</v>
          </cell>
          <cell r="F832">
            <v>55.4218615384615</v>
          </cell>
        </row>
        <row r="833">
          <cell r="A833" t="str">
            <v>FLECHA</v>
          </cell>
          <cell r="B833" t="str">
            <v>Flecha de estacionamiento pintada</v>
          </cell>
          <cell r="C833" t="str">
            <v>PZA</v>
          </cell>
          <cell r="D833">
            <v>125.3016</v>
          </cell>
        </row>
        <row r="833">
          <cell r="F833">
            <v>144.09684</v>
          </cell>
        </row>
        <row r="834">
          <cell r="A834" t="str">
            <v>FLETE</v>
          </cell>
          <cell r="B834" t="str">
            <v>Flete de escombro, basura o material</v>
          </cell>
          <cell r="C834" t="str">
            <v>VIAJE</v>
          </cell>
          <cell r="D834">
            <v>5</v>
          </cell>
        </row>
        <row r="834">
          <cell r="F834">
            <v>5.75</v>
          </cell>
        </row>
        <row r="835">
          <cell r="A835" t="str">
            <v>FLOR</v>
          </cell>
          <cell r="B835" t="str">
            <v>Flor de teja en esquina incluye cortes y figurado en curva</v>
          </cell>
          <cell r="C835" t="str">
            <v>PZA</v>
          </cell>
          <cell r="D835">
            <v>150</v>
          </cell>
        </row>
        <row r="835">
          <cell r="F835">
            <v>172.5</v>
          </cell>
        </row>
        <row r="836">
          <cell r="A836" t="str">
            <v>FONDEO</v>
          </cell>
          <cell r="B836" t="str">
            <v>Fondeo de muro aparente de ladrillo</v>
          </cell>
          <cell r="C836" t="str">
            <v>M2</v>
          </cell>
          <cell r="D836">
            <v>17.9858755980861</v>
          </cell>
        </row>
        <row r="836">
          <cell r="F836">
            <v>20.683756937799</v>
          </cell>
        </row>
        <row r="837">
          <cell r="A837" t="str">
            <v>FUERA</v>
          </cell>
          <cell r="B837" t="str">
            <v>Labores fuera de turno</v>
          </cell>
          <cell r="C837" t="str">
            <v>LOTE</v>
          </cell>
          <cell r="D837">
            <v>100</v>
          </cell>
        </row>
        <row r="837">
          <cell r="F837">
            <v>100</v>
          </cell>
        </row>
        <row r="838">
          <cell r="A838" t="str">
            <v>GALL1</v>
          </cell>
          <cell r="B838" t="str">
            <v>Gallada de material o escombro </v>
          </cell>
          <cell r="C838" t="str">
            <v>VIAJE</v>
          </cell>
          <cell r="D838">
            <v>417.672</v>
          </cell>
        </row>
        <row r="838">
          <cell r="F838">
            <v>480.3228</v>
          </cell>
        </row>
        <row r="839">
          <cell r="A839" t="str">
            <v>GAR01</v>
          </cell>
          <cell r="B839" t="str">
            <v>Gargola hecha en obra</v>
          </cell>
          <cell r="C839" t="str">
            <v>PZA</v>
          </cell>
          <cell r="D839">
            <v>375.9048</v>
          </cell>
        </row>
        <row r="839">
          <cell r="F839">
            <v>432.29052</v>
          </cell>
        </row>
        <row r="840">
          <cell r="A840" t="str">
            <v>GAR02</v>
          </cell>
          <cell r="B840" t="str">
            <v>Gargola instalar prefabricada</v>
          </cell>
          <cell r="C840" t="str">
            <v>PZA</v>
          </cell>
          <cell r="D840">
            <v>125.3016</v>
          </cell>
        </row>
        <row r="840">
          <cell r="F840">
            <v>144.09684</v>
          </cell>
        </row>
        <row r="841">
          <cell r="A841" t="str">
            <v>GOT01</v>
          </cell>
          <cell r="B841" t="str">
            <v>Gotero abultado</v>
          </cell>
          <cell r="C841" t="str">
            <v>ML</v>
          </cell>
          <cell r="D841">
            <v>93.9762</v>
          </cell>
          <cell r="E841">
            <v>1</v>
          </cell>
          <cell r="F841">
            <v>108.07263</v>
          </cell>
        </row>
        <row r="842">
          <cell r="A842" t="str">
            <v>GOT02</v>
          </cell>
          <cell r="B842" t="str">
            <v>Gotero embutido</v>
          </cell>
          <cell r="C842" t="str">
            <v>ML</v>
          </cell>
          <cell r="D842">
            <v>75.18096</v>
          </cell>
        </row>
        <row r="842">
          <cell r="F842">
            <v>86.458104</v>
          </cell>
        </row>
        <row r="843">
          <cell r="A843" t="str">
            <v>GOT03</v>
          </cell>
          <cell r="B843" t="str">
            <v>Gotero teja de barro</v>
          </cell>
          <cell r="C843" t="str">
            <v>ML</v>
          </cell>
          <cell r="D843">
            <v>50.12064</v>
          </cell>
        </row>
        <row r="843">
          <cell r="F843">
            <v>57.638736</v>
          </cell>
        </row>
        <row r="844">
          <cell r="A844" t="str">
            <v>GRA01</v>
          </cell>
          <cell r="B844" t="str">
            <v>Gradinado de piso de cantera</v>
          </cell>
          <cell r="C844" t="str">
            <v>M2</v>
          </cell>
          <cell r="D844">
            <v>150.36192</v>
          </cell>
        </row>
        <row r="844">
          <cell r="F844">
            <v>172.916208</v>
          </cell>
        </row>
        <row r="845">
          <cell r="A845" t="str">
            <v>GRAP1</v>
          </cell>
          <cell r="B845" t="str">
            <v>Grapas en columnas metalicas o vigueria</v>
          </cell>
          <cell r="C845" t="str">
            <v>PZA</v>
          </cell>
          <cell r="D845">
            <v>10.024128</v>
          </cell>
        </row>
        <row r="845">
          <cell r="F845">
            <v>11.5277472</v>
          </cell>
        </row>
        <row r="846">
          <cell r="A846" t="str">
            <v>GROUT</v>
          </cell>
          <cell r="B846" t="str">
            <v>Cimbrar y colar placa y dado con festergrout</v>
          </cell>
          <cell r="C846" t="str">
            <v>PZA</v>
          </cell>
          <cell r="D846">
            <v>150.36192</v>
          </cell>
        </row>
        <row r="846">
          <cell r="F846">
            <v>172.916208</v>
          </cell>
        </row>
        <row r="847">
          <cell r="A847" t="str">
            <v>HAB01</v>
          </cell>
          <cell r="B847" t="str">
            <v>Habilitar cimbra para castillo o dala</v>
          </cell>
          <cell r="C847" t="str">
            <v>ML</v>
          </cell>
          <cell r="D847">
            <v>30.072384</v>
          </cell>
        </row>
        <row r="847">
          <cell r="F847">
            <v>34.5832416</v>
          </cell>
        </row>
        <row r="848">
          <cell r="A848" t="str">
            <v>HAB02</v>
          </cell>
          <cell r="B848" t="str">
            <v>Habilitar cimbra para columna o dado </v>
          </cell>
          <cell r="C848" t="str">
            <v>ML</v>
          </cell>
          <cell r="D848">
            <v>50.12064</v>
          </cell>
        </row>
        <row r="848">
          <cell r="F848">
            <v>57.638736</v>
          </cell>
        </row>
        <row r="849">
          <cell r="A849" t="str">
            <v>HAB03</v>
          </cell>
          <cell r="B849" t="str">
            <v>Habilitar cimbra para losa</v>
          </cell>
          <cell r="C849" t="str">
            <v>M2</v>
          </cell>
          <cell r="D849">
            <v>37.59048</v>
          </cell>
        </row>
        <row r="849">
          <cell r="F849">
            <v>43.229052</v>
          </cell>
        </row>
        <row r="850">
          <cell r="A850" t="str">
            <v>HEC01</v>
          </cell>
          <cell r="B850" t="str">
            <v>Hechura de mezcla y revoltura</v>
          </cell>
          <cell r="C850" t="str">
            <v>%</v>
          </cell>
          <cell r="D850">
            <v>0</v>
          </cell>
        </row>
        <row r="850">
          <cell r="F850">
            <v>0</v>
          </cell>
        </row>
        <row r="851">
          <cell r="A851" t="str">
            <v>HEDO</v>
          </cell>
          <cell r="B851" t="str">
            <v>Horas extras dobles oficial</v>
          </cell>
          <cell r="C851" t="str">
            <v>HE</v>
          </cell>
          <cell r="D851">
            <v>152.095</v>
          </cell>
        </row>
        <row r="851">
          <cell r="F851">
            <v>0</v>
          </cell>
        </row>
        <row r="852">
          <cell r="A852" t="str">
            <v>HEDP</v>
          </cell>
          <cell r="B852" t="str">
            <v>Horas extras dobles peon</v>
          </cell>
          <cell r="C852" t="str">
            <v>HE</v>
          </cell>
          <cell r="D852">
            <v>84.495</v>
          </cell>
        </row>
        <row r="852">
          <cell r="F852">
            <v>62.2</v>
          </cell>
        </row>
        <row r="853">
          <cell r="A853" t="str">
            <v>HEDPA</v>
          </cell>
          <cell r="B853" t="str">
            <v>Horas extras dobles oficial y peon</v>
          </cell>
          <cell r="C853" t="str">
            <v>HE</v>
          </cell>
          <cell r="D853">
            <v>187.9524</v>
          </cell>
        </row>
        <row r="853">
          <cell r="F853">
            <v>0</v>
          </cell>
        </row>
        <row r="854">
          <cell r="A854" t="str">
            <v>HERRE</v>
          </cell>
          <cell r="B854" t="str">
            <v>Recibir herreria ventanas o puertas</v>
          </cell>
          <cell r="C854" t="str">
            <v>M2</v>
          </cell>
          <cell r="D854">
            <v>187.9524</v>
          </cell>
        </row>
        <row r="854">
          <cell r="F854">
            <v>216.14526</v>
          </cell>
        </row>
        <row r="855">
          <cell r="A855" t="str">
            <v>HETO</v>
          </cell>
          <cell r="B855" t="str">
            <v>Horas extras triples oficial</v>
          </cell>
          <cell r="C855" t="str">
            <v>HE</v>
          </cell>
          <cell r="D855">
            <v>228.1425</v>
          </cell>
        </row>
        <row r="855">
          <cell r="F855">
            <v>0</v>
          </cell>
        </row>
        <row r="856">
          <cell r="A856" t="str">
            <v>HETP</v>
          </cell>
          <cell r="B856" t="str">
            <v>Horas extras triples peon</v>
          </cell>
          <cell r="C856" t="str">
            <v>HE</v>
          </cell>
          <cell r="D856">
            <v>126.7425</v>
          </cell>
        </row>
        <row r="856">
          <cell r="F856">
            <v>93.3</v>
          </cell>
        </row>
        <row r="857">
          <cell r="A857" t="str">
            <v>HETPA</v>
          </cell>
          <cell r="B857" t="str">
            <v>Horas extras triples oficial y peon</v>
          </cell>
          <cell r="C857" t="str">
            <v>HE</v>
          </cell>
          <cell r="D857">
            <v>281.9286</v>
          </cell>
        </row>
        <row r="857">
          <cell r="F857">
            <v>0</v>
          </cell>
        </row>
        <row r="858">
          <cell r="A858" t="str">
            <v>HIL20</v>
          </cell>
          <cell r="B858" t="str">
            <v>Hilada de ladrillo de 20</v>
          </cell>
          <cell r="C858" t="str">
            <v>ML</v>
          </cell>
          <cell r="D858">
            <v>37.59048</v>
          </cell>
          <cell r="E858">
            <v>1</v>
          </cell>
          <cell r="F858">
            <v>43.229052</v>
          </cell>
        </row>
        <row r="859">
          <cell r="A859" t="str">
            <v>HILCA</v>
          </cell>
          <cell r="B859" t="str">
            <v>Hilada de ladrillo de capuchino</v>
          </cell>
          <cell r="C859" t="str">
            <v>ML</v>
          </cell>
          <cell r="D859">
            <v>21.4802742857143</v>
          </cell>
          <cell r="E859">
            <v>1</v>
          </cell>
          <cell r="F859">
            <v>24.7023154285714</v>
          </cell>
        </row>
        <row r="860">
          <cell r="A860" t="str">
            <v>HILSO</v>
          </cell>
          <cell r="B860" t="str">
            <v>Hilada de ladrillo de soga</v>
          </cell>
          <cell r="C860" t="str">
            <v>ML</v>
          </cell>
          <cell r="D860">
            <v>16.70688</v>
          </cell>
          <cell r="E860">
            <v>1</v>
          </cell>
          <cell r="F860">
            <v>19.212912</v>
          </cell>
        </row>
        <row r="861">
          <cell r="A861" t="str">
            <v>HILTE</v>
          </cell>
          <cell r="B861" t="str">
            <v>Hilada de ladrillo de tezon</v>
          </cell>
          <cell r="C861" t="str">
            <v>ML</v>
          </cell>
          <cell r="D861">
            <v>21.4802742857143</v>
          </cell>
          <cell r="E861">
            <v>1</v>
          </cell>
          <cell r="F861">
            <v>24.7023154285714</v>
          </cell>
        </row>
        <row r="862">
          <cell r="A862" t="str">
            <v>HILTEJ</v>
          </cell>
          <cell r="B862" t="str">
            <v>Hilada de teja al inicio losa con mortero</v>
          </cell>
          <cell r="C862" t="str">
            <v>ML</v>
          </cell>
          <cell r="D862">
            <v>25.06032</v>
          </cell>
          <cell r="E862">
            <v>1</v>
          </cell>
          <cell r="F862">
            <v>28.819368</v>
          </cell>
        </row>
        <row r="863">
          <cell r="A863" t="str">
            <v>HILLA</v>
          </cell>
          <cell r="B863" t="str">
            <v>Hilada de ladrillo de azotea</v>
          </cell>
          <cell r="C863" t="str">
            <v>ML</v>
          </cell>
          <cell r="D863">
            <v>16.70688</v>
          </cell>
          <cell r="E863">
            <v>1</v>
          </cell>
          <cell r="F863">
            <v>19.212912</v>
          </cell>
        </row>
        <row r="864">
          <cell r="A864" t="str">
            <v>HOR01</v>
          </cell>
          <cell r="B864" t="str">
            <v>Hormigon en azotea esp. 15-30 cms. prom.</v>
          </cell>
          <cell r="C864" t="str">
            <v>M2</v>
          </cell>
          <cell r="D864">
            <v>75.18096</v>
          </cell>
          <cell r="E864">
            <v>1</v>
          </cell>
          <cell r="F864">
            <v>86.458104</v>
          </cell>
        </row>
        <row r="865">
          <cell r="A865" t="str">
            <v>HOR02</v>
          </cell>
          <cell r="B865" t="str">
            <v>Hormigon premezclado hasta 20 cms espesor</v>
          </cell>
          <cell r="C865" t="str">
            <v>M2</v>
          </cell>
          <cell r="D865">
            <v>30.072384</v>
          </cell>
        </row>
        <row r="865">
          <cell r="F865">
            <v>34.5832416</v>
          </cell>
        </row>
        <row r="866">
          <cell r="A866" t="str">
            <v>HUEMP</v>
          </cell>
          <cell r="B866" t="str">
            <v>Hueco para micropilote</v>
          </cell>
          <cell r="C866" t="str">
            <v>ML</v>
          </cell>
          <cell r="D866">
            <v>82.7984140969163</v>
          </cell>
        </row>
        <row r="866">
          <cell r="F866">
            <v>95.2181762114537</v>
          </cell>
        </row>
        <row r="867">
          <cell r="A867" t="str">
            <v>HUPOL</v>
          </cell>
          <cell r="B867" t="str">
            <v>Hueco para anclaje de polines de crucetas</v>
          </cell>
          <cell r="C867" t="str">
            <v>PZA</v>
          </cell>
          <cell r="D867">
            <v>24.2519225806452</v>
          </cell>
        </row>
        <row r="867">
          <cell r="F867">
            <v>27.8897109677419</v>
          </cell>
        </row>
        <row r="868">
          <cell r="A868" t="str">
            <v>IMP01</v>
          </cell>
          <cell r="B868" t="str">
            <v>Impermeabilizar azotea, 2 capas membrana</v>
          </cell>
          <cell r="C868" t="str">
            <v>M2</v>
          </cell>
          <cell r="D868">
            <v>39.5689263157895</v>
          </cell>
        </row>
        <row r="868">
          <cell r="F868">
            <v>45.5042652631579</v>
          </cell>
        </row>
        <row r="869">
          <cell r="A869" t="str">
            <v>IMP02</v>
          </cell>
          <cell r="B869" t="str">
            <v>Impermeabilizar dala</v>
          </cell>
          <cell r="C869" t="str">
            <v>ML</v>
          </cell>
          <cell r="D869">
            <v>15.036192</v>
          </cell>
        </row>
        <row r="869">
          <cell r="F869">
            <v>17.2916208</v>
          </cell>
        </row>
        <row r="870">
          <cell r="A870" t="str">
            <v>IMP03</v>
          </cell>
          <cell r="B870" t="str">
            <v>Impermeabilizar muro de enrase o divisorio</v>
          </cell>
          <cell r="C870" t="str">
            <v>M2</v>
          </cell>
          <cell r="D870">
            <v>18.79524</v>
          </cell>
        </row>
        <row r="870">
          <cell r="F870">
            <v>21.614526</v>
          </cell>
        </row>
        <row r="871">
          <cell r="A871" t="str">
            <v>IMP04</v>
          </cell>
          <cell r="B871" t="str">
            <v>Impermeabilizar piso, 2 capas membrana</v>
          </cell>
          <cell r="C871" t="str">
            <v>M2</v>
          </cell>
          <cell r="D871">
            <v>37.59048</v>
          </cell>
        </row>
        <row r="871">
          <cell r="F871">
            <v>43.229052</v>
          </cell>
        </row>
        <row r="872">
          <cell r="A872" t="str">
            <v>INSADO</v>
          </cell>
          <cell r="B872" t="str">
            <v>Instalacion de adocreto junteado con color</v>
          </cell>
          <cell r="C872" t="str">
            <v>M2</v>
          </cell>
          <cell r="D872">
            <v>88.4481882352941</v>
          </cell>
        </row>
        <row r="872">
          <cell r="F872">
            <v>101.715416470588</v>
          </cell>
        </row>
        <row r="873">
          <cell r="A873" t="str">
            <v>INS01</v>
          </cell>
          <cell r="B873" t="str">
            <v>Instalacion de azulejo</v>
          </cell>
          <cell r="C873" t="str">
            <v>M2</v>
          </cell>
          <cell r="D873">
            <v>115.308220858896</v>
          </cell>
        </row>
        <row r="873">
          <cell r="F873">
            <v>132.60445398773</v>
          </cell>
        </row>
        <row r="874">
          <cell r="A874" t="str">
            <v>INS02</v>
          </cell>
          <cell r="B874" t="str">
            <v>Instalacion de keralita</v>
          </cell>
          <cell r="C874" t="str">
            <v>M2</v>
          </cell>
          <cell r="D874">
            <v>93.9762</v>
          </cell>
        </row>
        <row r="874">
          <cell r="F874">
            <v>108.07263</v>
          </cell>
        </row>
        <row r="875">
          <cell r="A875" t="str">
            <v>INS03</v>
          </cell>
          <cell r="B875" t="str">
            <v>Instalacion de lavadero</v>
          </cell>
          <cell r="C875" t="str">
            <v>PZA</v>
          </cell>
          <cell r="D875">
            <v>442.240941176471</v>
          </cell>
        </row>
        <row r="875">
          <cell r="F875">
            <v>508.577082352941</v>
          </cell>
        </row>
        <row r="876">
          <cell r="A876" t="str">
            <v>INS04</v>
          </cell>
          <cell r="B876" t="str">
            <v>Instalacion de teja</v>
          </cell>
          <cell r="C876" t="str">
            <v>M2</v>
          </cell>
          <cell r="D876">
            <v>68.3463272727273</v>
          </cell>
        </row>
        <row r="876">
          <cell r="F876">
            <v>78.5982763636364</v>
          </cell>
        </row>
        <row r="877">
          <cell r="A877" t="str">
            <v>INS04A</v>
          </cell>
          <cell r="B877" t="str">
            <v>Instalacion de teja con cama inferior pegada con crest</v>
          </cell>
          <cell r="C877" t="str">
            <v>M2</v>
          </cell>
          <cell r="D877">
            <v>84.9502372881356</v>
          </cell>
        </row>
        <row r="877">
          <cell r="F877">
            <v>97.6927728813559</v>
          </cell>
        </row>
        <row r="878">
          <cell r="A878" t="str">
            <v>INS05</v>
          </cell>
          <cell r="B878" t="str">
            <v>Instalacion de tiratrim</v>
          </cell>
          <cell r="C878" t="str">
            <v>ML</v>
          </cell>
          <cell r="D878">
            <v>21</v>
          </cell>
        </row>
        <row r="878">
          <cell r="F878">
            <v>24.15</v>
          </cell>
        </row>
        <row r="879">
          <cell r="A879" t="str">
            <v>INS06</v>
          </cell>
          <cell r="B879" t="str">
            <v>Instalacion de tubo drenaje de 4,6 y 8 "</v>
          </cell>
          <cell r="C879" t="str">
            <v>ML</v>
          </cell>
          <cell r="D879">
            <v>37.59048</v>
          </cell>
        </row>
        <row r="879">
          <cell r="F879">
            <v>43.229052</v>
          </cell>
        </row>
        <row r="880">
          <cell r="A880" t="str">
            <v>INS07</v>
          </cell>
          <cell r="B880" t="str">
            <v>Instalacion de vitropiso</v>
          </cell>
          <cell r="C880" t="str">
            <v>M2</v>
          </cell>
          <cell r="D880">
            <v>93.9762</v>
          </cell>
        </row>
        <row r="880">
          <cell r="F880">
            <v>108.07263</v>
          </cell>
        </row>
        <row r="881">
          <cell r="A881" t="str">
            <v>INS07C</v>
          </cell>
          <cell r="B881" t="str">
            <v>Instalaciones de vitropiso en casa habitacion</v>
          </cell>
          <cell r="C881" t="str">
            <v>M2</v>
          </cell>
          <cell r="D881">
            <v>45</v>
          </cell>
        </row>
        <row r="881">
          <cell r="F881">
            <v>51.75</v>
          </cell>
        </row>
        <row r="882">
          <cell r="A882" t="str">
            <v>INS0750</v>
          </cell>
          <cell r="B882" t="str">
            <v>Instalacion de piso de 50 x 50</v>
          </cell>
          <cell r="C882" t="str">
            <v>M2</v>
          </cell>
          <cell r="D882">
            <v>120.289536</v>
          </cell>
        </row>
        <row r="882">
          <cell r="F882">
            <v>138.3329664</v>
          </cell>
        </row>
        <row r="883">
          <cell r="A883" t="str">
            <v>INS08</v>
          </cell>
          <cell r="B883" t="str">
            <v>Instalar adoquin en piso, incluye cama y acarreos</v>
          </cell>
          <cell r="C883" t="str">
            <v>M2</v>
          </cell>
          <cell r="D883">
            <v>107.401371428571</v>
          </cell>
        </row>
        <row r="883">
          <cell r="F883">
            <v>123.511577142857</v>
          </cell>
        </row>
        <row r="884">
          <cell r="A884" t="str">
            <v>INS09</v>
          </cell>
          <cell r="B884" t="str">
            <v>Instalar azulejo de alberca</v>
          </cell>
          <cell r="C884" t="str">
            <v>M2</v>
          </cell>
          <cell r="D884">
            <v>75.18096</v>
          </cell>
        </row>
        <row r="884">
          <cell r="F884">
            <v>86.458104</v>
          </cell>
        </row>
        <row r="885">
          <cell r="A885" t="str">
            <v>INS10</v>
          </cell>
          <cell r="B885" t="str">
            <v>Instalar cantera blanco limon junteada</v>
          </cell>
          <cell r="C885" t="str">
            <v>M2</v>
          </cell>
          <cell r="D885">
            <v>187.9524</v>
          </cell>
        </row>
        <row r="885">
          <cell r="F885">
            <v>216.14526</v>
          </cell>
        </row>
        <row r="886">
          <cell r="A886" t="str">
            <v>INS11</v>
          </cell>
          <cell r="B886" t="str">
            <v>Instalar cantera sangre de pichón junteada</v>
          </cell>
          <cell r="C886" t="str">
            <v>M2</v>
          </cell>
          <cell r="D886">
            <v>187.9524</v>
          </cell>
        </row>
        <row r="886">
          <cell r="F886">
            <v>216.14526</v>
          </cell>
        </row>
        <row r="887">
          <cell r="A887" t="str">
            <v>INS12</v>
          </cell>
          <cell r="B887" t="str">
            <v>Instalar marmol 30 x 30</v>
          </cell>
          <cell r="C887" t="str">
            <v>M2</v>
          </cell>
          <cell r="D887">
            <v>125.3016</v>
          </cell>
        </row>
        <row r="887">
          <cell r="F887">
            <v>144.09684</v>
          </cell>
        </row>
        <row r="888">
          <cell r="A888" t="str">
            <v>INS13</v>
          </cell>
          <cell r="B888" t="str">
            <v>Instalar panel W en bovedas</v>
          </cell>
          <cell r="C888" t="str">
            <v>M2</v>
          </cell>
          <cell r="D888">
            <v>57.8315076923077</v>
          </cell>
        </row>
        <row r="888">
          <cell r="F888">
            <v>66.5062338461538</v>
          </cell>
        </row>
        <row r="889">
          <cell r="A889" t="str">
            <v>INS14</v>
          </cell>
          <cell r="B889" t="str">
            <v>Instalar panel W en muro</v>
          </cell>
          <cell r="C889" t="str">
            <v>M2</v>
          </cell>
          <cell r="D889">
            <v>50.12064</v>
          </cell>
        </row>
        <row r="889">
          <cell r="F889">
            <v>57.638736</v>
          </cell>
        </row>
        <row r="890">
          <cell r="A890" t="str">
            <v>INS15</v>
          </cell>
          <cell r="B890" t="str">
            <v>Instalar piedrita bola en cenefas</v>
          </cell>
          <cell r="C890" t="str">
            <v>ML</v>
          </cell>
          <cell r="D890">
            <v>187.9524</v>
          </cell>
        </row>
        <row r="890">
          <cell r="F890">
            <v>216.14526</v>
          </cell>
        </row>
        <row r="891">
          <cell r="A891" t="str">
            <v>INS16</v>
          </cell>
          <cell r="B891" t="str">
            <v>Instalar piso de barro</v>
          </cell>
          <cell r="C891" t="str">
            <v>M2</v>
          </cell>
          <cell r="D891">
            <v>125.3016</v>
          </cell>
        </row>
        <row r="891">
          <cell r="F891">
            <v>144.09684</v>
          </cell>
        </row>
        <row r="892">
          <cell r="A892" t="str">
            <v>INS17</v>
          </cell>
          <cell r="B892" t="str">
            <v>Instalar piso y azulejo en cartabon</v>
          </cell>
          <cell r="C892" t="str">
            <v>M2</v>
          </cell>
          <cell r="D892">
            <v>93.9762</v>
          </cell>
        </row>
        <row r="892">
          <cell r="F892">
            <v>108.07263</v>
          </cell>
        </row>
        <row r="893">
          <cell r="A893" t="str">
            <v>INS18</v>
          </cell>
          <cell r="B893" t="str">
            <v>Instalar piedrita de rajuela a canto en juntas de piso</v>
          </cell>
          <cell r="C893" t="str">
            <v>ML</v>
          </cell>
          <cell r="D893">
            <v>375.9048</v>
          </cell>
        </row>
        <row r="893">
          <cell r="F893">
            <v>432.29052</v>
          </cell>
        </row>
        <row r="894">
          <cell r="A894" t="str">
            <v>INS19</v>
          </cell>
          <cell r="B894" t="str">
            <v>Instalacion de loseta de vinil en pisos </v>
          </cell>
          <cell r="C894" t="str">
            <v>M2</v>
          </cell>
          <cell r="D894">
            <v>53.7006857142857</v>
          </cell>
        </row>
        <row r="894">
          <cell r="F894">
            <v>61.7557885714286</v>
          </cell>
        </row>
        <row r="895">
          <cell r="A895" t="str">
            <v>INS20</v>
          </cell>
          <cell r="B895" t="str">
            <v>Instalacion de piso san andres medidas variables</v>
          </cell>
          <cell r="C895" t="str">
            <v>M2</v>
          </cell>
          <cell r="D895">
            <v>200</v>
          </cell>
        </row>
        <row r="896">
          <cell r="A896" t="str">
            <v>INS21</v>
          </cell>
          <cell r="B896" t="str">
            <v>Instalacion de piedra laja de cubrecanto 60 cms ancho para bancas</v>
          </cell>
          <cell r="C896" t="str">
            <v>ML</v>
          </cell>
          <cell r="D896">
            <v>600</v>
          </cell>
        </row>
        <row r="897">
          <cell r="A897" t="str">
            <v>INS22</v>
          </cell>
          <cell r="B897" t="str">
            <v>Corte, base de cemento y pegado de piso san andres 20 x 20</v>
          </cell>
          <cell r="C897" t="str">
            <v>M2</v>
          </cell>
          <cell r="D897">
            <v>320</v>
          </cell>
        </row>
        <row r="898">
          <cell r="A898" t="str">
            <v>JAB01</v>
          </cell>
          <cell r="B898" t="str">
            <v>Jaboneras con azulejo</v>
          </cell>
          <cell r="C898" t="str">
            <v>PZA</v>
          </cell>
          <cell r="D898">
            <v>300.72384</v>
          </cell>
        </row>
        <row r="898">
          <cell r="F898">
            <v>345.832416</v>
          </cell>
        </row>
        <row r="899">
          <cell r="A899" t="str">
            <v>JUNT1</v>
          </cell>
          <cell r="B899" t="str">
            <v>Junta de dilatacion en azotea</v>
          </cell>
          <cell r="C899" t="str">
            <v>ML</v>
          </cell>
          <cell r="D899">
            <v>31.5886386554622</v>
          </cell>
        </row>
        <row r="899">
          <cell r="F899">
            <v>36.3269344537815</v>
          </cell>
        </row>
        <row r="900">
          <cell r="A900" t="str">
            <v>JUNT2</v>
          </cell>
          <cell r="B900" t="str">
            <v>Junteo de ladrillo cuarteron con color </v>
          </cell>
          <cell r="C900" t="str">
            <v>M2</v>
          </cell>
          <cell r="D900">
            <v>65.9482105263158</v>
          </cell>
        </row>
        <row r="900">
          <cell r="F900">
            <v>75.8404421052632</v>
          </cell>
        </row>
        <row r="901">
          <cell r="A901" t="str">
            <v>JUNT3</v>
          </cell>
          <cell r="B901" t="str">
            <v>Junteo de ladrillo peron colocando alambre recocido</v>
          </cell>
          <cell r="C901" t="str">
            <v>M2</v>
          </cell>
          <cell r="D901">
            <v>39.5689263157895</v>
          </cell>
        </row>
        <row r="901">
          <cell r="F901">
            <v>45.5042652631579</v>
          </cell>
        </row>
        <row r="902">
          <cell r="A902" t="str">
            <v>LAVP</v>
          </cell>
          <cell r="B902" t="str">
            <v>Lavado de piso con acido muriatico p/porosidad</v>
          </cell>
          <cell r="C902" t="str">
            <v>M2</v>
          </cell>
          <cell r="D902">
            <v>25.06032</v>
          </cell>
        </row>
        <row r="902">
          <cell r="F902">
            <v>28.819368</v>
          </cell>
        </row>
        <row r="903">
          <cell r="A903" t="str">
            <v>LEC01</v>
          </cell>
          <cell r="B903" t="str">
            <v>Lechadeado de boveda</v>
          </cell>
          <cell r="C903" t="str">
            <v>M2</v>
          </cell>
          <cell r="D903">
            <v>7.16009142857143</v>
          </cell>
          <cell r="E903">
            <v>1</v>
          </cell>
          <cell r="F903">
            <v>8.23410514285714</v>
          </cell>
        </row>
        <row r="904">
          <cell r="A904" t="str">
            <v>LEC02</v>
          </cell>
          <cell r="B904" t="str">
            <v>Lechadeo de ladrillo azotea</v>
          </cell>
          <cell r="C904" t="str">
            <v>M2</v>
          </cell>
          <cell r="D904">
            <v>7.16009142857143</v>
          </cell>
          <cell r="E904">
            <v>1</v>
          </cell>
          <cell r="F904">
            <v>8.23410514285714</v>
          </cell>
        </row>
        <row r="905">
          <cell r="A905" t="str">
            <v>LEC03</v>
          </cell>
          <cell r="B905" t="str">
            <v>Lechadeo de firme</v>
          </cell>
          <cell r="C905" t="str">
            <v>M2</v>
          </cell>
          <cell r="D905">
            <v>7.16009142857143</v>
          </cell>
          <cell r="E905">
            <v>1</v>
          </cell>
          <cell r="F905">
            <v>8.23410514285714</v>
          </cell>
        </row>
        <row r="906">
          <cell r="A906" t="str">
            <v>LEC04</v>
          </cell>
          <cell r="B906" t="str">
            <v>Lechadeo sobre ladrillo azotea ya lechadeado</v>
          </cell>
          <cell r="C906" t="str">
            <v>M2</v>
          </cell>
          <cell r="D906">
            <v>8.35344</v>
          </cell>
          <cell r="E906">
            <v>1</v>
          </cell>
          <cell r="F906">
            <v>9.606456</v>
          </cell>
        </row>
        <row r="907">
          <cell r="A907" t="str">
            <v>LEC05</v>
          </cell>
          <cell r="B907" t="str">
            <v>Lechada de cemento en terraplen afinado</v>
          </cell>
          <cell r="C907" t="str">
            <v>M2</v>
          </cell>
          <cell r="D907">
            <v>6.0144768</v>
          </cell>
          <cell r="E907">
            <v>1</v>
          </cell>
          <cell r="F907">
            <v>6.91664832</v>
          </cell>
        </row>
        <row r="908">
          <cell r="A908" t="str">
            <v>LEC06</v>
          </cell>
          <cell r="B908" t="str">
            <v>Lechadeo de terminado ladrillo de azotea</v>
          </cell>
          <cell r="C908" t="str">
            <v>M2</v>
          </cell>
          <cell r="D908">
            <v>25.06032</v>
          </cell>
          <cell r="E908">
            <v>1</v>
          </cell>
          <cell r="F908">
            <v>28.819368</v>
          </cell>
        </row>
        <row r="909">
          <cell r="A909" t="str">
            <v>LIJ01</v>
          </cell>
          <cell r="B909" t="str">
            <v>Lijar muro, lavar con thinner y mano extra</v>
          </cell>
          <cell r="C909" t="str">
            <v>M2</v>
          </cell>
          <cell r="D909">
            <v>3</v>
          </cell>
        </row>
        <row r="909">
          <cell r="F909">
            <v>3.45</v>
          </cell>
        </row>
        <row r="910">
          <cell r="A910" t="str">
            <v>LOS10</v>
          </cell>
          <cell r="B910" t="str">
            <v>Colado de losa esp. 10 cms rev. hecho/obra</v>
          </cell>
          <cell r="C910" t="str">
            <v>M2</v>
          </cell>
          <cell r="D910">
            <v>88.4481882352941</v>
          </cell>
          <cell r="E910">
            <v>1</v>
          </cell>
          <cell r="F910">
            <v>101.715416470588</v>
          </cell>
        </row>
        <row r="911">
          <cell r="A911" t="str">
            <v>LOS11</v>
          </cell>
          <cell r="B911" t="str">
            <v>Colado de losa esp. 10 cms rev. premezclada</v>
          </cell>
          <cell r="C911" t="str">
            <v>M2</v>
          </cell>
          <cell r="D911">
            <v>37.59048</v>
          </cell>
        </row>
        <row r="911">
          <cell r="F911">
            <v>43.229052</v>
          </cell>
        </row>
        <row r="912">
          <cell r="A912" t="str">
            <v>LOS12</v>
          </cell>
          <cell r="B912" t="str">
            <v>Colado de losa esp. 12 cms rev. hecho/obra</v>
          </cell>
          <cell r="C912" t="str">
            <v>M2</v>
          </cell>
          <cell r="D912">
            <v>105.888676056338</v>
          </cell>
          <cell r="E912">
            <v>1</v>
          </cell>
          <cell r="F912">
            <v>121.771977464789</v>
          </cell>
        </row>
        <row r="913">
          <cell r="A913" t="str">
            <v>LOS13</v>
          </cell>
          <cell r="B913" t="str">
            <v>Colado de losa esp. 12 cms rev. premezclada</v>
          </cell>
          <cell r="C913" t="str">
            <v>M2</v>
          </cell>
          <cell r="D913">
            <v>41.0824918032787</v>
          </cell>
        </row>
        <row r="913">
          <cell r="F913">
            <v>47.2448655737705</v>
          </cell>
        </row>
        <row r="914">
          <cell r="A914" t="str">
            <v>LOS14</v>
          </cell>
          <cell r="B914" t="str">
            <v>Colado de losa esp. 15 cms rev. hecho/obra</v>
          </cell>
          <cell r="C914" t="str">
            <v>M2</v>
          </cell>
          <cell r="D914">
            <v>131.896421052632</v>
          </cell>
          <cell r="E914">
            <v>1</v>
          </cell>
          <cell r="F914">
            <v>151.680884210526</v>
          </cell>
        </row>
        <row r="915">
          <cell r="A915" t="str">
            <v>LOS15</v>
          </cell>
          <cell r="B915" t="str">
            <v>Colado de losa esp. 15 cms rev. premezclada</v>
          </cell>
          <cell r="C915" t="str">
            <v>M2</v>
          </cell>
          <cell r="D915">
            <v>46.9881</v>
          </cell>
        </row>
        <row r="915">
          <cell r="F915">
            <v>54.036315</v>
          </cell>
        </row>
        <row r="916">
          <cell r="A916" t="str">
            <v>LOS16</v>
          </cell>
          <cell r="B916" t="str">
            <v>Colado de losa esp. 20 cms rev. hecho/obra</v>
          </cell>
          <cell r="C916" t="str">
            <v>M2</v>
          </cell>
          <cell r="D916">
            <v>176.896376470588</v>
          </cell>
          <cell r="E916">
            <v>1</v>
          </cell>
          <cell r="F916">
            <v>203.430832941176</v>
          </cell>
        </row>
        <row r="917">
          <cell r="A917" t="str">
            <v>LOS17</v>
          </cell>
          <cell r="B917" t="str">
            <v>Colado de losa esp. 20 cms rev. premezclada</v>
          </cell>
          <cell r="C917" t="str">
            <v>M2</v>
          </cell>
          <cell r="D917">
            <v>55.2801176470588</v>
          </cell>
        </row>
        <row r="917">
          <cell r="F917">
            <v>63.5721352941177</v>
          </cell>
        </row>
        <row r="918">
          <cell r="A918" t="str">
            <v>LOTE</v>
          </cell>
          <cell r="B918" t="str">
            <v>Lote</v>
          </cell>
          <cell r="C918" t="str">
            <v>LOTE</v>
          </cell>
          <cell r="D918">
            <v>100</v>
          </cell>
        </row>
        <row r="918">
          <cell r="F918">
            <v>100</v>
          </cell>
        </row>
        <row r="919">
          <cell r="A919" t="str">
            <v>LOTE150</v>
          </cell>
          <cell r="B919" t="str">
            <v>Lote</v>
          </cell>
          <cell r="C919" t="str">
            <v>LOTE</v>
          </cell>
          <cell r="D919">
            <v>150</v>
          </cell>
        </row>
        <row r="919">
          <cell r="F919">
            <v>150</v>
          </cell>
        </row>
        <row r="920">
          <cell r="A920" t="str">
            <v>LOTE10</v>
          </cell>
          <cell r="B920" t="str">
            <v>Lote</v>
          </cell>
          <cell r="C920" t="str">
            <v>LOTE</v>
          </cell>
          <cell r="D920">
            <v>1000</v>
          </cell>
        </row>
        <row r="920">
          <cell r="F920">
            <v>1000</v>
          </cell>
        </row>
        <row r="921">
          <cell r="A921" t="str">
            <v>LOTE11</v>
          </cell>
          <cell r="B921" t="str">
            <v>Lote</v>
          </cell>
          <cell r="C921" t="str">
            <v>LOTE</v>
          </cell>
          <cell r="D921">
            <v>1100</v>
          </cell>
        </row>
        <row r="921">
          <cell r="F921">
            <v>1100</v>
          </cell>
        </row>
        <row r="922">
          <cell r="A922" t="str">
            <v>LOTE12</v>
          </cell>
          <cell r="B922" t="str">
            <v>Lote</v>
          </cell>
          <cell r="C922" t="str">
            <v>LOTE</v>
          </cell>
          <cell r="D922">
            <v>1200</v>
          </cell>
        </row>
        <row r="922">
          <cell r="F922">
            <v>1200</v>
          </cell>
        </row>
        <row r="923">
          <cell r="A923" t="str">
            <v>LOTE13</v>
          </cell>
          <cell r="B923" t="str">
            <v>Lote</v>
          </cell>
          <cell r="C923" t="str">
            <v>LOTE</v>
          </cell>
          <cell r="D923">
            <v>1300</v>
          </cell>
        </row>
        <row r="923">
          <cell r="F923">
            <v>1300</v>
          </cell>
        </row>
        <row r="924">
          <cell r="A924" t="str">
            <v>LOTE14</v>
          </cell>
          <cell r="B924" t="str">
            <v>Lote</v>
          </cell>
          <cell r="C924" t="str">
            <v>LOTE</v>
          </cell>
          <cell r="D924">
            <v>1400</v>
          </cell>
        </row>
        <row r="924">
          <cell r="F924">
            <v>1400</v>
          </cell>
        </row>
        <row r="925">
          <cell r="A925" t="str">
            <v>LOTE15</v>
          </cell>
          <cell r="B925" t="str">
            <v>Lote</v>
          </cell>
          <cell r="C925" t="str">
            <v>LOTE</v>
          </cell>
          <cell r="D925">
            <v>1500</v>
          </cell>
        </row>
        <row r="925">
          <cell r="F925">
            <v>1500</v>
          </cell>
        </row>
        <row r="926">
          <cell r="A926" t="str">
            <v>LOTE16</v>
          </cell>
          <cell r="B926" t="str">
            <v>Lote</v>
          </cell>
          <cell r="C926" t="str">
            <v>LOTE</v>
          </cell>
          <cell r="D926">
            <v>1600</v>
          </cell>
        </row>
        <row r="926">
          <cell r="F926">
            <v>1600</v>
          </cell>
        </row>
        <row r="927">
          <cell r="A927" t="str">
            <v>LOTE17</v>
          </cell>
          <cell r="B927" t="str">
            <v>Lote</v>
          </cell>
          <cell r="C927" t="str">
            <v>LOTE</v>
          </cell>
          <cell r="D927">
            <v>1700</v>
          </cell>
        </row>
        <row r="927">
          <cell r="F927">
            <v>1700</v>
          </cell>
        </row>
        <row r="928">
          <cell r="A928" t="str">
            <v>LOTE18</v>
          </cell>
          <cell r="B928" t="str">
            <v>Lote</v>
          </cell>
          <cell r="C928" t="str">
            <v>LOTE</v>
          </cell>
          <cell r="D928">
            <v>1800</v>
          </cell>
        </row>
        <row r="928">
          <cell r="F928">
            <v>1800</v>
          </cell>
        </row>
        <row r="929">
          <cell r="A929" t="str">
            <v>LOTE19</v>
          </cell>
          <cell r="B929" t="str">
            <v>Lote</v>
          </cell>
          <cell r="C929" t="str">
            <v>LOTE</v>
          </cell>
          <cell r="D929">
            <v>1900</v>
          </cell>
        </row>
        <row r="929">
          <cell r="F929">
            <v>1900</v>
          </cell>
        </row>
        <row r="930">
          <cell r="A930" t="str">
            <v>LOTE2</v>
          </cell>
          <cell r="B930" t="str">
            <v>Lote</v>
          </cell>
          <cell r="C930" t="str">
            <v>LOTE</v>
          </cell>
          <cell r="D930">
            <v>200</v>
          </cell>
        </row>
        <row r="930">
          <cell r="F930">
            <v>200</v>
          </cell>
        </row>
        <row r="931">
          <cell r="A931" t="str">
            <v>LOTE20</v>
          </cell>
          <cell r="B931" t="str">
            <v>Lote</v>
          </cell>
          <cell r="C931" t="str">
            <v>LOTE</v>
          </cell>
          <cell r="D931">
            <v>2000</v>
          </cell>
        </row>
        <row r="931">
          <cell r="F931">
            <v>2000</v>
          </cell>
        </row>
        <row r="932">
          <cell r="A932" t="str">
            <v>LOTE21</v>
          </cell>
          <cell r="B932" t="str">
            <v>Lote</v>
          </cell>
          <cell r="C932" t="str">
            <v>LOTE</v>
          </cell>
          <cell r="D932">
            <v>2100</v>
          </cell>
        </row>
        <row r="932">
          <cell r="F932">
            <v>2100</v>
          </cell>
        </row>
        <row r="933">
          <cell r="A933" t="str">
            <v>LOTE22</v>
          </cell>
          <cell r="B933" t="str">
            <v>Lote</v>
          </cell>
          <cell r="C933" t="str">
            <v>LOTE</v>
          </cell>
          <cell r="D933">
            <v>2200</v>
          </cell>
        </row>
        <row r="933">
          <cell r="F933">
            <v>2200</v>
          </cell>
        </row>
        <row r="934">
          <cell r="A934" t="str">
            <v>LOTE23</v>
          </cell>
          <cell r="B934" t="str">
            <v>Lote</v>
          </cell>
          <cell r="C934" t="str">
            <v>LOTE</v>
          </cell>
          <cell r="D934">
            <v>2300</v>
          </cell>
        </row>
        <row r="934">
          <cell r="F934">
            <v>2300</v>
          </cell>
        </row>
        <row r="935">
          <cell r="A935" t="str">
            <v>LOTE24</v>
          </cell>
          <cell r="B935" t="str">
            <v>Lote</v>
          </cell>
          <cell r="C935" t="str">
            <v>LOTE</v>
          </cell>
          <cell r="D935">
            <v>2400</v>
          </cell>
        </row>
        <row r="935">
          <cell r="F935">
            <v>2400</v>
          </cell>
        </row>
        <row r="936">
          <cell r="A936" t="str">
            <v>LOTE25</v>
          </cell>
          <cell r="B936" t="str">
            <v>Lote</v>
          </cell>
          <cell r="C936" t="str">
            <v>LOTE</v>
          </cell>
          <cell r="D936">
            <v>2500</v>
          </cell>
        </row>
        <row r="936">
          <cell r="F936">
            <v>2500</v>
          </cell>
        </row>
        <row r="937">
          <cell r="A937" t="str">
            <v>LOTE26</v>
          </cell>
          <cell r="B937" t="str">
            <v>Lote</v>
          </cell>
          <cell r="C937" t="str">
            <v>LOTE</v>
          </cell>
          <cell r="D937">
            <v>2600</v>
          </cell>
        </row>
        <row r="937">
          <cell r="F937">
            <v>2600</v>
          </cell>
        </row>
        <row r="938">
          <cell r="A938" t="str">
            <v>LOTE27</v>
          </cell>
          <cell r="B938" t="str">
            <v>Lote</v>
          </cell>
          <cell r="C938" t="str">
            <v>LOTE</v>
          </cell>
          <cell r="D938">
            <v>2700</v>
          </cell>
        </row>
        <row r="938">
          <cell r="F938">
            <v>2700</v>
          </cell>
        </row>
        <row r="939">
          <cell r="A939" t="str">
            <v>LOTE28</v>
          </cell>
          <cell r="B939" t="str">
            <v>Lote</v>
          </cell>
          <cell r="C939" t="str">
            <v>LOTE</v>
          </cell>
          <cell r="D939">
            <v>2800</v>
          </cell>
        </row>
        <row r="939">
          <cell r="F939">
            <v>2800</v>
          </cell>
        </row>
        <row r="940">
          <cell r="A940" t="str">
            <v>LOTE29</v>
          </cell>
          <cell r="B940" t="str">
            <v>Lote</v>
          </cell>
          <cell r="C940" t="str">
            <v>LOTE</v>
          </cell>
          <cell r="D940">
            <v>2900</v>
          </cell>
        </row>
        <row r="940">
          <cell r="F940">
            <v>2900</v>
          </cell>
        </row>
        <row r="941">
          <cell r="A941" t="str">
            <v>LOTE3</v>
          </cell>
          <cell r="B941" t="str">
            <v>Lote</v>
          </cell>
          <cell r="C941" t="str">
            <v>LOTE</v>
          </cell>
          <cell r="D941">
            <v>300</v>
          </cell>
        </row>
        <row r="941">
          <cell r="F941">
            <v>300</v>
          </cell>
        </row>
        <row r="942">
          <cell r="A942" t="str">
            <v>LOTE30</v>
          </cell>
          <cell r="B942" t="str">
            <v>Lote</v>
          </cell>
          <cell r="C942" t="str">
            <v>LOTE</v>
          </cell>
          <cell r="D942">
            <v>3000</v>
          </cell>
        </row>
        <row r="942">
          <cell r="F942">
            <v>3000</v>
          </cell>
        </row>
        <row r="943">
          <cell r="A943" t="str">
            <v>LOTE4</v>
          </cell>
          <cell r="B943" t="str">
            <v>Lote</v>
          </cell>
          <cell r="C943" t="str">
            <v>LOTE</v>
          </cell>
          <cell r="D943">
            <v>400</v>
          </cell>
        </row>
        <row r="943">
          <cell r="F943">
            <v>400</v>
          </cell>
        </row>
        <row r="944">
          <cell r="A944" t="str">
            <v>LOTE5</v>
          </cell>
          <cell r="B944" t="str">
            <v>Lote</v>
          </cell>
          <cell r="C944" t="str">
            <v>LOTE</v>
          </cell>
          <cell r="D944">
            <v>500</v>
          </cell>
        </row>
        <row r="944">
          <cell r="F944">
            <v>500</v>
          </cell>
        </row>
        <row r="945">
          <cell r="A945" t="str">
            <v>LOTE6</v>
          </cell>
          <cell r="B945" t="str">
            <v>Lote</v>
          </cell>
          <cell r="C945" t="str">
            <v>LOTE</v>
          </cell>
          <cell r="D945">
            <v>600</v>
          </cell>
        </row>
        <row r="945">
          <cell r="F945">
            <v>600</v>
          </cell>
        </row>
        <row r="946">
          <cell r="A946" t="str">
            <v>LOTE7</v>
          </cell>
          <cell r="B946" t="str">
            <v>Lote</v>
          </cell>
          <cell r="C946" t="str">
            <v>LOTE</v>
          </cell>
          <cell r="D946">
            <v>700</v>
          </cell>
        </row>
        <row r="946">
          <cell r="F946">
            <v>700</v>
          </cell>
        </row>
        <row r="947">
          <cell r="A947" t="str">
            <v>LOTE8</v>
          </cell>
          <cell r="B947" t="str">
            <v>Lote</v>
          </cell>
          <cell r="C947" t="str">
            <v>LOTE</v>
          </cell>
          <cell r="D947">
            <v>800</v>
          </cell>
        </row>
        <row r="947">
          <cell r="F947">
            <v>800</v>
          </cell>
        </row>
        <row r="948">
          <cell r="A948" t="str">
            <v>LOTE9</v>
          </cell>
          <cell r="B948" t="str">
            <v>Lote</v>
          </cell>
          <cell r="C948" t="str">
            <v>LOTE</v>
          </cell>
          <cell r="D948">
            <v>900</v>
          </cell>
        </row>
        <row r="948">
          <cell r="F948">
            <v>900</v>
          </cell>
        </row>
        <row r="949">
          <cell r="A949" t="str">
            <v>MSCUR1</v>
          </cell>
          <cell r="B949" t="str">
            <v>Muro de soga curvo </v>
          </cell>
          <cell r="C949" t="str">
            <v>M2</v>
          </cell>
          <cell r="D949">
            <v>123.247475409836</v>
          </cell>
          <cell r="E949">
            <v>1</v>
          </cell>
          <cell r="F949">
            <v>141.734596721311</v>
          </cell>
        </row>
        <row r="950">
          <cell r="A950" t="str">
            <v>MSCUR2</v>
          </cell>
          <cell r="B950" t="str">
            <v>Muro de soga curvo  2a h</v>
          </cell>
          <cell r="C950" t="str">
            <v>M2</v>
          </cell>
          <cell r="D950">
            <v>141.734596721311</v>
          </cell>
          <cell r="E950">
            <v>1</v>
          </cell>
          <cell r="F950">
            <v>162.994786229508</v>
          </cell>
        </row>
        <row r="951">
          <cell r="A951" t="str">
            <v>M201</v>
          </cell>
          <cell r="B951" t="str">
            <v>Muro de 20 de ladrillo</v>
          </cell>
          <cell r="C951" t="str">
            <v>M2</v>
          </cell>
          <cell r="D951">
            <v>123.247475409836</v>
          </cell>
          <cell r="E951">
            <v>1</v>
          </cell>
          <cell r="F951">
            <v>141.734596721311</v>
          </cell>
        </row>
        <row r="952">
          <cell r="A952" t="str">
            <v>M202</v>
          </cell>
          <cell r="B952" t="str">
            <v>Muro de 20 de ladrillo 2a h.</v>
          </cell>
          <cell r="C952" t="str">
            <v>M2</v>
          </cell>
          <cell r="D952">
            <v>141.734596721311</v>
          </cell>
          <cell r="E952">
            <v>1</v>
          </cell>
          <cell r="F952">
            <v>162.994786229508</v>
          </cell>
        </row>
        <row r="953">
          <cell r="A953" t="str">
            <v>M203</v>
          </cell>
          <cell r="B953" t="str">
            <v>Muro de 20 en limpio 1 rostro</v>
          </cell>
          <cell r="C953" t="str">
            <v>M2</v>
          </cell>
          <cell r="D953">
            <v>162.994786229508</v>
          </cell>
          <cell r="E953">
            <v>1</v>
          </cell>
          <cell r="F953">
            <v>187.444004163934</v>
          </cell>
        </row>
        <row r="954">
          <cell r="A954" t="str">
            <v>M201R2</v>
          </cell>
          <cell r="B954" t="str">
            <v>Muro de 20 1 rostro a 2a h</v>
          </cell>
          <cell r="C954" t="str">
            <v>M2</v>
          </cell>
          <cell r="D954">
            <v>182.017061052632</v>
          </cell>
          <cell r="E954">
            <v>1</v>
          </cell>
          <cell r="F954">
            <v>209.319620210526</v>
          </cell>
        </row>
        <row r="955">
          <cell r="A955" t="str">
            <v>M203A</v>
          </cell>
          <cell r="B955" t="str">
            <v>Muro de 20 de ladrillo 3a h</v>
          </cell>
          <cell r="C955" t="str">
            <v>M2</v>
          </cell>
          <cell r="D955">
            <v>141.734596721311</v>
          </cell>
          <cell r="E955">
            <v>1</v>
          </cell>
          <cell r="F955">
            <v>162.994786229508</v>
          </cell>
        </row>
        <row r="956">
          <cell r="A956" t="str">
            <v>M204</v>
          </cell>
          <cell r="B956" t="str">
            <v>Muro de 20 en limpio 2 rostros</v>
          </cell>
          <cell r="C956" t="str">
            <v>M2</v>
          </cell>
          <cell r="D956">
            <v>197.844631578947</v>
          </cell>
          <cell r="E956">
            <v>1</v>
          </cell>
          <cell r="F956">
            <v>227.521326315789</v>
          </cell>
        </row>
        <row r="957">
          <cell r="A957" t="str">
            <v>M25</v>
          </cell>
          <cell r="B957" t="str">
            <v>Muro de 25 cms de espesor</v>
          </cell>
          <cell r="C957" t="str">
            <v>M2</v>
          </cell>
          <cell r="D957">
            <v>145.982446601942</v>
          </cell>
          <cell r="E957">
            <v>1</v>
          </cell>
          <cell r="F957">
            <v>167.879813592233</v>
          </cell>
        </row>
        <row r="958">
          <cell r="A958" t="str">
            <v>M252</v>
          </cell>
          <cell r="B958" t="str">
            <v>Muro de 25 cms de espesor  a 2a h</v>
          </cell>
          <cell r="C958" t="str">
            <v>M2</v>
          </cell>
          <cell r="D958">
            <v>167.879813592233</v>
          </cell>
          <cell r="E958">
            <v>1</v>
          </cell>
          <cell r="F958">
            <v>193.061785631068</v>
          </cell>
        </row>
        <row r="959">
          <cell r="A959" t="str">
            <v>M253</v>
          </cell>
          <cell r="B959" t="str">
            <v>Muro de 25 cms de espesor  a 3a h</v>
          </cell>
          <cell r="C959" t="str">
            <v>M2</v>
          </cell>
          <cell r="D959">
            <v>193.061785631068</v>
          </cell>
          <cell r="E959">
            <v>1</v>
          </cell>
          <cell r="F959">
            <v>222.021053475728</v>
          </cell>
        </row>
        <row r="960">
          <cell r="A960" t="str">
            <v>M254</v>
          </cell>
          <cell r="B960" t="str">
            <v>Muro de 25 cms de espesor  a 4a h</v>
          </cell>
          <cell r="C960" t="str">
            <v>M2</v>
          </cell>
          <cell r="D960">
            <v>222.021053475728</v>
          </cell>
          <cell r="E960">
            <v>1</v>
          </cell>
          <cell r="F960">
            <v>255.324211497087</v>
          </cell>
        </row>
        <row r="961">
          <cell r="A961" t="str">
            <v>M255</v>
          </cell>
          <cell r="B961" t="str">
            <v>Muro de 25 cms de espesor  a 5a h</v>
          </cell>
          <cell r="C961" t="str">
            <v>M2</v>
          </cell>
          <cell r="D961">
            <v>255.324211497087</v>
          </cell>
          <cell r="E961">
            <v>1</v>
          </cell>
          <cell r="F961">
            <v>293.62284322165</v>
          </cell>
        </row>
        <row r="962">
          <cell r="A962" t="str">
            <v>M301R</v>
          </cell>
          <cell r="B962" t="str">
            <v>Muro de 30 cms espesor 1 rostro</v>
          </cell>
          <cell r="C962" t="str">
            <v>M2</v>
          </cell>
          <cell r="D962">
            <v>233.481242236025</v>
          </cell>
          <cell r="E962">
            <v>1</v>
          </cell>
          <cell r="F962">
            <v>268.503428571429</v>
          </cell>
        </row>
        <row r="963">
          <cell r="A963" t="str">
            <v>M301R2</v>
          </cell>
          <cell r="B963" t="str">
            <v>Muro de 30 cms espesor 1 rostro 2a h</v>
          </cell>
          <cell r="C963" t="str">
            <v>M2</v>
          </cell>
          <cell r="D963">
            <v>268.503428571429</v>
          </cell>
          <cell r="E963">
            <v>1</v>
          </cell>
          <cell r="F963">
            <v>308.778942857143</v>
          </cell>
        </row>
        <row r="964">
          <cell r="A964" t="str">
            <v>M301R3</v>
          </cell>
          <cell r="B964" t="str">
            <v>Muro de 30 cms espesor 1 rostro 3a h</v>
          </cell>
          <cell r="C964" t="str">
            <v>M2</v>
          </cell>
          <cell r="D964">
            <v>308.778942857143</v>
          </cell>
          <cell r="E964">
            <v>1</v>
          </cell>
          <cell r="F964">
            <v>355.095784285714</v>
          </cell>
        </row>
        <row r="965">
          <cell r="A965" t="str">
            <v>M35</v>
          </cell>
          <cell r="B965" t="str">
            <v>Muro de 35 cms de espesor </v>
          </cell>
          <cell r="C965" t="str">
            <v>M2</v>
          </cell>
          <cell r="D965">
            <v>187.9524</v>
          </cell>
          <cell r="E965">
            <v>1</v>
          </cell>
          <cell r="F965">
            <v>216.14526</v>
          </cell>
        </row>
        <row r="966">
          <cell r="A966" t="str">
            <v>MACH1</v>
          </cell>
          <cell r="B966" t="str">
            <v>Machuelo forjado con ladrillo</v>
          </cell>
          <cell r="C966" t="str">
            <v>ML</v>
          </cell>
          <cell r="D966">
            <v>62.6508</v>
          </cell>
          <cell r="E966">
            <v>1</v>
          </cell>
          <cell r="F966">
            <v>72.04842</v>
          </cell>
        </row>
        <row r="967">
          <cell r="A967" t="str">
            <v>MACH2</v>
          </cell>
          <cell r="B967" t="str">
            <v>barrenos, armar, cimbrar, colar y perfilar machuelo 20 X 20</v>
          </cell>
          <cell r="C967" t="str">
            <v>ML</v>
          </cell>
          <cell r="D967">
            <v>230.616441717791</v>
          </cell>
        </row>
        <row r="967">
          <cell r="F967">
            <v>265.20890797546</v>
          </cell>
        </row>
        <row r="968">
          <cell r="A968" t="str">
            <v>MACH3</v>
          </cell>
          <cell r="B968" t="str">
            <v>barrenos, colocar varillin , cimbrar, colar y perfilar machuelo 10 x 10</v>
          </cell>
          <cell r="C968" t="str">
            <v>ML</v>
          </cell>
          <cell r="D968">
            <v>125.3016</v>
          </cell>
        </row>
        <row r="968">
          <cell r="F968">
            <v>144.09684</v>
          </cell>
        </row>
        <row r="969">
          <cell r="A969" t="str">
            <v>MALLA</v>
          </cell>
          <cell r="B969" t="str">
            <v>Corte y colocacion de malla lack en piso</v>
          </cell>
          <cell r="C969" t="str">
            <v>M2</v>
          </cell>
          <cell r="D969">
            <v>15.036192</v>
          </cell>
        </row>
        <row r="969">
          <cell r="F969">
            <v>17.2916208</v>
          </cell>
        </row>
        <row r="970">
          <cell r="A970" t="str">
            <v>MAM01</v>
          </cell>
          <cell r="B970" t="str">
            <v>Mamposteo 1 rostro de 0.00-1.50</v>
          </cell>
          <cell r="C970" t="str">
            <v>M3</v>
          </cell>
          <cell r="D970">
            <v>523.411746835443</v>
          </cell>
          <cell r="E970">
            <v>1</v>
          </cell>
          <cell r="F970">
            <v>601.92350886076</v>
          </cell>
        </row>
        <row r="971">
          <cell r="A971" t="str">
            <v>MAM02</v>
          </cell>
          <cell r="B971" t="str">
            <v>Mamposteo 1 rostro de 1.50-3.00</v>
          </cell>
          <cell r="C971" t="str">
            <v>M3</v>
          </cell>
          <cell r="D971">
            <v>661.592448</v>
          </cell>
          <cell r="E971">
            <v>1</v>
          </cell>
          <cell r="F971">
            <v>760.8313152</v>
          </cell>
        </row>
        <row r="972">
          <cell r="A972" t="str">
            <v>MAM02a</v>
          </cell>
          <cell r="B972" t="str">
            <v>Mamposteo 1 rostro de 3.00-5.70</v>
          </cell>
          <cell r="C972" t="str">
            <v>M3</v>
          </cell>
          <cell r="D972">
            <v>835.344</v>
          </cell>
          <cell r="E972">
            <v>1</v>
          </cell>
          <cell r="F972">
            <v>960.6456</v>
          </cell>
        </row>
        <row r="973">
          <cell r="A973" t="str">
            <v>MAM03</v>
          </cell>
          <cell r="B973" t="str">
            <v>Mamposteo 2 rostros de 0.00-1.50</v>
          </cell>
          <cell r="C973" t="str">
            <v>M3</v>
          </cell>
          <cell r="D973">
            <v>972.930070588236</v>
          </cell>
          <cell r="E973">
            <v>1</v>
          </cell>
          <cell r="F973">
            <v>1118.86958117647</v>
          </cell>
        </row>
        <row r="974">
          <cell r="A974" t="str">
            <v>MAM03a</v>
          </cell>
          <cell r="B974" t="str">
            <v>Mamposteo 2 rostros de 0.00-1.50</v>
          </cell>
          <cell r="C974" t="str">
            <v>M3</v>
          </cell>
          <cell r="D974">
            <v>787.610057142857</v>
          </cell>
          <cell r="E974">
            <v>1</v>
          </cell>
          <cell r="F974">
            <v>905.751565714286</v>
          </cell>
        </row>
        <row r="975">
          <cell r="A975" t="str">
            <v>MAM03a2</v>
          </cell>
          <cell r="B975" t="str">
            <v>Mamposteo 2 rostros de 1.50-3.00</v>
          </cell>
          <cell r="C975" t="str">
            <v>M3</v>
          </cell>
          <cell r="D975">
            <v>908.780835164835</v>
          </cell>
          <cell r="E975">
            <v>1</v>
          </cell>
          <cell r="F975">
            <v>1045.09796043956</v>
          </cell>
        </row>
        <row r="976">
          <cell r="A976" t="str">
            <v>MAM04</v>
          </cell>
          <cell r="B976" t="str">
            <v>Mamposteo 2 rostros de 1.50-3.00</v>
          </cell>
          <cell r="C976" t="str">
            <v>M3</v>
          </cell>
          <cell r="D976">
            <v>1234.31426865672</v>
          </cell>
          <cell r="E976">
            <v>1</v>
          </cell>
          <cell r="F976">
            <v>1419.46140895522</v>
          </cell>
        </row>
        <row r="977">
          <cell r="A977" t="str">
            <v>MAM05</v>
          </cell>
          <cell r="B977" t="str">
            <v>Mamposteo en sucio de 0.00-1.50</v>
          </cell>
          <cell r="C977" t="str">
            <v>M3</v>
          </cell>
          <cell r="D977">
            <v>413.49528</v>
          </cell>
          <cell r="E977">
            <v>1</v>
          </cell>
          <cell r="F977">
            <v>475.519572</v>
          </cell>
        </row>
        <row r="978">
          <cell r="A978" t="str">
            <v>MAM06</v>
          </cell>
          <cell r="B978" t="str">
            <v>Mamposteo en sucio de 1.50-3.00</v>
          </cell>
          <cell r="C978" t="str">
            <v>M3</v>
          </cell>
          <cell r="D978">
            <v>486.465035294118</v>
          </cell>
          <cell r="E978">
            <v>1</v>
          </cell>
          <cell r="F978">
            <v>559.434790588235</v>
          </cell>
        </row>
        <row r="979">
          <cell r="A979" t="str">
            <v>MAM07</v>
          </cell>
          <cell r="B979" t="str">
            <v>Mamposteo a 1 rostro con junta cerrada</v>
          </cell>
          <cell r="C979" t="str">
            <v>M3</v>
          </cell>
          <cell r="D979">
            <v>1759.55438297872</v>
          </cell>
          <cell r="E979">
            <v>1</v>
          </cell>
          <cell r="F979">
            <v>2023.48754042553</v>
          </cell>
        </row>
        <row r="980">
          <cell r="A980" t="str">
            <v>MAM08</v>
          </cell>
          <cell r="B980" t="str">
            <v>Mamposteo a 2 rostros con junta cerrada</v>
          </cell>
          <cell r="C980" t="str">
            <v>M3</v>
          </cell>
          <cell r="D980">
            <v>2667.71148387097</v>
          </cell>
          <cell r="E980">
            <v>1</v>
          </cell>
          <cell r="F980">
            <v>3067.86820645161</v>
          </cell>
        </row>
        <row r="981">
          <cell r="A981" t="str">
            <v>MAMRV</v>
          </cell>
          <cell r="B981" t="str">
            <v>Mamposteo muro de piedra a 2 rostros rancho viejo de 0.00 a 2.00</v>
          </cell>
          <cell r="C981" t="str">
            <v>M3</v>
          </cell>
          <cell r="D981">
            <v>1153.08220858896</v>
          </cell>
          <cell r="E981">
            <v>1</v>
          </cell>
          <cell r="F981">
            <v>1326.0445398773</v>
          </cell>
        </row>
        <row r="982">
          <cell r="A982" t="str">
            <v>MAMRV2</v>
          </cell>
          <cell r="B982" t="str">
            <v>Mamposteo muro de piedra a 2 rostros rancho viejo de 2.00 a 4.00</v>
          </cell>
          <cell r="C982" t="str">
            <v>M3</v>
          </cell>
          <cell r="D982">
            <v>1441.3527607362</v>
          </cell>
          <cell r="E982">
            <v>1</v>
          </cell>
          <cell r="F982">
            <v>1657.55567484663</v>
          </cell>
        </row>
        <row r="983">
          <cell r="A983" t="str">
            <v>MAMP1R0-2</v>
          </cell>
          <cell r="B983" t="str">
            <v>Muro de piedra en limpio a 1 rostro de 0.00 a 2.00 alto</v>
          </cell>
          <cell r="C983" t="str">
            <v>M3</v>
          </cell>
          <cell r="D983">
            <v>2000</v>
          </cell>
        </row>
        <row r="984">
          <cell r="A984" t="str">
            <v>MAMP1R2-4</v>
          </cell>
          <cell r="B984" t="str">
            <v>Muro de piedra en limpio a 1 rostro de 2.00 a 4.00 alto</v>
          </cell>
          <cell r="C984" t="str">
            <v>M3</v>
          </cell>
          <cell r="D984">
            <v>2340</v>
          </cell>
        </row>
        <row r="985">
          <cell r="A985" t="str">
            <v>MAMP1R4-6</v>
          </cell>
          <cell r="B985" t="str">
            <v>Muro de piedra en limpio a 1 rostro de 4.00 a 6.00 alto</v>
          </cell>
          <cell r="C985" t="str">
            <v>M3</v>
          </cell>
          <cell r="D985">
            <v>2660</v>
          </cell>
        </row>
        <row r="986">
          <cell r="A986" t="str">
            <v>MAMP2R0-2</v>
          </cell>
          <cell r="B986" t="str">
            <v>Muro de piedra en limpio a 2 rostros de 0.00 a 2.00 alto</v>
          </cell>
          <cell r="C986" t="str">
            <v>M3</v>
          </cell>
          <cell r="D986">
            <v>2300</v>
          </cell>
        </row>
        <row r="987">
          <cell r="A987" t="str">
            <v>MAMP2R2-4</v>
          </cell>
          <cell r="B987" t="str">
            <v>Muro de piedra en limpio a 2 rostros de 2.00 a 4.00 alto</v>
          </cell>
          <cell r="C987" t="str">
            <v>M3</v>
          </cell>
          <cell r="D987">
            <v>2660</v>
          </cell>
        </row>
        <row r="988">
          <cell r="A988" t="str">
            <v>MAMP2R4-6</v>
          </cell>
          <cell r="B988" t="str">
            <v>Muro de piedra en limpio a 2 rostros de 4.00 a 6.00 alto</v>
          </cell>
          <cell r="C988" t="str">
            <v>M3</v>
          </cell>
          <cell r="D988">
            <v>3000</v>
          </cell>
        </row>
        <row r="989">
          <cell r="A989" t="str">
            <v>MANDO</v>
          </cell>
          <cell r="B989" t="str">
            <v>Mando intermedio de personal</v>
          </cell>
          <cell r="C989" t="str">
            <v>LOTE</v>
          </cell>
          <cell r="D989">
            <v>751.8096</v>
          </cell>
        </row>
        <row r="989">
          <cell r="F989">
            <v>864.58104</v>
          </cell>
        </row>
        <row r="990">
          <cell r="A990" t="str">
            <v>MART1</v>
          </cell>
          <cell r="B990" t="str">
            <v>Martelinado de piso concreto</v>
          </cell>
          <cell r="C990" t="str">
            <v>M2</v>
          </cell>
          <cell r="D990">
            <v>300.72384</v>
          </cell>
        </row>
        <row r="990">
          <cell r="F990">
            <v>345.832416</v>
          </cell>
        </row>
        <row r="991">
          <cell r="A991" t="str">
            <v>MART2</v>
          </cell>
          <cell r="B991" t="str">
            <v>Martelinado de escalones de concreto</v>
          </cell>
          <cell r="C991" t="str">
            <v>ML</v>
          </cell>
          <cell r="D991">
            <v>214.802742857143</v>
          </cell>
        </row>
        <row r="991">
          <cell r="F991">
            <v>247.023154285714</v>
          </cell>
        </row>
        <row r="992">
          <cell r="A992" t="str">
            <v>MB203</v>
          </cell>
          <cell r="B992" t="str">
            <v>Muro de 20 de block a 3a h</v>
          </cell>
          <cell r="C992" t="str">
            <v>M2</v>
          </cell>
          <cell r="D992">
            <v>139.224</v>
          </cell>
          <cell r="E992">
            <v>1</v>
          </cell>
          <cell r="F992">
            <v>160.1076</v>
          </cell>
        </row>
        <row r="993">
          <cell r="A993" t="str">
            <v>MBO01</v>
          </cell>
          <cell r="B993" t="str">
            <v>Muro de 20 de block</v>
          </cell>
          <cell r="C993" t="str">
            <v>M2</v>
          </cell>
          <cell r="D993">
            <v>107.401371428571</v>
          </cell>
          <cell r="E993">
            <v>1</v>
          </cell>
          <cell r="F993">
            <v>123.511577142857</v>
          </cell>
        </row>
        <row r="994">
          <cell r="A994" t="str">
            <v>MBO02</v>
          </cell>
          <cell r="B994" t="str">
            <v>Muro de 20 de block 2a h.</v>
          </cell>
          <cell r="C994" t="str">
            <v>M2</v>
          </cell>
          <cell r="D994">
            <v>123.247475409836</v>
          </cell>
          <cell r="E994">
            <v>1</v>
          </cell>
          <cell r="F994">
            <v>141.734596721311</v>
          </cell>
        </row>
        <row r="995">
          <cell r="A995" t="str">
            <v>MBO03</v>
          </cell>
          <cell r="B995" t="str">
            <v>Muro de capuchino de block</v>
          </cell>
          <cell r="C995" t="str">
            <v>M2</v>
          </cell>
          <cell r="D995">
            <v>75.18096</v>
          </cell>
          <cell r="E995">
            <v>1</v>
          </cell>
          <cell r="F995">
            <v>86.458104</v>
          </cell>
        </row>
        <row r="996">
          <cell r="A996" t="str">
            <v>MBO04</v>
          </cell>
          <cell r="B996" t="str">
            <v>Muro de capuchino de block 2a h.</v>
          </cell>
          <cell r="C996" t="str">
            <v>M2</v>
          </cell>
          <cell r="D996">
            <v>86.458104</v>
          </cell>
          <cell r="E996">
            <v>1</v>
          </cell>
          <cell r="F996">
            <v>99.4268196</v>
          </cell>
        </row>
        <row r="997">
          <cell r="A997" t="str">
            <v>MBO05</v>
          </cell>
          <cell r="B997" t="str">
            <v>Muro de soga de block</v>
          </cell>
          <cell r="C997" t="str">
            <v>M2</v>
          </cell>
          <cell r="D997">
            <v>100.24128</v>
          </cell>
          <cell r="E997">
            <v>1</v>
          </cell>
          <cell r="F997">
            <v>115.277472</v>
          </cell>
        </row>
        <row r="998">
          <cell r="A998" t="str">
            <v>MBO06</v>
          </cell>
          <cell r="B998" t="str">
            <v>Muro de soga de block 2a h.</v>
          </cell>
          <cell r="C998" t="str">
            <v>M2</v>
          </cell>
          <cell r="D998">
            <v>115.277472</v>
          </cell>
          <cell r="E998">
            <v>1</v>
          </cell>
          <cell r="F998">
            <v>132.5690928</v>
          </cell>
        </row>
        <row r="999">
          <cell r="A999" t="str">
            <v>MBO07</v>
          </cell>
          <cell r="B999" t="str">
            <v>Muro de tezon de block</v>
          </cell>
          <cell r="C999" t="str">
            <v>M2</v>
          </cell>
          <cell r="D999">
            <v>139.224</v>
          </cell>
          <cell r="E999">
            <v>1</v>
          </cell>
          <cell r="F999">
            <v>160.1076</v>
          </cell>
        </row>
        <row r="1000">
          <cell r="A1000" t="str">
            <v>MBO08</v>
          </cell>
          <cell r="B1000" t="str">
            <v>Muro de tezon de block 2a h.</v>
          </cell>
          <cell r="C1000" t="str">
            <v>M2</v>
          </cell>
          <cell r="D1000">
            <v>160.1076</v>
          </cell>
          <cell r="E1000">
            <v>1</v>
          </cell>
          <cell r="F1000">
            <v>184.12374</v>
          </cell>
        </row>
        <row r="1001">
          <cell r="A1001" t="str">
            <v>MBSO3</v>
          </cell>
          <cell r="B1001" t="str">
            <v>Muro de soga de block a 3a h</v>
          </cell>
          <cell r="C1001" t="str">
            <v>M2</v>
          </cell>
          <cell r="D1001">
            <v>130.313664</v>
          </cell>
          <cell r="E1001">
            <v>1</v>
          </cell>
          <cell r="F1001">
            <v>149.8607136</v>
          </cell>
        </row>
        <row r="1002">
          <cell r="A1002" t="str">
            <v>MBSO4</v>
          </cell>
          <cell r="B1002" t="str">
            <v>Muro de soga de block a 4a h</v>
          </cell>
          <cell r="C1002" t="str">
            <v>M2</v>
          </cell>
          <cell r="D1002">
            <v>145.349856</v>
          </cell>
          <cell r="E1002">
            <v>1</v>
          </cell>
          <cell r="F1002">
            <v>167.1523344</v>
          </cell>
        </row>
        <row r="1003">
          <cell r="A1003" t="str">
            <v>MBSO5</v>
          </cell>
          <cell r="B1003" t="str">
            <v>Muro de soga de block a 5a h</v>
          </cell>
          <cell r="C1003" t="str">
            <v>M2</v>
          </cell>
          <cell r="D1003">
            <v>160.386048</v>
          </cell>
          <cell r="E1003">
            <v>1</v>
          </cell>
          <cell r="F1003">
            <v>184.4439552</v>
          </cell>
        </row>
        <row r="1004">
          <cell r="A1004" t="str">
            <v>MBTE3</v>
          </cell>
          <cell r="B1004" t="str">
            <v>Muro de tezon de block a 3a h</v>
          </cell>
          <cell r="C1004" t="str">
            <v>M2</v>
          </cell>
          <cell r="D1004">
            <v>163.436869565217</v>
          </cell>
          <cell r="E1004">
            <v>1</v>
          </cell>
          <cell r="F1004">
            <v>187.9524</v>
          </cell>
        </row>
        <row r="1005">
          <cell r="A1005" t="str">
            <v>MBTE4</v>
          </cell>
          <cell r="B1005" t="str">
            <v>Muro de tezon de block a 4a h</v>
          </cell>
          <cell r="C1005" t="str">
            <v>M2</v>
          </cell>
          <cell r="D1005">
            <v>187.9524</v>
          </cell>
          <cell r="E1005">
            <v>1</v>
          </cell>
          <cell r="F1005">
            <v>216.14526</v>
          </cell>
        </row>
        <row r="1006">
          <cell r="A1006" t="str">
            <v>MBTE5</v>
          </cell>
          <cell r="B1006" t="str">
            <v>Muro de tezon de block a 5a h</v>
          </cell>
          <cell r="C1006" t="str">
            <v>M2</v>
          </cell>
          <cell r="D1006">
            <v>216.14526</v>
          </cell>
          <cell r="E1006">
            <v>1</v>
          </cell>
          <cell r="F1006">
            <v>248.567049</v>
          </cell>
        </row>
        <row r="1007">
          <cell r="A1007" t="str">
            <v>MBHA</v>
          </cell>
          <cell r="B1007" t="str">
            <v>Muro de block hueco aparente con colado de escalerillas verticales</v>
          </cell>
          <cell r="C1007" t="str">
            <v>M2</v>
          </cell>
          <cell r="D1007">
            <v>139.224</v>
          </cell>
          <cell r="E1007">
            <v>1</v>
          </cell>
          <cell r="F1007">
            <v>160.1076</v>
          </cell>
        </row>
        <row r="1008">
          <cell r="A1008" t="str">
            <v>MBHA2</v>
          </cell>
          <cell r="B1008" t="str">
            <v>Muro de block hueco aparente con colado de escalerillas verticales 2a h</v>
          </cell>
          <cell r="C1008" t="str">
            <v>M2</v>
          </cell>
          <cell r="D1008">
            <v>160.1076</v>
          </cell>
          <cell r="E1008">
            <v>1</v>
          </cell>
          <cell r="F1008">
            <v>184.12374</v>
          </cell>
        </row>
        <row r="1009">
          <cell r="A1009" t="str">
            <v>MPIÑASO</v>
          </cell>
          <cell r="B1009" t="str">
            <v>Muro de piña de soga </v>
          </cell>
          <cell r="C1009" t="str">
            <v>M2</v>
          </cell>
          <cell r="D1009">
            <v>79.137852631579</v>
          </cell>
          <cell r="E1009">
            <v>1</v>
          </cell>
          <cell r="F1009">
            <v>91.0085305263158</v>
          </cell>
        </row>
        <row r="1010">
          <cell r="A1010" t="str">
            <v>MCA1</v>
          </cell>
          <cell r="B1010" t="str">
            <v>Muro de capuchino de ladrillo</v>
          </cell>
          <cell r="C1010" t="str">
            <v>M2</v>
          </cell>
          <cell r="D1010">
            <v>75.18096</v>
          </cell>
          <cell r="E1010">
            <v>1</v>
          </cell>
          <cell r="F1010">
            <v>86.458104</v>
          </cell>
        </row>
        <row r="1011">
          <cell r="A1011" t="str">
            <v>MCA2</v>
          </cell>
          <cell r="B1011" t="str">
            <v>Muro de capuchino de ladrillo 2a h.</v>
          </cell>
          <cell r="C1011" t="str">
            <v>M2</v>
          </cell>
          <cell r="D1011">
            <v>86.458104</v>
          </cell>
          <cell r="E1011">
            <v>1</v>
          </cell>
          <cell r="F1011">
            <v>99.4268196</v>
          </cell>
        </row>
        <row r="1012">
          <cell r="A1012" t="str">
            <v>MPREF</v>
          </cell>
          <cell r="B1012" t="str">
            <v>Colocacion de muro de concreto prefabricado a nivel</v>
          </cell>
          <cell r="C1012" t="str">
            <v>M2</v>
          </cell>
          <cell r="D1012">
            <v>75.18096</v>
          </cell>
          <cell r="E1012">
            <v>1</v>
          </cell>
          <cell r="F1012">
            <v>86.458104</v>
          </cell>
        </row>
        <row r="1013">
          <cell r="A1013" t="str">
            <v>MED01</v>
          </cell>
          <cell r="B1013" t="str">
            <v>Media caña  de cemento blanco y marmolina</v>
          </cell>
          <cell r="C1013" t="str">
            <v>ML</v>
          </cell>
          <cell r="D1013">
            <v>18.79524</v>
          </cell>
          <cell r="E1013">
            <v>1</v>
          </cell>
          <cell r="F1013">
            <v>21.614526</v>
          </cell>
        </row>
        <row r="1014">
          <cell r="A1014" t="str">
            <v>MED02</v>
          </cell>
          <cell r="B1014" t="str">
            <v>Media caña con resina quimica del oeste</v>
          </cell>
          <cell r="C1014" t="str">
            <v>ML</v>
          </cell>
          <cell r="D1014">
            <v>15.6627</v>
          </cell>
          <cell r="E1014">
            <v>1</v>
          </cell>
          <cell r="F1014">
            <v>18.012105</v>
          </cell>
        </row>
        <row r="1015">
          <cell r="A1015" t="str">
            <v>MET01</v>
          </cell>
          <cell r="B1015" t="str">
            <v>Colocacion de metal desplegado</v>
          </cell>
          <cell r="C1015" t="str">
            <v>ML</v>
          </cell>
          <cell r="D1015">
            <v>25.06032</v>
          </cell>
        </row>
        <row r="1015">
          <cell r="F1015">
            <v>28.819368</v>
          </cell>
        </row>
        <row r="1016">
          <cell r="A1016" t="str">
            <v>MHUA</v>
          </cell>
          <cell r="B1016" t="str">
            <v>Muro huacaleado en pozo de absorcion</v>
          </cell>
          <cell r="C1016" t="str">
            <v>M2</v>
          </cell>
          <cell r="D1016">
            <v>75.18096</v>
          </cell>
          <cell r="E1016">
            <v>1</v>
          </cell>
          <cell r="F1016">
            <v>86.458104</v>
          </cell>
        </row>
        <row r="1017">
          <cell r="A1017" t="str">
            <v>MOC20</v>
          </cell>
          <cell r="B1017" t="str">
            <v>Mocheta de 20</v>
          </cell>
          <cell r="C1017" t="str">
            <v>ML</v>
          </cell>
          <cell r="D1017">
            <v>231.326030769231</v>
          </cell>
          <cell r="E1017">
            <v>1</v>
          </cell>
          <cell r="F1017">
            <v>266.024935384615</v>
          </cell>
        </row>
        <row r="1018">
          <cell r="A1018" t="str">
            <v>MOCCA</v>
          </cell>
          <cell r="B1018" t="str">
            <v>Mocheta de capuchino</v>
          </cell>
          <cell r="C1018" t="str">
            <v>ML</v>
          </cell>
          <cell r="D1018">
            <v>158.275705263158</v>
          </cell>
          <cell r="E1018">
            <v>1</v>
          </cell>
          <cell r="F1018">
            <v>182.017061052632</v>
          </cell>
        </row>
        <row r="1019">
          <cell r="A1019" t="str">
            <v>MOCSO</v>
          </cell>
          <cell r="B1019" t="str">
            <v>Mocheta de soga</v>
          </cell>
          <cell r="C1019" t="str">
            <v>ML</v>
          </cell>
          <cell r="D1019">
            <v>158.275705263158</v>
          </cell>
          <cell r="E1019">
            <v>1</v>
          </cell>
          <cell r="F1019">
            <v>182.017061052632</v>
          </cell>
        </row>
        <row r="1020">
          <cell r="A1020" t="str">
            <v>MOCTE</v>
          </cell>
          <cell r="B1020" t="str">
            <v>Mocheta de tezon</v>
          </cell>
          <cell r="C1020" t="str">
            <v>ML</v>
          </cell>
          <cell r="D1020">
            <v>250.6032</v>
          </cell>
          <cell r="E1020">
            <v>1</v>
          </cell>
          <cell r="F1020">
            <v>288.19368</v>
          </cell>
        </row>
        <row r="1021">
          <cell r="A1021" t="str">
            <v>MOJ01</v>
          </cell>
          <cell r="B1021" t="str">
            <v>Mojonera de 30 x 30 x 40 c/varilla terminada</v>
          </cell>
          <cell r="C1021" t="str">
            <v>PZA</v>
          </cell>
          <cell r="D1021">
            <v>93.9762</v>
          </cell>
        </row>
        <row r="1021">
          <cell r="F1021">
            <v>108.07263</v>
          </cell>
        </row>
        <row r="1022">
          <cell r="A1022" t="str">
            <v>MOL01</v>
          </cell>
          <cell r="B1022" t="str">
            <v>Moldura altura hasta 40 cms, incluye cercha</v>
          </cell>
          <cell r="C1022" t="str">
            <v>ML</v>
          </cell>
          <cell r="D1022">
            <v>501.2064</v>
          </cell>
        </row>
        <row r="1022">
          <cell r="F1022">
            <v>576.38736</v>
          </cell>
        </row>
        <row r="1023">
          <cell r="A1023" t="str">
            <v>MOL02</v>
          </cell>
          <cell r="B1023" t="str">
            <v>Moldura en esquina ( remate ), altura hasta 40 cms</v>
          </cell>
          <cell r="C1023" t="str">
            <v>ML</v>
          </cell>
          <cell r="D1023">
            <v>501.2064</v>
          </cell>
        </row>
        <row r="1023">
          <cell r="F1023">
            <v>576.38736</v>
          </cell>
        </row>
        <row r="1024">
          <cell r="A1024" t="str">
            <v>MOL03</v>
          </cell>
          <cell r="B1024" t="str">
            <v>Moldura 10-15 cms espesor c/media caña</v>
          </cell>
          <cell r="C1024" t="str">
            <v>ML</v>
          </cell>
          <cell r="D1024">
            <v>150.36192</v>
          </cell>
        </row>
        <row r="1024">
          <cell r="F1024">
            <v>172.916208</v>
          </cell>
        </row>
        <row r="1025">
          <cell r="A1025" t="str">
            <v>MSO1</v>
          </cell>
          <cell r="B1025" t="str">
            <v>Muro de soga de ladrillo</v>
          </cell>
          <cell r="C1025" t="str">
            <v>M2</v>
          </cell>
          <cell r="D1025">
            <v>100.24128</v>
          </cell>
          <cell r="E1025">
            <v>1</v>
          </cell>
          <cell r="F1025">
            <v>115.277472</v>
          </cell>
        </row>
        <row r="1026">
          <cell r="A1026" t="str">
            <v>MSO2</v>
          </cell>
          <cell r="B1026" t="str">
            <v>Muro de soga de ladrillo 2a h.</v>
          </cell>
          <cell r="C1026" t="str">
            <v>M2</v>
          </cell>
          <cell r="D1026">
            <v>115.277472</v>
          </cell>
          <cell r="E1026">
            <v>1</v>
          </cell>
          <cell r="F1026">
            <v>132.5690928</v>
          </cell>
        </row>
        <row r="1027">
          <cell r="A1027" t="str">
            <v>MSO3</v>
          </cell>
          <cell r="B1027" t="str">
            <v>Muro de soga en limpio 1 rostro</v>
          </cell>
          <cell r="C1027" t="str">
            <v>M2</v>
          </cell>
          <cell r="D1027">
            <v>118.706778947368</v>
          </cell>
          <cell r="E1027">
            <v>1</v>
          </cell>
          <cell r="F1027">
            <v>136.512795789474</v>
          </cell>
        </row>
        <row r="1028">
          <cell r="A1028" t="str">
            <v>MSO32a</v>
          </cell>
          <cell r="B1028" t="str">
            <v>Muro de soga en limpio 1 rostro a 2a h</v>
          </cell>
          <cell r="C1028" t="str">
            <v>M2</v>
          </cell>
          <cell r="D1028">
            <v>136.512795789474</v>
          </cell>
          <cell r="E1028">
            <v>1</v>
          </cell>
          <cell r="F1028">
            <v>156.989715157895</v>
          </cell>
        </row>
        <row r="1029">
          <cell r="A1029" t="str">
            <v>MSO33a</v>
          </cell>
          <cell r="B1029" t="str">
            <v>Muro de soga en limpio 1 rostro a 3a h</v>
          </cell>
          <cell r="C1029" t="str">
            <v>M2</v>
          </cell>
          <cell r="D1029">
            <v>156.989715157895</v>
          </cell>
          <cell r="E1029">
            <v>1</v>
          </cell>
          <cell r="F1029">
            <v>180.538172431579</v>
          </cell>
        </row>
        <row r="1030">
          <cell r="A1030" t="str">
            <v>MSO34a</v>
          </cell>
          <cell r="B1030" t="str">
            <v>Muro de soga en limpio 1 rostro a 4a h</v>
          </cell>
          <cell r="C1030" t="str">
            <v>M2</v>
          </cell>
          <cell r="D1030">
            <v>180.538172431579</v>
          </cell>
          <cell r="E1030">
            <v>1</v>
          </cell>
          <cell r="F1030">
            <v>207.618898296316</v>
          </cell>
        </row>
        <row r="1031">
          <cell r="A1031" t="str">
            <v>MSO4</v>
          </cell>
          <cell r="B1031" t="str">
            <v>Muro de soga en limpio 2 rostros</v>
          </cell>
          <cell r="C1031" t="str">
            <v>M2</v>
          </cell>
          <cell r="D1031">
            <v>150.36192</v>
          </cell>
          <cell r="E1031">
            <v>1</v>
          </cell>
          <cell r="F1031">
            <v>172.916208</v>
          </cell>
        </row>
        <row r="1032">
          <cell r="A1032" t="str">
            <v>MSO2R</v>
          </cell>
          <cell r="B1032" t="str">
            <v>Muro de soga a 2 rostros en limpio</v>
          </cell>
          <cell r="C1032" t="str">
            <v>M2</v>
          </cell>
          <cell r="D1032">
            <v>171.465347368421</v>
          </cell>
          <cell r="E1032">
            <v>1</v>
          </cell>
          <cell r="F1032">
            <v>197.185149473684</v>
          </cell>
        </row>
        <row r="1033">
          <cell r="A1033" t="str">
            <v>MSO2R2</v>
          </cell>
          <cell r="B1033" t="str">
            <v>Muro de soga a 2 rostros en limpio en 2a h</v>
          </cell>
          <cell r="C1033" t="str">
            <v>M2</v>
          </cell>
          <cell r="D1033">
            <v>197.844631578947</v>
          </cell>
          <cell r="E1033">
            <v>1</v>
          </cell>
          <cell r="F1033">
            <v>227.521326315789</v>
          </cell>
        </row>
        <row r="1034">
          <cell r="A1034" t="str">
            <v>M262R</v>
          </cell>
          <cell r="B1034" t="str">
            <v>Muro de 26 cms espesor a 2 rostros en limpio</v>
          </cell>
          <cell r="C1034" t="str">
            <v>M2</v>
          </cell>
          <cell r="D1034">
            <v>237.413557894737</v>
          </cell>
          <cell r="E1034">
            <v>1</v>
          </cell>
          <cell r="F1034">
            <v>273.025591578947</v>
          </cell>
        </row>
        <row r="1035">
          <cell r="A1035" t="str">
            <v>M262R2</v>
          </cell>
          <cell r="B1035" t="str">
            <v>Muro de 26 cms espesor a 2 rostros en limpio en 2a h</v>
          </cell>
          <cell r="C1035" t="str">
            <v>M2</v>
          </cell>
          <cell r="D1035">
            <v>274.344555789474</v>
          </cell>
          <cell r="E1035">
            <v>1</v>
          </cell>
          <cell r="F1035">
            <v>315.496239157895</v>
          </cell>
        </row>
        <row r="1036">
          <cell r="A1036" t="str">
            <v>MTEZ1</v>
          </cell>
          <cell r="B1036" t="str">
            <v>Muro de tezon de ladrillo</v>
          </cell>
          <cell r="C1036" t="str">
            <v>M2</v>
          </cell>
          <cell r="D1036">
            <v>139.224</v>
          </cell>
          <cell r="E1036">
            <v>1</v>
          </cell>
          <cell r="F1036">
            <v>160.1076</v>
          </cell>
        </row>
        <row r="1037">
          <cell r="A1037" t="str">
            <v>MTEZ2</v>
          </cell>
          <cell r="B1037" t="str">
            <v>Muro de tezon de ladrillo 2a h.</v>
          </cell>
          <cell r="C1037" t="str">
            <v>M2</v>
          </cell>
          <cell r="D1037">
            <v>160.1076</v>
          </cell>
          <cell r="E1037">
            <v>1</v>
          </cell>
          <cell r="F1037">
            <v>184.12374</v>
          </cell>
        </row>
        <row r="1038">
          <cell r="A1038" t="str">
            <v>MUSOG</v>
          </cell>
          <cell r="B1038" t="str">
            <v>Murete de soga de nivelacion en cimentaciones</v>
          </cell>
          <cell r="C1038" t="str">
            <v>ML</v>
          </cell>
          <cell r="D1038">
            <v>53.7006857142857</v>
          </cell>
          <cell r="E1038">
            <v>1</v>
          </cell>
          <cell r="F1038">
            <v>61.7557885714286</v>
          </cell>
        </row>
        <row r="1039">
          <cell r="A1039" t="str">
            <v>MUTEZ</v>
          </cell>
          <cell r="B1039" t="str">
            <v>Murete de tezon de nivelacion en cimentaciones</v>
          </cell>
          <cell r="C1039" t="str">
            <v>ML</v>
          </cell>
          <cell r="D1039">
            <v>107.401371428571</v>
          </cell>
          <cell r="E1039">
            <v>1</v>
          </cell>
          <cell r="F1039">
            <v>123.511577142857</v>
          </cell>
        </row>
        <row r="1040">
          <cell r="A1040" t="str">
            <v>NIV01</v>
          </cell>
          <cell r="B1040" t="str">
            <v>Nivelacion de dado con pasta cemento</v>
          </cell>
          <cell r="C1040" t="str">
            <v>PZA</v>
          </cell>
          <cell r="D1040">
            <v>93.9762</v>
          </cell>
        </row>
        <row r="1040">
          <cell r="F1040">
            <v>108.07263</v>
          </cell>
        </row>
        <row r="1041">
          <cell r="A1041" t="str">
            <v>NIV02</v>
          </cell>
          <cell r="B1041" t="str">
            <v>Nivelacion de muro de mamposteo esp. 80 cms</v>
          </cell>
          <cell r="C1041" t="str">
            <v>ML</v>
          </cell>
          <cell r="D1041">
            <v>68.3463272727273</v>
          </cell>
          <cell r="E1041">
            <v>1</v>
          </cell>
          <cell r="F1041">
            <v>78.5982763636364</v>
          </cell>
        </row>
        <row r="1042">
          <cell r="A1042" t="str">
            <v>NIV03</v>
          </cell>
          <cell r="B1042" t="str">
            <v>Nivelar muro de ladrillo</v>
          </cell>
          <cell r="C1042" t="str">
            <v>ML</v>
          </cell>
          <cell r="D1042">
            <v>37.59048</v>
          </cell>
        </row>
        <row r="1042">
          <cell r="F1042">
            <v>43.229052</v>
          </cell>
        </row>
        <row r="1043">
          <cell r="A1043" t="str">
            <v>NIV04</v>
          </cell>
          <cell r="B1043" t="str">
            <v>Nivelar y recibir centro carga, resanado</v>
          </cell>
          <cell r="C1043" t="str">
            <v>PZA</v>
          </cell>
          <cell r="D1043">
            <v>250.6032</v>
          </cell>
        </row>
        <row r="1043">
          <cell r="F1043">
            <v>288.19368</v>
          </cell>
        </row>
        <row r="1044">
          <cell r="A1044" t="str">
            <v>NIV05</v>
          </cell>
          <cell r="B1044" t="str">
            <v>Nivelacion de tierra para piso de 5-15 esp.</v>
          </cell>
          <cell r="C1044" t="str">
            <v>M2</v>
          </cell>
          <cell r="D1044">
            <v>21.4802742857143</v>
          </cell>
        </row>
        <row r="1044">
          <cell r="F1044">
            <v>24.7023154285714</v>
          </cell>
        </row>
        <row r="1045">
          <cell r="A1045" t="str">
            <v>NIV06</v>
          </cell>
          <cell r="B1045" t="str">
            <v>Nivelacion de pisos con pasta para instalar vitropiso</v>
          </cell>
          <cell r="C1045" t="str">
            <v>M2</v>
          </cell>
          <cell r="D1045">
            <v>21.1034273684211</v>
          </cell>
        </row>
        <row r="1045">
          <cell r="F1045">
            <v>24.2689414736842</v>
          </cell>
        </row>
        <row r="1046">
          <cell r="A1046" t="str">
            <v>NIV20</v>
          </cell>
          <cell r="B1046" t="str">
            <v>Nivelacion de muro de 20 sobre dala intermedia</v>
          </cell>
          <cell r="C1046" t="str">
            <v>ML</v>
          </cell>
          <cell r="D1046">
            <v>93.9762</v>
          </cell>
          <cell r="E1046">
            <v>1</v>
          </cell>
          <cell r="F1046">
            <v>108.07263</v>
          </cell>
        </row>
        <row r="1047">
          <cell r="A1047" t="str">
            <v>NIVSOG</v>
          </cell>
          <cell r="B1047" t="str">
            <v>Nivelacion de muro de soga sobre dala intermedia</v>
          </cell>
          <cell r="C1047" t="str">
            <v>ML</v>
          </cell>
          <cell r="D1047">
            <v>53.7006857142857</v>
          </cell>
          <cell r="E1047">
            <v>1</v>
          </cell>
          <cell r="F1047">
            <v>61.7557885714286</v>
          </cell>
        </row>
        <row r="1048">
          <cell r="A1048" t="str">
            <v>NOCT</v>
          </cell>
          <cell r="B1048" t="str">
            <v>Trabajo nocturno</v>
          </cell>
          <cell r="C1048" t="str">
            <v>LOTE</v>
          </cell>
          <cell r="D1048">
            <v>100</v>
          </cell>
        </row>
        <row r="1048">
          <cell r="F1048">
            <v>100</v>
          </cell>
        </row>
        <row r="1049">
          <cell r="A1049" t="str">
            <v>NUCKET</v>
          </cell>
          <cell r="B1049" t="str">
            <v>Nucket aplicado en resanes de piso</v>
          </cell>
          <cell r="C1049" t="str">
            <v>PZA</v>
          </cell>
          <cell r="D1049">
            <v>57.8315076923077</v>
          </cell>
        </row>
        <row r="1049">
          <cell r="F1049">
            <v>66.5062338461538</v>
          </cell>
        </row>
        <row r="1050">
          <cell r="A1050" t="str">
            <v>OFI01</v>
          </cell>
          <cell r="B1050" t="str">
            <v>Oficial por el dia</v>
          </cell>
          <cell r="C1050" t="str">
            <v>JORNAL</v>
          </cell>
          <cell r="D1050">
            <v>608.38</v>
          </cell>
        </row>
        <row r="1051">
          <cell r="A1051" t="str">
            <v>ORE01</v>
          </cell>
          <cell r="B1051" t="str">
            <v>Orejas de varillas para macizos acuñado</v>
          </cell>
          <cell r="C1051" t="str">
            <v>PZA</v>
          </cell>
          <cell r="D1051">
            <v>13.6692654545455</v>
          </cell>
        </row>
        <row r="1051">
          <cell r="F1051">
            <v>15.7196552727273</v>
          </cell>
        </row>
        <row r="1052">
          <cell r="A1052" t="str">
            <v>OVA01</v>
          </cell>
          <cell r="B1052" t="str">
            <v>Recibir ovalines por debajo de losa</v>
          </cell>
          <cell r="C1052" t="str">
            <v>PZA</v>
          </cell>
          <cell r="D1052">
            <v>75.18096</v>
          </cell>
        </row>
        <row r="1052">
          <cell r="F1052">
            <v>86.458104</v>
          </cell>
        </row>
        <row r="1053">
          <cell r="A1053" t="str">
            <v>PALMA</v>
          </cell>
          <cell r="B1053" t="str">
            <v>Derribar palma con todo y raiz alt. 10.00 mts</v>
          </cell>
          <cell r="C1053" t="str">
            <v>PZA</v>
          </cell>
          <cell r="D1053">
            <v>751.8096</v>
          </cell>
        </row>
        <row r="1053">
          <cell r="F1053">
            <v>864.58104</v>
          </cell>
        </row>
        <row r="1054">
          <cell r="A1054" t="str">
            <v>PAS01</v>
          </cell>
          <cell r="B1054" t="str">
            <v>Pasada de boveda</v>
          </cell>
          <cell r="C1054" t="str">
            <v>PZA</v>
          </cell>
          <cell r="D1054">
            <v>93.9762</v>
          </cell>
        </row>
        <row r="1054">
          <cell r="F1054">
            <v>108.07263</v>
          </cell>
        </row>
        <row r="1055">
          <cell r="A1055" t="str">
            <v>PAS02</v>
          </cell>
          <cell r="B1055" t="str">
            <v>Pasada de cimiento</v>
          </cell>
          <cell r="C1055" t="str">
            <v>PZA</v>
          </cell>
          <cell r="D1055">
            <v>250.6032</v>
          </cell>
        </row>
        <row r="1055">
          <cell r="F1055">
            <v>288.19368</v>
          </cell>
        </row>
        <row r="1056">
          <cell r="A1056" t="str">
            <v>PAS03</v>
          </cell>
          <cell r="B1056" t="str">
            <v>Pasada de muro o registro (p/tuberia)</v>
          </cell>
          <cell r="C1056" t="str">
            <v>PZA</v>
          </cell>
          <cell r="D1056">
            <v>41.7672</v>
          </cell>
        </row>
        <row r="1056">
          <cell r="F1056">
            <v>48.03228</v>
          </cell>
        </row>
        <row r="1057">
          <cell r="A1057" t="str">
            <v>PAS04</v>
          </cell>
          <cell r="B1057" t="str">
            <v>Pasada de concreto</v>
          </cell>
          <cell r="C1057" t="str">
            <v>PZA</v>
          </cell>
          <cell r="D1057">
            <v>95.9246698564593</v>
          </cell>
        </row>
        <row r="1057">
          <cell r="F1057">
            <v>110.313370334928</v>
          </cell>
        </row>
        <row r="1058">
          <cell r="A1058" t="str">
            <v>PAS05</v>
          </cell>
          <cell r="B1058" t="str">
            <v>Pasada de dala o castillo por ranuras de instalaciones</v>
          </cell>
          <cell r="C1058" t="str">
            <v>PZA</v>
          </cell>
          <cell r="D1058">
            <v>41.7672</v>
          </cell>
        </row>
        <row r="1058">
          <cell r="F1058">
            <v>48.03228</v>
          </cell>
        </row>
        <row r="1059">
          <cell r="A1059" t="str">
            <v>PEO01</v>
          </cell>
          <cell r="B1059" t="str">
            <v>Peon por el dia</v>
          </cell>
          <cell r="C1059" t="str">
            <v>JORNAL</v>
          </cell>
          <cell r="D1059">
            <v>337.98</v>
          </cell>
        </row>
        <row r="1059">
          <cell r="F1059">
            <v>248.8</v>
          </cell>
        </row>
        <row r="1060">
          <cell r="A1060" t="str">
            <v>PEOTEJ</v>
          </cell>
          <cell r="B1060" t="str">
            <v>Peon por el dia</v>
          </cell>
          <cell r="C1060" t="str">
            <v>JORNAL</v>
          </cell>
          <cell r="D1060">
            <v>250</v>
          </cell>
        </row>
        <row r="1060">
          <cell r="F1060">
            <v>250</v>
          </cell>
        </row>
        <row r="1061">
          <cell r="A1061" t="str">
            <v>PER01</v>
          </cell>
          <cell r="B1061" t="str">
            <v>Perfilar dala o castillo con mortero cemento</v>
          </cell>
          <cell r="C1061" t="str">
            <v>ML</v>
          </cell>
          <cell r="D1061">
            <v>37.59048</v>
          </cell>
        </row>
        <row r="1061">
          <cell r="F1061">
            <v>43.229052</v>
          </cell>
        </row>
        <row r="1062">
          <cell r="A1062" t="str">
            <v>PER02</v>
          </cell>
          <cell r="B1062" t="str">
            <v>Perfilar caja de luz chalupa con mezcla o yeso</v>
          </cell>
          <cell r="C1062" t="str">
            <v>PZA</v>
          </cell>
          <cell r="D1062">
            <v>50.12064</v>
          </cell>
        </row>
        <row r="1062">
          <cell r="F1062">
            <v>57.638736</v>
          </cell>
        </row>
        <row r="1063">
          <cell r="A1063" t="str">
            <v>PER03</v>
          </cell>
          <cell r="B1063" t="str">
            <v>Perfilar caja de luz en boveda tipo MAGG</v>
          </cell>
          <cell r="C1063" t="str">
            <v>PZA</v>
          </cell>
          <cell r="D1063">
            <v>79.137852631579</v>
          </cell>
        </row>
        <row r="1063">
          <cell r="F1063">
            <v>91.0085305263158</v>
          </cell>
        </row>
        <row r="1064">
          <cell r="A1064" t="str">
            <v>PER04</v>
          </cell>
          <cell r="B1064" t="str">
            <v>Perfilar losa de concreto</v>
          </cell>
          <cell r="C1064" t="str">
            <v>M2</v>
          </cell>
          <cell r="D1064">
            <v>37.59048</v>
          </cell>
        </row>
        <row r="1064">
          <cell r="F1064">
            <v>43.229052</v>
          </cell>
        </row>
        <row r="1065">
          <cell r="A1065" t="str">
            <v>PIC01</v>
          </cell>
          <cell r="B1065" t="str">
            <v>Picar piso para desplante de dala</v>
          </cell>
          <cell r="C1065" t="str">
            <v>ML</v>
          </cell>
          <cell r="D1065">
            <v>16.70688</v>
          </cell>
        </row>
        <row r="1065">
          <cell r="F1065">
            <v>19.212912</v>
          </cell>
        </row>
        <row r="1066">
          <cell r="A1066" t="str">
            <v>PIC02</v>
          </cell>
          <cell r="B1066" t="str">
            <v>Picar piso,boveda o muro p/media caña</v>
          </cell>
          <cell r="C1066" t="str">
            <v>ML</v>
          </cell>
          <cell r="D1066">
            <v>15.036192</v>
          </cell>
        </row>
        <row r="1066">
          <cell r="F1066">
            <v>17.2916208</v>
          </cell>
        </row>
        <row r="1067">
          <cell r="A1067" t="str">
            <v>PIC03</v>
          </cell>
          <cell r="B1067" t="str">
            <v>Picar columna, dala o trabe</v>
          </cell>
          <cell r="C1067" t="str">
            <v>ML</v>
          </cell>
          <cell r="D1067">
            <v>25.06032</v>
          </cell>
        </row>
        <row r="1067">
          <cell r="F1067">
            <v>28.819368</v>
          </cell>
        </row>
        <row r="1068">
          <cell r="A1068" t="str">
            <v>PIC04</v>
          </cell>
          <cell r="B1068" t="str">
            <v>Picar piso para preparar superficie</v>
          </cell>
          <cell r="C1068" t="str">
            <v>M2</v>
          </cell>
          <cell r="D1068">
            <v>50.12064</v>
          </cell>
        </row>
        <row r="1068">
          <cell r="F1068">
            <v>57.638736</v>
          </cell>
        </row>
        <row r="1069">
          <cell r="A1069" t="str">
            <v>PIN.30</v>
          </cell>
          <cell r="B1069" t="str">
            <v>Preparacion y pintura de postes de malla y </v>
          </cell>
          <cell r="C1069" t="str">
            <v>PZA</v>
          </cell>
          <cell r="D1069">
            <v>31.5</v>
          </cell>
        </row>
        <row r="1069">
          <cell r="F1069">
            <v>36.225</v>
          </cell>
        </row>
        <row r="1070">
          <cell r="A1070" t="str">
            <v>PIN01</v>
          </cell>
          <cell r="B1070" t="str">
            <v>Preparacion y pintura de muros,bovedas o pisos</v>
          </cell>
          <cell r="C1070" t="str">
            <v>M2</v>
          </cell>
          <cell r="D1070">
            <v>15</v>
          </cell>
        </row>
        <row r="1070">
          <cell r="F1070">
            <v>17.25</v>
          </cell>
        </row>
        <row r="1071">
          <cell r="A1071" t="str">
            <v>PIN01-1</v>
          </cell>
          <cell r="B1071" t="str">
            <v>Preparacion y pintura de muros,bovedas o pisos</v>
          </cell>
          <cell r="C1071" t="str">
            <v>M2</v>
          </cell>
          <cell r="D1071">
            <v>15</v>
          </cell>
        </row>
        <row r="1071">
          <cell r="F1071">
            <v>17.25</v>
          </cell>
        </row>
        <row r="1072">
          <cell r="A1072" t="str">
            <v>PIN02</v>
          </cell>
          <cell r="B1072" t="str">
            <v>Trazo y pintura de zoclos y cenefas</v>
          </cell>
          <cell r="C1072" t="str">
            <v>ML</v>
          </cell>
          <cell r="D1072">
            <v>5.25</v>
          </cell>
        </row>
        <row r="1072">
          <cell r="F1072">
            <v>6.0375</v>
          </cell>
        </row>
        <row r="1073">
          <cell r="A1073" t="str">
            <v>PIN03</v>
          </cell>
          <cell r="B1073" t="str">
            <v>Pintura de tuberia con esmalte</v>
          </cell>
          <cell r="C1073" t="str">
            <v>ML</v>
          </cell>
          <cell r="D1073">
            <v>5.25</v>
          </cell>
        </row>
        <row r="1074">
          <cell r="A1074" t="str">
            <v>PIN04</v>
          </cell>
          <cell r="B1074" t="str">
            <v>Trazo y pintura de lineas de trafico en piso</v>
          </cell>
          <cell r="C1074" t="str">
            <v>ML</v>
          </cell>
          <cell r="D1074">
            <v>5.25</v>
          </cell>
        </row>
        <row r="1074">
          <cell r="F1074">
            <v>6.0375</v>
          </cell>
        </row>
        <row r="1075">
          <cell r="A1075" t="str">
            <v>PIN05</v>
          </cell>
          <cell r="B1075" t="str">
            <v>Lijar muros, lavar con thinner y mano extra</v>
          </cell>
          <cell r="C1075" t="str">
            <v>M2</v>
          </cell>
          <cell r="D1075">
            <v>5.25</v>
          </cell>
        </row>
        <row r="1075">
          <cell r="F1075">
            <v>6.0375</v>
          </cell>
        </row>
        <row r="1076">
          <cell r="A1076" t="str">
            <v>PIN06</v>
          </cell>
          <cell r="B1076" t="str">
            <v>Preparacion y pintura de estructuras de fierro</v>
          </cell>
          <cell r="C1076" t="str">
            <v>ML</v>
          </cell>
          <cell r="D1076">
            <v>5.775</v>
          </cell>
        </row>
        <row r="1076">
          <cell r="F1076">
            <v>6.64125</v>
          </cell>
        </row>
        <row r="1077">
          <cell r="A1077" t="str">
            <v>PIN07</v>
          </cell>
          <cell r="B1077" t="str">
            <v>Lijar muros y correr plaste, resane gral.</v>
          </cell>
          <cell r="C1077" t="str">
            <v>M2</v>
          </cell>
          <cell r="D1077">
            <v>5.25</v>
          </cell>
        </row>
        <row r="1077">
          <cell r="F1077">
            <v>6.0375</v>
          </cell>
        </row>
        <row r="1078">
          <cell r="A1078" t="str">
            <v>PIN08</v>
          </cell>
          <cell r="B1078" t="str">
            <v>Trazo y pintura numeros estacionamiento</v>
          </cell>
          <cell r="C1078" t="str">
            <v>PZA</v>
          </cell>
          <cell r="D1078">
            <v>21</v>
          </cell>
        </row>
        <row r="1078">
          <cell r="F1078">
            <v>24.15</v>
          </cell>
        </row>
        <row r="1079">
          <cell r="A1079" t="str">
            <v>PIN09</v>
          </cell>
          <cell r="B1079" t="str">
            <v>Pintura de tapas hidrantes contra incendio</v>
          </cell>
          <cell r="C1079" t="str">
            <v>PZA</v>
          </cell>
          <cell r="D1079">
            <v>36.75</v>
          </cell>
        </row>
        <row r="1079">
          <cell r="F1079">
            <v>42.2625</v>
          </cell>
        </row>
        <row r="1080">
          <cell r="A1080" t="str">
            <v>PIN10</v>
          </cell>
          <cell r="B1080" t="str">
            <v>Aplicar terracota en azotea a 2 manos</v>
          </cell>
          <cell r="C1080" t="str">
            <v>M2</v>
          </cell>
          <cell r="D1080">
            <v>12</v>
          </cell>
        </row>
        <row r="1080">
          <cell r="F1080">
            <v>13.8</v>
          </cell>
        </row>
        <row r="1081">
          <cell r="A1081" t="str">
            <v>PIN11</v>
          </cell>
          <cell r="B1081" t="str">
            <v>Pintura de numeros de lockers</v>
          </cell>
          <cell r="C1081" t="str">
            <v>PZA</v>
          </cell>
          <cell r="D1081">
            <v>5.775</v>
          </cell>
        </row>
        <row r="1081">
          <cell r="F1081">
            <v>6.64125</v>
          </cell>
        </row>
        <row r="1082">
          <cell r="A1082" t="str">
            <v>PIN12</v>
          </cell>
          <cell r="B1082" t="str">
            <v>Preparacion y pintura de lamparas</v>
          </cell>
          <cell r="C1082" t="str">
            <v>PZA</v>
          </cell>
          <cell r="D1082">
            <v>21</v>
          </cell>
        </row>
        <row r="1082">
          <cell r="F1082">
            <v>24.15</v>
          </cell>
        </row>
        <row r="1083">
          <cell r="A1083" t="str">
            <v>PINSOLE</v>
          </cell>
          <cell r="B1083" t="str">
            <v>Pintura de soleras de tension</v>
          </cell>
          <cell r="C1083" t="str">
            <v>ML</v>
          </cell>
          <cell r="D1083">
            <v>11.8125</v>
          </cell>
        </row>
        <row r="1083">
          <cell r="F1083">
            <v>13.584375</v>
          </cell>
        </row>
        <row r="1084">
          <cell r="A1084" t="str">
            <v>PIS3</v>
          </cell>
          <cell r="B1084" t="str">
            <v>Piso de cemento 3 cms espesor acabado pulido / apalillado</v>
          </cell>
          <cell r="C1084" t="str">
            <v>M2</v>
          </cell>
          <cell r="D1084">
            <v>41.7672</v>
          </cell>
          <cell r="E1084">
            <v>1</v>
          </cell>
          <cell r="F1084">
            <v>48.03228</v>
          </cell>
        </row>
        <row r="1085">
          <cell r="A1085" t="str">
            <v>PIS5</v>
          </cell>
          <cell r="B1085" t="str">
            <v>Piso de cemento 5 cms espesor acabado pulido / apalillado</v>
          </cell>
          <cell r="C1085" t="str">
            <v>M2</v>
          </cell>
          <cell r="D1085">
            <v>53.7006857142857</v>
          </cell>
          <cell r="E1085">
            <v>1</v>
          </cell>
          <cell r="F1085">
            <v>61.7557885714286</v>
          </cell>
        </row>
        <row r="1086">
          <cell r="A1086" t="str">
            <v>PIS08</v>
          </cell>
          <cell r="B1086" t="str">
            <v>Piso de cemento 8 cms espesor repellado</v>
          </cell>
          <cell r="C1086" t="str">
            <v>M2</v>
          </cell>
          <cell r="D1086">
            <v>64.2572307692308</v>
          </cell>
          <cell r="E1086">
            <v>1</v>
          </cell>
          <cell r="F1086">
            <v>73.8958153846154</v>
          </cell>
        </row>
        <row r="1087">
          <cell r="A1087" t="str">
            <v>PIS7</v>
          </cell>
          <cell r="B1087" t="str">
            <v>Piso de cemento 7 cms espesor acabado pulido / apalillado</v>
          </cell>
          <cell r="C1087" t="str">
            <v>M2</v>
          </cell>
          <cell r="D1087">
            <v>75.18096</v>
          </cell>
          <cell r="E1087">
            <v>1</v>
          </cell>
          <cell r="F1087">
            <v>86.458104</v>
          </cell>
        </row>
        <row r="1088">
          <cell r="A1088" t="str">
            <v>PIS72</v>
          </cell>
          <cell r="B1088" t="str">
            <v>Piso de cemento 7 cms espesor acabado pulido / apalillado a 2a h</v>
          </cell>
          <cell r="C1088" t="str">
            <v>M2</v>
          </cell>
          <cell r="D1088">
            <v>86.458104</v>
          </cell>
          <cell r="E1088">
            <v>1</v>
          </cell>
          <cell r="F1088">
            <v>99.4268196</v>
          </cell>
        </row>
        <row r="1089">
          <cell r="A1089" t="str">
            <v>PISGRA</v>
          </cell>
          <cell r="B1089" t="str">
            <v>Piso de concreto /granito deslavado incluye malla y cimbra</v>
          </cell>
          <cell r="C1089" t="str">
            <v>M2</v>
          </cell>
          <cell r="D1089">
            <v>150.36192</v>
          </cell>
          <cell r="E1089">
            <v>1</v>
          </cell>
          <cell r="F1089">
            <v>172.916208</v>
          </cell>
        </row>
        <row r="1090">
          <cell r="A1090" t="str">
            <v>PLA01</v>
          </cell>
          <cell r="B1090" t="str">
            <v>Plantilla de piedra esp. 20 cms promedio</v>
          </cell>
          <cell r="C1090" t="str">
            <v>M2</v>
          </cell>
          <cell r="D1090">
            <v>62.6508</v>
          </cell>
          <cell r="E1090">
            <v>1</v>
          </cell>
          <cell r="F1090">
            <v>72.04842</v>
          </cell>
        </row>
        <row r="1091">
          <cell r="A1091" t="str">
            <v>PLA10</v>
          </cell>
          <cell r="B1091" t="str">
            <v>Plantilla de concreto pobre esp. 10 cms</v>
          </cell>
          <cell r="C1091" t="str">
            <v>M2</v>
          </cell>
          <cell r="D1091">
            <v>50.12064</v>
          </cell>
          <cell r="E1091">
            <v>1</v>
          </cell>
          <cell r="F1091">
            <v>57.638736</v>
          </cell>
        </row>
        <row r="1092">
          <cell r="A1092" t="str">
            <v>PLA5</v>
          </cell>
          <cell r="B1092" t="str">
            <v>Plantilla de concreto pobre esp. 5 cms</v>
          </cell>
          <cell r="C1092" t="str">
            <v>M2</v>
          </cell>
          <cell r="D1092">
            <v>25.06032</v>
          </cell>
          <cell r="E1092">
            <v>1</v>
          </cell>
          <cell r="F1092">
            <v>28.819368</v>
          </cell>
        </row>
        <row r="1093">
          <cell r="A1093" t="str">
            <v>PLA7</v>
          </cell>
          <cell r="B1093" t="str">
            <v>Plantilla de concreto pobre esp. 7 cms</v>
          </cell>
          <cell r="C1093" t="str">
            <v>M2</v>
          </cell>
          <cell r="D1093">
            <v>30.072384</v>
          </cell>
          <cell r="E1093">
            <v>1</v>
          </cell>
          <cell r="F1093">
            <v>34.5832416</v>
          </cell>
        </row>
        <row r="1094">
          <cell r="A1094" t="str">
            <v>PLAS</v>
          </cell>
          <cell r="B1094" t="str">
            <v>Colocar plastico en muros o piso</v>
          </cell>
          <cell r="C1094" t="str">
            <v>M2</v>
          </cell>
          <cell r="D1094">
            <v>4.17672</v>
          </cell>
        </row>
        <row r="1094">
          <cell r="F1094">
            <v>4.803228</v>
          </cell>
        </row>
        <row r="1095">
          <cell r="A1095" t="str">
            <v>PODA</v>
          </cell>
          <cell r="B1095" t="str">
            <v>Poda de arbol diametro de 10 a 30 cms c/desenraice</v>
          </cell>
          <cell r="C1095" t="str">
            <v>PZA</v>
          </cell>
          <cell r="D1095">
            <v>202.241178947368</v>
          </cell>
        </row>
        <row r="1095">
          <cell r="F1095">
            <v>232.577355789474</v>
          </cell>
        </row>
        <row r="1096">
          <cell r="A1096" t="str">
            <v>PORCE</v>
          </cell>
          <cell r="B1096" t="str">
            <v>Instalacion de porcelanato en muros y pisos</v>
          </cell>
          <cell r="C1096" t="str">
            <v>M2</v>
          </cell>
          <cell r="D1096">
            <v>100</v>
          </cell>
        </row>
        <row r="1096">
          <cell r="F1096">
            <v>115</v>
          </cell>
        </row>
        <row r="1097">
          <cell r="A1097" t="str">
            <v>POSTE</v>
          </cell>
          <cell r="B1097" t="str">
            <v>Recibir poste de cedula  30 para puerta acceso</v>
          </cell>
          <cell r="C1097" t="str">
            <v>PZA</v>
          </cell>
          <cell r="D1097">
            <v>300.72384</v>
          </cell>
        </row>
        <row r="1097">
          <cell r="F1097">
            <v>345.832416</v>
          </cell>
        </row>
        <row r="1098">
          <cell r="A1098" t="str">
            <v>POZO</v>
          </cell>
          <cell r="B1098" t="str">
            <v>Pozo de visita terminado diametro inf. 1.20 y sup. 0.60</v>
          </cell>
          <cell r="C1098" t="str">
            <v>ML</v>
          </cell>
          <cell r="D1098">
            <v>839.340861244019</v>
          </cell>
        </row>
        <row r="1098">
          <cell r="F1098">
            <v>965.241990430622</v>
          </cell>
        </row>
        <row r="1099">
          <cell r="A1099" t="str">
            <v>PRE20</v>
          </cell>
          <cell r="B1099" t="str">
            <v>Pretil de muro 20 alt. 70 cms c/ acarreo y nivelacion</v>
          </cell>
          <cell r="C1099" t="str">
            <v>ML</v>
          </cell>
          <cell r="D1099">
            <v>93.9762</v>
          </cell>
          <cell r="E1099">
            <v>1</v>
          </cell>
          <cell r="F1099">
            <v>108.07263</v>
          </cell>
        </row>
        <row r="1100">
          <cell r="A1100" t="str">
            <v>PRE25</v>
          </cell>
          <cell r="B1100" t="str">
            <v>Pretil de muro de 25 hasta 70 cms altura</v>
          </cell>
          <cell r="C1100" t="str">
            <v>ML</v>
          </cell>
          <cell r="D1100">
            <v>115.663015384615</v>
          </cell>
          <cell r="E1100">
            <v>1</v>
          </cell>
          <cell r="F1100">
            <v>133.012467692308</v>
          </cell>
        </row>
        <row r="1101">
          <cell r="A1101" t="str">
            <v>PRECA</v>
          </cell>
          <cell r="B1101" t="str">
            <v>Pretil de muro capuchino alt. 70 cms c/ acarreo y nivelacion</v>
          </cell>
          <cell r="C1101" t="str">
            <v>ML</v>
          </cell>
          <cell r="D1101">
            <v>68.3463272727273</v>
          </cell>
          <cell r="E1101">
            <v>1</v>
          </cell>
          <cell r="F1101">
            <v>78.5982763636364</v>
          </cell>
        </row>
        <row r="1102">
          <cell r="A1102" t="str">
            <v>PRESO</v>
          </cell>
          <cell r="B1102" t="str">
            <v>Pretil de muro soga alt. 70 cms</v>
          </cell>
          <cell r="C1102" t="str">
            <v>ML</v>
          </cell>
          <cell r="D1102">
            <v>53.7006857142857</v>
          </cell>
          <cell r="E1102">
            <v>1</v>
          </cell>
          <cell r="F1102">
            <v>61.7557885714286</v>
          </cell>
        </row>
        <row r="1103">
          <cell r="A1103" t="str">
            <v>PRETE</v>
          </cell>
          <cell r="B1103" t="str">
            <v>Pretil de muro tezon alt. 70 cms</v>
          </cell>
          <cell r="C1103" t="str">
            <v>ML</v>
          </cell>
          <cell r="D1103">
            <v>107.401371428571</v>
          </cell>
          <cell r="E1103">
            <v>1</v>
          </cell>
          <cell r="F1103">
            <v>123.511577142857</v>
          </cell>
        </row>
        <row r="1104">
          <cell r="A1104" t="str">
            <v>PUL01</v>
          </cell>
          <cell r="B1104" t="str">
            <v>Pulido de piso con maquina</v>
          </cell>
          <cell r="C1104" t="str">
            <v>M2</v>
          </cell>
          <cell r="D1104">
            <v>25.06032</v>
          </cell>
        </row>
        <row r="1104">
          <cell r="F1104">
            <v>28.819368</v>
          </cell>
        </row>
        <row r="1105">
          <cell r="A1105" t="str">
            <v>RAJU</v>
          </cell>
          <cell r="B1105" t="str">
            <v>Instalacion de piedrita rajuela en muro de piedra</v>
          </cell>
          <cell r="C1105" t="str">
            <v>M2</v>
          </cell>
          <cell r="D1105">
            <v>182.036222760291</v>
          </cell>
        </row>
        <row r="1105">
          <cell r="F1105">
            <v>209.341656174334</v>
          </cell>
        </row>
        <row r="1106">
          <cell r="A1106" t="str">
            <v>RAJUELA</v>
          </cell>
          <cell r="B1106" t="str">
            <v>Muro de piedra de rajuela </v>
          </cell>
          <cell r="C1106" t="str">
            <v>M2</v>
          </cell>
          <cell r="D1106">
            <v>971.33023255814</v>
          </cell>
        </row>
        <row r="1106">
          <cell r="F1106">
            <v>1117.02976744186</v>
          </cell>
        </row>
        <row r="1107">
          <cell r="A1107" t="str">
            <v>RASPT</v>
          </cell>
          <cell r="B1107" t="str">
            <v>Raspado de tecata de lechada de cemento suelta sobre ladrillo</v>
          </cell>
          <cell r="C1107" t="str">
            <v>M2</v>
          </cell>
          <cell r="D1107">
            <v>8.4472988764045</v>
          </cell>
        </row>
        <row r="1107">
          <cell r="F1107">
            <v>9.71439370786517</v>
          </cell>
        </row>
        <row r="1108">
          <cell r="A1108" t="str">
            <v>REB01</v>
          </cell>
          <cell r="B1108" t="str">
            <v>Rebajar castillo, dala</v>
          </cell>
          <cell r="C1108" t="str">
            <v>ML</v>
          </cell>
          <cell r="D1108">
            <v>57.8315076923077</v>
          </cell>
        </row>
        <row r="1108">
          <cell r="F1108">
            <v>66.5062338461538</v>
          </cell>
        </row>
        <row r="1109">
          <cell r="A1109" t="str">
            <v>REB02</v>
          </cell>
          <cell r="B1109" t="str">
            <v>Rebajar trabe de concreto marro y cincel</v>
          </cell>
          <cell r="C1109" t="str">
            <v>ML</v>
          </cell>
          <cell r="D1109">
            <v>125.3016</v>
          </cell>
        </row>
        <row r="1109">
          <cell r="F1109">
            <v>144.09684</v>
          </cell>
        </row>
        <row r="1110">
          <cell r="A1110" t="str">
            <v>REC01</v>
          </cell>
          <cell r="B1110" t="str">
            <v>Recibir caja con chalupa</v>
          </cell>
          <cell r="C1110" t="str">
            <v>PZA</v>
          </cell>
          <cell r="D1110">
            <v>37.59048</v>
          </cell>
          <cell r="E1110">
            <v>1</v>
          </cell>
          <cell r="F1110">
            <v>43.229052</v>
          </cell>
        </row>
        <row r="1111">
          <cell r="A1111" t="str">
            <v>REC02</v>
          </cell>
          <cell r="B1111" t="str">
            <v>Recibir cespol con revoltura</v>
          </cell>
          <cell r="C1111" t="str">
            <v>PZA</v>
          </cell>
          <cell r="D1111">
            <v>83.5344</v>
          </cell>
          <cell r="E1111">
            <v>1</v>
          </cell>
          <cell r="F1111">
            <v>96.06456</v>
          </cell>
        </row>
        <row r="1112">
          <cell r="A1112" t="str">
            <v>REC03</v>
          </cell>
          <cell r="B1112" t="str">
            <v>Recibir contramarco de registro</v>
          </cell>
          <cell r="C1112" t="str">
            <v>PZA</v>
          </cell>
          <cell r="D1112">
            <v>93.9762</v>
          </cell>
        </row>
        <row r="1112">
          <cell r="F1112">
            <v>108.07263</v>
          </cell>
        </row>
        <row r="1113">
          <cell r="A1113" t="str">
            <v>REC04</v>
          </cell>
          <cell r="B1113" t="str">
            <v>Recibir placa o ancla en dado p/columna</v>
          </cell>
          <cell r="C1113" t="str">
            <v>PZA</v>
          </cell>
          <cell r="D1113">
            <v>187.9524</v>
          </cell>
        </row>
        <row r="1113">
          <cell r="F1113">
            <v>216.14526</v>
          </cell>
        </row>
        <row r="1114">
          <cell r="A1114" t="str">
            <v>REC05</v>
          </cell>
          <cell r="B1114" t="str">
            <v>Recibir tuberia o poliducto</v>
          </cell>
          <cell r="C1114" t="str">
            <v>ML</v>
          </cell>
          <cell r="D1114">
            <v>15.036192</v>
          </cell>
        </row>
        <row r="1114">
          <cell r="F1114">
            <v>17.2916208</v>
          </cell>
        </row>
        <row r="1115">
          <cell r="A1115" t="str">
            <v>REC06</v>
          </cell>
          <cell r="B1115" t="str">
            <v>Recibir tubo de drenaje 10 "</v>
          </cell>
          <cell r="C1115" t="str">
            <v>ML</v>
          </cell>
          <cell r="D1115">
            <v>50.12064</v>
          </cell>
        </row>
        <row r="1115">
          <cell r="F1115">
            <v>57.638736</v>
          </cell>
        </row>
        <row r="1116">
          <cell r="A1116" t="str">
            <v>REC07</v>
          </cell>
          <cell r="B1116" t="str">
            <v>Recibir tubo de drenaje 4 "</v>
          </cell>
          <cell r="C1116" t="str">
            <v>ML</v>
          </cell>
          <cell r="D1116">
            <v>25.06032</v>
          </cell>
        </row>
        <row r="1116">
          <cell r="F1116">
            <v>28.819368</v>
          </cell>
        </row>
        <row r="1117">
          <cell r="A1117" t="str">
            <v>REC08</v>
          </cell>
          <cell r="B1117" t="str">
            <v>Recibir tubo de drenaje 6 "</v>
          </cell>
          <cell r="C1117" t="str">
            <v>ML</v>
          </cell>
          <cell r="D1117">
            <v>30.072384</v>
          </cell>
        </row>
        <row r="1117">
          <cell r="F1117">
            <v>34.5832416</v>
          </cell>
        </row>
        <row r="1118">
          <cell r="A1118" t="str">
            <v>REC09</v>
          </cell>
          <cell r="B1118" t="str">
            <v>Recibir tubo de drenaje 8 "</v>
          </cell>
          <cell r="C1118" t="str">
            <v>ML</v>
          </cell>
          <cell r="D1118">
            <v>37.59048</v>
          </cell>
        </row>
        <row r="1118">
          <cell r="F1118">
            <v>43.229052</v>
          </cell>
        </row>
        <row r="1119">
          <cell r="A1119" t="str">
            <v>REC10</v>
          </cell>
          <cell r="B1119" t="str">
            <v>Recibir viga de acero sobre macizo</v>
          </cell>
          <cell r="C1119" t="str">
            <v>PZA</v>
          </cell>
          <cell r="D1119">
            <v>83.5344</v>
          </cell>
        </row>
        <row r="1119">
          <cell r="F1119">
            <v>96.06456</v>
          </cell>
        </row>
        <row r="1120">
          <cell r="A1120" t="str">
            <v>REC11</v>
          </cell>
          <cell r="B1120" t="str">
            <v>Recorte de enjarre muros o bovedas</v>
          </cell>
          <cell r="C1120" t="str">
            <v>ML</v>
          </cell>
          <cell r="D1120">
            <v>10.5517136842105</v>
          </cell>
        </row>
        <row r="1120">
          <cell r="F1120">
            <v>12.1344707368421</v>
          </cell>
        </row>
        <row r="1121">
          <cell r="A1121" t="str">
            <v>REC12</v>
          </cell>
          <cell r="B1121" t="str">
            <v>Recibir placa para anclado barandal</v>
          </cell>
          <cell r="C1121" t="str">
            <v>PZA</v>
          </cell>
          <cell r="D1121">
            <v>62.6508</v>
          </cell>
          <cell r="E1121">
            <v>1</v>
          </cell>
          <cell r="F1121">
            <v>72.04842</v>
          </cell>
        </row>
        <row r="1122">
          <cell r="A1122" t="str">
            <v>RECRES</v>
          </cell>
          <cell r="B1122" t="str">
            <v>Recibir y resanar ranura de poliducto en muro o piso</v>
          </cell>
          <cell r="C1122" t="str">
            <v>ML</v>
          </cell>
          <cell r="D1122">
            <v>25.2709109243697</v>
          </cell>
          <cell r="E1122">
            <v>1</v>
          </cell>
          <cell r="F1122">
            <v>29.0615475630252</v>
          </cell>
        </row>
        <row r="1123">
          <cell r="A1123" t="str">
            <v>REG01</v>
          </cell>
          <cell r="B1123" t="str">
            <v>Registro sanitario terminado alt hasta 1.50 con plantilla</v>
          </cell>
          <cell r="C1123" t="str">
            <v>PZA</v>
          </cell>
          <cell r="D1123">
            <v>601.44768</v>
          </cell>
        </row>
        <row r="1123">
          <cell r="F1123">
            <v>691.664832</v>
          </cell>
        </row>
        <row r="1124">
          <cell r="A1124" t="str">
            <v>REG02</v>
          </cell>
          <cell r="B1124" t="str">
            <v>Registro caja arenera terminado incluye plantilla</v>
          </cell>
          <cell r="C1124" t="str">
            <v>PZA</v>
          </cell>
          <cell r="D1124">
            <v>429.605485714286</v>
          </cell>
        </row>
        <row r="1124">
          <cell r="F1124">
            <v>494.046308571429</v>
          </cell>
        </row>
        <row r="1125">
          <cell r="A1125" t="str">
            <v>REG03</v>
          </cell>
          <cell r="B1125" t="str">
            <v>Registro caja arenera con trampa central</v>
          </cell>
          <cell r="C1125" t="str">
            <v>PZA</v>
          </cell>
          <cell r="D1125">
            <v>791.37852631579</v>
          </cell>
        </row>
        <row r="1125">
          <cell r="F1125">
            <v>910.085305263158</v>
          </cell>
        </row>
        <row r="1126">
          <cell r="A1126" t="str">
            <v>RELL01</v>
          </cell>
          <cell r="B1126" t="str">
            <v>Relleno con grava</v>
          </cell>
          <cell r="C1126" t="str">
            <v>M3</v>
          </cell>
          <cell r="D1126">
            <v>50.12064</v>
          </cell>
        </row>
        <row r="1126">
          <cell r="F1126">
            <v>57.638736</v>
          </cell>
        </row>
        <row r="1127">
          <cell r="A1127" t="str">
            <v>RELL02</v>
          </cell>
          <cell r="B1127" t="str">
            <v>Relleno con jalcreto</v>
          </cell>
          <cell r="C1127" t="str">
            <v>M3</v>
          </cell>
          <cell r="D1127">
            <v>250.6032</v>
          </cell>
          <cell r="E1127">
            <v>1</v>
          </cell>
          <cell r="F1127">
            <v>288.19368</v>
          </cell>
        </row>
        <row r="1128">
          <cell r="A1128" t="str">
            <v>RELL03</v>
          </cell>
          <cell r="B1128" t="str">
            <v>Relleno c/ material producto excavacion a cada 20 cms</v>
          </cell>
          <cell r="C1128" t="str">
            <v>M3</v>
          </cell>
          <cell r="D1128">
            <v>44.2240941176471</v>
          </cell>
        </row>
        <row r="1128">
          <cell r="F1128">
            <v>50.8577082352941</v>
          </cell>
        </row>
        <row r="1129">
          <cell r="A1129" t="str">
            <v>RELL04</v>
          </cell>
          <cell r="B1129" t="str">
            <v>Relleno con suelo cemento batido a mano y compactado</v>
          </cell>
          <cell r="C1129" t="str">
            <v>M3</v>
          </cell>
          <cell r="D1129">
            <v>163.082342733189</v>
          </cell>
        </row>
        <row r="1129">
          <cell r="F1129">
            <v>187.544694143167</v>
          </cell>
        </row>
        <row r="1130">
          <cell r="A1130" t="str">
            <v>RELL05</v>
          </cell>
          <cell r="B1130" t="str">
            <v>Relleno con suelo cemento batido a mano y compactado con pizon</v>
          </cell>
          <cell r="C1130" t="str">
            <v>M3</v>
          </cell>
          <cell r="D1130">
            <v>179.858755980861</v>
          </cell>
        </row>
        <row r="1130">
          <cell r="F1130">
            <v>206.83756937799</v>
          </cell>
        </row>
        <row r="1131">
          <cell r="A1131" t="str">
            <v>RELLT</v>
          </cell>
          <cell r="B1131" t="str">
            <v>Relleno de cepas y zapatas con tepetate capas 20 cms</v>
          </cell>
          <cell r="C1131" t="str">
            <v>M3</v>
          </cell>
          <cell r="D1131">
            <v>125.3016</v>
          </cell>
        </row>
        <row r="1131">
          <cell r="F1131">
            <v>144.09684</v>
          </cell>
        </row>
        <row r="1132">
          <cell r="A1132" t="str">
            <v>RELLZAP</v>
          </cell>
          <cell r="B1132" t="str">
            <v>Relleno de zapatas con suelo cemento batido capas 20 cms</v>
          </cell>
          <cell r="C1132" t="str">
            <v>M3</v>
          </cell>
          <cell r="D1132">
            <v>163.082342733189</v>
          </cell>
        </row>
        <row r="1132">
          <cell r="F1132">
            <v>187.544694143167</v>
          </cell>
        </row>
        <row r="1133">
          <cell r="A1133" t="str">
            <v>REN01</v>
          </cell>
          <cell r="B1133" t="str">
            <v>Cimiento renchido de 0.00-1.50</v>
          </cell>
          <cell r="C1133" t="str">
            <v>M3</v>
          </cell>
          <cell r="D1133">
            <v>250.6032</v>
          </cell>
          <cell r="E1133">
            <v>1</v>
          </cell>
          <cell r="F1133">
            <v>288.19368</v>
          </cell>
        </row>
        <row r="1134">
          <cell r="A1134" t="str">
            <v>REN02</v>
          </cell>
          <cell r="B1134" t="str">
            <v>Cimiento renchido de 1.50-3.00</v>
          </cell>
          <cell r="C1134" t="str">
            <v>M3</v>
          </cell>
          <cell r="D1134">
            <v>351.312897196262</v>
          </cell>
          <cell r="E1134">
            <v>1</v>
          </cell>
          <cell r="F1134">
            <v>404.009831775701</v>
          </cell>
        </row>
        <row r="1135">
          <cell r="A1135" t="str">
            <v>REP01</v>
          </cell>
          <cell r="B1135" t="str">
            <v>Repatinar viga</v>
          </cell>
          <cell r="C1135" t="str">
            <v>ML</v>
          </cell>
          <cell r="D1135">
            <v>12.53016</v>
          </cell>
          <cell r="E1135">
            <v>1</v>
          </cell>
          <cell r="F1135">
            <v>14.409684</v>
          </cell>
        </row>
        <row r="1136">
          <cell r="A1136" t="str">
            <v>REP02</v>
          </cell>
          <cell r="B1136" t="str">
            <v>Repellado de hormigon, piso o concreto c/lechada</v>
          </cell>
          <cell r="C1136" t="str">
            <v>M2</v>
          </cell>
          <cell r="D1136">
            <v>25.06032</v>
          </cell>
          <cell r="E1136">
            <v>1</v>
          </cell>
          <cell r="F1136">
            <v>28.819368</v>
          </cell>
        </row>
        <row r="1137">
          <cell r="A1137" t="str">
            <v>REP03</v>
          </cell>
          <cell r="B1137" t="str">
            <v>Repizon esp. 15 cms con colado y perfilado</v>
          </cell>
          <cell r="C1137" t="str">
            <v>ML</v>
          </cell>
          <cell r="D1137">
            <v>375.9048</v>
          </cell>
          <cell r="E1137">
            <v>1</v>
          </cell>
          <cell r="F1137">
            <v>432.29052</v>
          </cell>
        </row>
        <row r="1138">
          <cell r="A1138" t="str">
            <v>REP03C</v>
          </cell>
          <cell r="B1138" t="str">
            <v>Repizon esp. 25 cms con colado y perfilado en cocinas</v>
          </cell>
          <cell r="C1138" t="str">
            <v>ML</v>
          </cell>
          <cell r="D1138">
            <v>375.9048</v>
          </cell>
          <cell r="E1138">
            <v>1</v>
          </cell>
          <cell r="F1138">
            <v>432.29052</v>
          </cell>
        </row>
        <row r="1139">
          <cell r="A1139" t="str">
            <v>RESID</v>
          </cell>
          <cell r="B1139" t="str">
            <v>RESIDENCIA DE OBRA</v>
          </cell>
          <cell r="C1139" t="str">
            <v>LOTE</v>
          </cell>
          <cell r="D1139">
            <v>100</v>
          </cell>
        </row>
        <row r="1140">
          <cell r="A1140" t="str">
            <v>RES01</v>
          </cell>
          <cell r="B1140" t="str">
            <v>Resane de enjarre por ranuras</v>
          </cell>
          <cell r="C1140" t="str">
            <v>ML</v>
          </cell>
          <cell r="D1140">
            <v>18.79524</v>
          </cell>
          <cell r="E1140">
            <v>1</v>
          </cell>
          <cell r="F1140">
            <v>21.614526</v>
          </cell>
        </row>
        <row r="1141">
          <cell r="A1141" t="str">
            <v>SABT</v>
          </cell>
          <cell r="B1141" t="str">
            <v>Sabado por la tarde</v>
          </cell>
          <cell r="C1141" t="str">
            <v>LOTE</v>
          </cell>
          <cell r="D1141">
            <v>100</v>
          </cell>
        </row>
        <row r="1141">
          <cell r="F1141">
            <v>100</v>
          </cell>
        </row>
        <row r="1142">
          <cell r="A1142" t="str">
            <v>SAR01</v>
          </cell>
          <cell r="B1142" t="str">
            <v>Sardinel cimbrado ,colado y perfilado</v>
          </cell>
          <cell r="C1142" t="str">
            <v>ML</v>
          </cell>
          <cell r="D1142">
            <v>187.9524</v>
          </cell>
          <cell r="E1142">
            <v>1</v>
          </cell>
          <cell r="F1142">
            <v>216.14526</v>
          </cell>
        </row>
        <row r="1143">
          <cell r="A1143" t="str">
            <v>SAR02</v>
          </cell>
          <cell r="B1143" t="str">
            <v>Sarpeo de boveda</v>
          </cell>
          <cell r="C1143" t="str">
            <v>M2</v>
          </cell>
          <cell r="D1143">
            <v>30.072384</v>
          </cell>
          <cell r="E1143">
            <v>1</v>
          </cell>
          <cell r="F1143">
            <v>34.5832416</v>
          </cell>
        </row>
        <row r="1144">
          <cell r="A1144" t="str">
            <v>SAR03</v>
          </cell>
          <cell r="B1144" t="str">
            <v>Sarpeo de dalas y castillos</v>
          </cell>
          <cell r="C1144" t="str">
            <v>ML</v>
          </cell>
          <cell r="D1144">
            <v>8.35344</v>
          </cell>
          <cell r="E1144">
            <v>1</v>
          </cell>
          <cell r="F1144">
            <v>9.606456</v>
          </cell>
        </row>
        <row r="1145">
          <cell r="A1145" t="str">
            <v>SAR04</v>
          </cell>
          <cell r="B1145" t="str">
            <v>Sarpeo de muro con cemento</v>
          </cell>
          <cell r="C1145" t="str">
            <v>M2</v>
          </cell>
          <cell r="D1145">
            <v>20.048256</v>
          </cell>
          <cell r="E1145">
            <v>1</v>
          </cell>
          <cell r="F1145">
            <v>23.0554944</v>
          </cell>
        </row>
        <row r="1146">
          <cell r="A1146" t="str">
            <v>SAR04f</v>
          </cell>
          <cell r="B1146" t="str">
            <v>Sarpeo de muro con manoseo para cubrir porocidad</v>
          </cell>
          <cell r="C1146" t="str">
            <v>M2</v>
          </cell>
          <cell r="D1146">
            <v>28.9157538461538</v>
          </cell>
          <cell r="E1146">
            <v>1</v>
          </cell>
          <cell r="F1146">
            <v>33.2531169230769</v>
          </cell>
        </row>
        <row r="1147">
          <cell r="A1147" t="str">
            <v>SAR05</v>
          </cell>
          <cell r="B1147" t="str">
            <v>Sarpeo de panel</v>
          </cell>
          <cell r="C1147" t="str">
            <v>M2</v>
          </cell>
          <cell r="D1147">
            <v>25.06032</v>
          </cell>
          <cell r="E1147">
            <v>1</v>
          </cell>
          <cell r="F1147">
            <v>28.819368</v>
          </cell>
        </row>
        <row r="1148">
          <cell r="A1148" t="str">
            <v>SAR06</v>
          </cell>
          <cell r="B1148" t="str">
            <v>Sarpeo de vigas</v>
          </cell>
          <cell r="C1148" t="str">
            <v>ML</v>
          </cell>
          <cell r="D1148">
            <v>12.53016</v>
          </cell>
          <cell r="E1148">
            <v>1</v>
          </cell>
          <cell r="F1148">
            <v>14.409684</v>
          </cell>
        </row>
        <row r="1149">
          <cell r="A1149" t="str">
            <v>SAR07</v>
          </cell>
          <cell r="B1149" t="str">
            <v>sarpeo de columnas o vigas con crest y festerbond</v>
          </cell>
          <cell r="C1149" t="str">
            <v>ML</v>
          </cell>
          <cell r="D1149">
            <v>8.35344</v>
          </cell>
          <cell r="E1149">
            <v>1</v>
          </cell>
          <cell r="F1149">
            <v>9.606456</v>
          </cell>
        </row>
        <row r="1150">
          <cell r="A1150" t="str">
            <v>SELLS</v>
          </cell>
          <cell r="B1150" t="str">
            <v>Sellado con silicon en esquinas muros ,muebles y puertas</v>
          </cell>
          <cell r="C1150" t="str">
            <v>ML</v>
          </cell>
          <cell r="D1150">
            <v>5.78315076923077</v>
          </cell>
        </row>
        <row r="1150">
          <cell r="F1150">
            <v>6.65062338461538</v>
          </cell>
        </row>
        <row r="1151">
          <cell r="A1151" t="str">
            <v>SILL01</v>
          </cell>
          <cell r="B1151" t="str">
            <v>Silletas para mallalack</v>
          </cell>
          <cell r="C1151" t="str">
            <v>PZA</v>
          </cell>
          <cell r="D1151">
            <v>10.024128</v>
          </cell>
        </row>
        <row r="1151">
          <cell r="F1151">
            <v>11.5277472</v>
          </cell>
        </row>
        <row r="1152">
          <cell r="A1152" t="str">
            <v>SOL01</v>
          </cell>
          <cell r="B1152" t="str">
            <v>Soldadura estructural de perfiles metalicos</v>
          </cell>
          <cell r="C1152" t="str">
            <v>KG</v>
          </cell>
          <cell r="D1152">
            <v>5.25</v>
          </cell>
        </row>
        <row r="1153">
          <cell r="A1153" t="str">
            <v>SOL02</v>
          </cell>
          <cell r="B1153" t="str">
            <v>Soldadura estructural de perfiles laminares</v>
          </cell>
          <cell r="C1153" t="str">
            <v>KG</v>
          </cell>
          <cell r="D1153">
            <v>7.56</v>
          </cell>
        </row>
        <row r="1154">
          <cell r="A1154" t="str">
            <v>SOL03</v>
          </cell>
          <cell r="B1154" t="str">
            <v>Punteada con soldadura en varillas</v>
          </cell>
          <cell r="C1154" t="str">
            <v>PZA</v>
          </cell>
        </row>
        <row r="1155">
          <cell r="A1155" t="str">
            <v>TAP01</v>
          </cell>
          <cell r="B1155" t="str">
            <v>Tapa de registro armada,cimbrada y colada</v>
          </cell>
          <cell r="C1155" t="str">
            <v>PZA</v>
          </cell>
          <cell r="D1155">
            <v>93.9762</v>
          </cell>
          <cell r="E1155">
            <v>1</v>
          </cell>
          <cell r="F1155">
            <v>108.07263</v>
          </cell>
        </row>
        <row r="1156">
          <cell r="A1156" t="str">
            <v>TAP02</v>
          </cell>
          <cell r="B1156" t="str">
            <v>Taponeo de muro o pasada registro o cimiento</v>
          </cell>
          <cell r="C1156" t="str">
            <v>PZA</v>
          </cell>
          <cell r="D1156">
            <v>62.6508</v>
          </cell>
          <cell r="E1156">
            <v>1</v>
          </cell>
          <cell r="F1156">
            <v>72.04842</v>
          </cell>
        </row>
        <row r="1157">
          <cell r="A1157" t="str">
            <v>TELA1</v>
          </cell>
          <cell r="B1157" t="str">
            <v>Colocacion de tela de alambre en boveda</v>
          </cell>
          <cell r="C1157" t="str">
            <v>M2</v>
          </cell>
          <cell r="D1157">
            <v>30.072384</v>
          </cell>
        </row>
        <row r="1157">
          <cell r="F1157">
            <v>34.5832416</v>
          </cell>
        </row>
        <row r="1158">
          <cell r="A1158" t="str">
            <v>TELA2</v>
          </cell>
          <cell r="B1158" t="str">
            <v>Colocacion de tela de alambre en dala o castillos</v>
          </cell>
          <cell r="C1158" t="str">
            <v>ML</v>
          </cell>
          <cell r="D1158">
            <v>15.036192</v>
          </cell>
        </row>
        <row r="1158">
          <cell r="F1158">
            <v>17.2916208</v>
          </cell>
        </row>
        <row r="1159">
          <cell r="A1159" t="str">
            <v>TELA3</v>
          </cell>
          <cell r="B1159" t="str">
            <v>Colocacion de tela de alambre en muro</v>
          </cell>
          <cell r="C1159" t="str">
            <v>M2</v>
          </cell>
          <cell r="D1159">
            <v>21.4802742857143</v>
          </cell>
        </row>
        <row r="1159">
          <cell r="F1159">
            <v>24.7023154285714</v>
          </cell>
        </row>
        <row r="1160">
          <cell r="A1160" t="str">
            <v>TELA4</v>
          </cell>
          <cell r="B1160" t="str">
            <v>Colocacion de tela de alambre en azotea</v>
          </cell>
          <cell r="C1160" t="str">
            <v>M2</v>
          </cell>
          <cell r="D1160">
            <v>15.036192</v>
          </cell>
        </row>
        <row r="1160">
          <cell r="F1160">
            <v>17.2916208</v>
          </cell>
        </row>
        <row r="1161">
          <cell r="A1161" t="str">
            <v>TELA5</v>
          </cell>
          <cell r="B1161" t="str">
            <v>Colocacion de tela de alambre sobre cimbra c/amarre a trabes</v>
          </cell>
          <cell r="C1161" t="str">
            <v>M2</v>
          </cell>
          <cell r="D1161">
            <v>7.518096</v>
          </cell>
        </row>
        <row r="1161">
          <cell r="F1161">
            <v>8.6458104</v>
          </cell>
        </row>
        <row r="1162">
          <cell r="A1162" t="str">
            <v>TIR01</v>
          </cell>
          <cell r="B1162" t="str">
            <v>Tirantes de varilla en boveda</v>
          </cell>
          <cell r="C1162" t="str">
            <v>ML</v>
          </cell>
          <cell r="D1162">
            <v>18.79524</v>
          </cell>
        </row>
        <row r="1162">
          <cell r="F1162">
            <v>21.614526</v>
          </cell>
        </row>
        <row r="1163">
          <cell r="A1163" t="str">
            <v>TOPE</v>
          </cell>
          <cell r="B1163" t="str">
            <v>Tope, arm.cimbra, colado y anclado</v>
          </cell>
          <cell r="C1163" t="str">
            <v>PZA</v>
          </cell>
          <cell r="D1163">
            <v>93.9762</v>
          </cell>
        </row>
        <row r="1163">
          <cell r="F1163">
            <v>108.07263</v>
          </cell>
        </row>
        <row r="1164">
          <cell r="A1164" t="str">
            <v>TOPE2</v>
          </cell>
          <cell r="B1164" t="str">
            <v>Trazo, nivelacion y recibir tope prefabricado con masilla</v>
          </cell>
          <cell r="C1164" t="str">
            <v>PZA</v>
          </cell>
          <cell r="D1164">
            <v>46.9881</v>
          </cell>
        </row>
        <row r="1164">
          <cell r="F1164">
            <v>54.036315</v>
          </cell>
        </row>
        <row r="1165">
          <cell r="A1165" t="str">
            <v>TOPO1</v>
          </cell>
          <cell r="B1165" t="str">
            <v>Topografia </v>
          </cell>
          <cell r="C1165" t="str">
            <v>HORA</v>
          </cell>
          <cell r="D1165">
            <v>250</v>
          </cell>
        </row>
        <row r="1166">
          <cell r="A1166" t="str">
            <v>TOPO2</v>
          </cell>
          <cell r="B1166" t="str">
            <v>Topografia </v>
          </cell>
          <cell r="C1166" t="str">
            <v>HORA</v>
          </cell>
          <cell r="D1166">
            <v>275</v>
          </cell>
        </row>
        <row r="1167">
          <cell r="A1167" t="str">
            <v>TRA01</v>
          </cell>
          <cell r="B1167" t="str">
            <v>Traslapes en castillos y dalas</v>
          </cell>
          <cell r="C1167" t="str">
            <v>PZA</v>
          </cell>
          <cell r="D1167">
            <v>18.79524</v>
          </cell>
        </row>
        <row r="1167">
          <cell r="F1167">
            <v>21.614526</v>
          </cell>
        </row>
        <row r="1168">
          <cell r="A1168" t="str">
            <v>TRA02</v>
          </cell>
          <cell r="B1168" t="str">
            <v>Traslapes en varillas muro de panel</v>
          </cell>
          <cell r="C1168" t="str">
            <v>PZA</v>
          </cell>
          <cell r="D1168">
            <v>9.39762</v>
          </cell>
        </row>
        <row r="1168">
          <cell r="F1168">
            <v>10.807263</v>
          </cell>
        </row>
        <row r="1169">
          <cell r="A1169" t="str">
            <v>TRA03</v>
          </cell>
          <cell r="B1169" t="str">
            <v>Traspaleo 0.00-10.00 mts</v>
          </cell>
          <cell r="C1169" t="str">
            <v>M3</v>
          </cell>
          <cell r="D1169">
            <v>68.3463272727273</v>
          </cell>
        </row>
        <row r="1169">
          <cell r="F1169">
            <v>78.5982763636364</v>
          </cell>
        </row>
        <row r="1170">
          <cell r="A1170" t="str">
            <v>TRA04</v>
          </cell>
          <cell r="B1170" t="str">
            <v>Traspaleo de 0.00-30.00 mts acarreo carretilla</v>
          </cell>
          <cell r="C1170" t="str">
            <v>M3</v>
          </cell>
          <cell r="D1170">
            <v>136.692654545455</v>
          </cell>
        </row>
        <row r="1170">
          <cell r="F1170">
            <v>157.196552727273</v>
          </cell>
        </row>
        <row r="1171">
          <cell r="A1171" t="str">
            <v>TRA05</v>
          </cell>
          <cell r="B1171" t="str">
            <v>Traspaleo de 0.00-50.00 mts acarreo carretilla</v>
          </cell>
          <cell r="C1171" t="str">
            <v>M3</v>
          </cell>
          <cell r="D1171">
            <v>187.9524</v>
          </cell>
        </row>
        <row r="1171">
          <cell r="F1171">
            <v>216.14526</v>
          </cell>
        </row>
        <row r="1172">
          <cell r="A1172" t="str">
            <v>TRA06</v>
          </cell>
          <cell r="B1172" t="str">
            <v>Traspaleo a botes mezcla o escombro distancia 15 mts</v>
          </cell>
          <cell r="C1172" t="str">
            <v>M3</v>
          </cell>
          <cell r="D1172">
            <v>150.36192</v>
          </cell>
        </row>
        <row r="1172">
          <cell r="F1172">
            <v>172.916208</v>
          </cell>
        </row>
        <row r="1173">
          <cell r="A1173" t="str">
            <v>TRA07</v>
          </cell>
          <cell r="B1173" t="str">
            <v>Trazo y nivelacion de terreno</v>
          </cell>
          <cell r="C1173" t="str">
            <v>M2</v>
          </cell>
          <cell r="D1173">
            <v>2.506032</v>
          </cell>
        </row>
        <row r="1173">
          <cell r="F1173">
            <v>2.8819368</v>
          </cell>
        </row>
        <row r="1174">
          <cell r="A1174" t="str">
            <v>TUBO38</v>
          </cell>
          <cell r="B1174" t="str">
            <v>Instalacion de tubo de concreto diametro 38 cms</v>
          </cell>
          <cell r="C1174" t="str">
            <v>ML</v>
          </cell>
          <cell r="D1174">
            <v>50.12064</v>
          </cell>
        </row>
        <row r="1174">
          <cell r="F1174">
            <v>57.638736</v>
          </cell>
        </row>
        <row r="1175">
          <cell r="A1175" t="str">
            <v>TUBO45</v>
          </cell>
          <cell r="B1175" t="str">
            <v>Instalacion de tubo de concreto diametro 45 cms</v>
          </cell>
          <cell r="C1175" t="str">
            <v>ML</v>
          </cell>
          <cell r="D1175">
            <v>75.18096</v>
          </cell>
        </row>
        <row r="1175">
          <cell r="F1175">
            <v>86.458104</v>
          </cell>
        </row>
        <row r="1176">
          <cell r="A1176" t="str">
            <v>VEL01</v>
          </cell>
          <cell r="B1176" t="str">
            <v>Velador</v>
          </cell>
          <cell r="C1176" t="str">
            <v>JORNAL</v>
          </cell>
          <cell r="D1176">
            <v>337.98</v>
          </cell>
        </row>
        <row r="1176">
          <cell r="F1176">
            <v>240</v>
          </cell>
        </row>
        <row r="1177">
          <cell r="A1177" t="str">
            <v>VER01</v>
          </cell>
          <cell r="B1177" t="str">
            <v>Vertedero, forjado y terminado</v>
          </cell>
          <cell r="C1177" t="str">
            <v>ML</v>
          </cell>
          <cell r="D1177">
            <v>375.9048</v>
          </cell>
        </row>
        <row r="1177">
          <cell r="F1177">
            <v>432.29052</v>
          </cell>
        </row>
        <row r="1178">
          <cell r="A1178" t="str">
            <v>VIAL</v>
          </cell>
          <cell r="B1178" t="str">
            <v>Instalacion de vialeta en pisos de estacionamiento</v>
          </cell>
          <cell r="C1178" t="str">
            <v>PZA</v>
          </cell>
          <cell r="D1178">
            <v>11.7654084507042</v>
          </cell>
        </row>
        <row r="1178">
          <cell r="F1178">
            <v>13.5302197183099</v>
          </cell>
        </row>
        <row r="1179">
          <cell r="A1179" t="str">
            <v>VIGAMA</v>
          </cell>
          <cell r="B1179" t="str">
            <v>Corte, colocacion y nivelacion de viga de madera para cubiertas</v>
          </cell>
          <cell r="C1179" t="str">
            <v>ML</v>
          </cell>
          <cell r="D1179">
            <v>60.6787409200969</v>
          </cell>
        </row>
        <row r="1179">
          <cell r="F1179">
            <v>69.7805520581114</v>
          </cell>
        </row>
        <row r="1180">
          <cell r="A1180" t="str">
            <v>VITRO</v>
          </cell>
          <cell r="B1180" t="str">
            <v>Vitroblock, instalacion por pza. incluye limpieza</v>
          </cell>
          <cell r="C1180" t="str">
            <v>PZA</v>
          </cell>
          <cell r="D1180">
            <v>24.2519225806452</v>
          </cell>
        </row>
        <row r="1180">
          <cell r="F1180">
            <v>27.8897109677419</v>
          </cell>
        </row>
        <row r="1181">
          <cell r="A1181" t="str">
            <v>ZAP01</v>
          </cell>
          <cell r="B1181" t="str">
            <v>Colado de zapata rev. Hecha en obra, c/traspaleos</v>
          </cell>
          <cell r="C1181" t="str">
            <v>M3</v>
          </cell>
          <cell r="D1181">
            <v>375.9048</v>
          </cell>
          <cell r="E1181">
            <v>1</v>
          </cell>
          <cell r="F1181">
            <v>432.29052</v>
          </cell>
        </row>
        <row r="1182">
          <cell r="A1182" t="str">
            <v>ZAP02</v>
          </cell>
          <cell r="B1182" t="str">
            <v>Colado de zapata rev. Premezclada</v>
          </cell>
          <cell r="C1182" t="str">
            <v>M3</v>
          </cell>
          <cell r="D1182">
            <v>187.9524</v>
          </cell>
        </row>
        <row r="1182">
          <cell r="F1182">
            <v>216.14526</v>
          </cell>
        </row>
        <row r="1183">
          <cell r="A1183" t="str">
            <v>ZAV01</v>
          </cell>
          <cell r="B1183" t="str">
            <v>Zavaleta con revoltura</v>
          </cell>
          <cell r="C1183" t="str">
            <v>ML</v>
          </cell>
          <cell r="D1183">
            <v>55.1566851674641</v>
          </cell>
          <cell r="E1183">
            <v>1</v>
          </cell>
          <cell r="F1183">
            <v>63.4301879425837</v>
          </cell>
        </row>
        <row r="1184">
          <cell r="A1184" t="str">
            <v>ZAV02</v>
          </cell>
          <cell r="B1184" t="str">
            <v>Zavaleta de 1/2 ladrillo</v>
          </cell>
          <cell r="C1184" t="str">
            <v>ML</v>
          </cell>
          <cell r="D1184">
            <v>35.9717511961723</v>
          </cell>
          <cell r="E1184">
            <v>1</v>
          </cell>
          <cell r="F1184">
            <v>41.3675138755981</v>
          </cell>
        </row>
        <row r="1185">
          <cell r="A1185" t="str">
            <v>ZAV03</v>
          </cell>
          <cell r="B1185" t="str">
            <v>Zavaleta ladrillo entero</v>
          </cell>
          <cell r="C1185" t="str">
            <v>ML</v>
          </cell>
          <cell r="D1185">
            <v>35.9717511961723</v>
          </cell>
          <cell r="E1185">
            <v>1</v>
          </cell>
          <cell r="F1185">
            <v>41.3675138755981</v>
          </cell>
        </row>
        <row r="1186">
          <cell r="A1186" t="str">
            <v>ZOC01</v>
          </cell>
          <cell r="B1186" t="str">
            <v>Zoclo de ceramica cortado</v>
          </cell>
          <cell r="C1186" t="str">
            <v>ML</v>
          </cell>
          <cell r="D1186">
            <v>53.7006857142857</v>
          </cell>
        </row>
        <row r="1186">
          <cell r="F1186">
            <v>61.7557885714286</v>
          </cell>
        </row>
        <row r="1187">
          <cell r="A1187" t="str">
            <v>ZOC01C</v>
          </cell>
          <cell r="B1187" t="str">
            <v>Zoclo de ceramica en casa habitacion</v>
          </cell>
          <cell r="C1187" t="str">
            <v>ML</v>
          </cell>
          <cell r="D1187">
            <v>30</v>
          </cell>
        </row>
        <row r="1187">
          <cell r="F1187">
            <v>34.5</v>
          </cell>
        </row>
        <row r="1188">
          <cell r="A1188" t="str">
            <v>ZOC02</v>
          </cell>
          <cell r="B1188" t="str">
            <v>Zoclo de ladrillo peron, incluye corte, ranura y resane</v>
          </cell>
          <cell r="C1188" t="str">
            <v>ML</v>
          </cell>
          <cell r="D1188">
            <v>100.24128</v>
          </cell>
        </row>
        <row r="1188">
          <cell r="F1188">
            <v>115.277472</v>
          </cell>
        </row>
        <row r="1194">
          <cell r="A1194" t="str">
            <v>PONTO QUITO PRECIOS</v>
          </cell>
        </row>
        <row r="1196">
          <cell r="A1196" t="str">
            <v>CVE</v>
          </cell>
          <cell r="B1196" t="str">
            <v>CONCEPTO</v>
          </cell>
          <cell r="C1196" t="str">
            <v>UNIDAD</v>
          </cell>
          <cell r="D1196" t="str">
            <v>P.UNIT.</v>
          </cell>
        </row>
        <row r="1198">
          <cell r="A1198" t="str">
            <v>PQcc20x20</v>
          </cell>
          <cell r="B1198" t="str">
            <v>Armado de castillo 15x15 varilla 1/2" y est 3/8", cimbra y colado 20x20</v>
          </cell>
          <cell r="C1198" t="str">
            <v>ML</v>
          </cell>
          <cell r="D1198">
            <v>600</v>
          </cell>
        </row>
        <row r="1199">
          <cell r="A1199" t="str">
            <v>PQcc25x20</v>
          </cell>
          <cell r="B1199" t="str">
            <v>Armado de castillo 20x15 varilla 1/2" y est 3/8", cimbra y colado 25x20</v>
          </cell>
          <cell r="C1199" t="str">
            <v>ML</v>
          </cell>
          <cell r="D1199">
            <v>650</v>
          </cell>
        </row>
        <row r="1200">
          <cell r="A1200" t="str">
            <v>PQcc30x20</v>
          </cell>
          <cell r="B1200" t="str">
            <v>Armado de castillo 25x15 varilla 1/2" y est 3/8", cimbra y colado 30x20</v>
          </cell>
          <cell r="C1200" t="str">
            <v>ML</v>
          </cell>
          <cell r="D1200">
            <v>700</v>
          </cell>
        </row>
        <row r="1201">
          <cell r="A1201" t="str">
            <v>PQtb20x50</v>
          </cell>
          <cell r="B1201" t="str">
            <v>Armado de trabe de 45x15 varilla 1/2" y estribos 3/8" cimbra y colado 20x50</v>
          </cell>
          <cell r="C1201" t="str">
            <v>ML</v>
          </cell>
          <cell r="D1201">
            <v>1000</v>
          </cell>
        </row>
        <row r="1202">
          <cell r="A1202" t="str">
            <v>PQzap1x85</v>
          </cell>
          <cell r="B1202" t="str">
            <v>Armado de parrilla 1x85 varilla 1/2" @20 cms cimbra y colado 85x20</v>
          </cell>
          <cell r="C1202" t="str">
            <v>ML</v>
          </cell>
          <cell r="D1202">
            <v>800</v>
          </cell>
        </row>
        <row r="1203">
          <cell r="A1203" t="str">
            <v>PQbk14.20.40c</v>
          </cell>
          <cell r="B1203" t="str">
            <v>Muro de block de 14x20x40 capuchino colocando andamios h= 4mts</v>
          </cell>
          <cell r="C1203" t="str">
            <v>M2</v>
          </cell>
          <cell r="D1203">
            <v>200</v>
          </cell>
        </row>
        <row r="1204">
          <cell r="A1204" t="str">
            <v>PQbk14.20.40s</v>
          </cell>
          <cell r="B1204" t="str">
            <v>Muro de block de 14x20x40 soga colocando andamios h= 4mts</v>
          </cell>
          <cell r="C1204" t="str">
            <v>M2</v>
          </cell>
          <cell r="D1204">
            <v>200</v>
          </cell>
        </row>
        <row r="1205">
          <cell r="A1205" t="str">
            <v>PQbk14.20.40t</v>
          </cell>
          <cell r="B1205" t="str">
            <v>Muro de block de 14x20x40 tezon contencion 0-2.00 h</v>
          </cell>
          <cell r="C1205" t="str">
            <v>M2</v>
          </cell>
          <cell r="D1205">
            <v>400</v>
          </cell>
        </row>
        <row r="1206">
          <cell r="A1206" t="str">
            <v>PQbk14.20.40t2</v>
          </cell>
          <cell r="B1206" t="str">
            <v>Muro de block de 14x20x40 tezon contencion 2.00 h andamios</v>
          </cell>
          <cell r="C1206" t="str">
            <v>M2</v>
          </cell>
          <cell r="D1206">
            <v>500</v>
          </cell>
        </row>
        <row r="1207">
          <cell r="A1207" t="str">
            <v>PQmam1r80</v>
          </cell>
          <cell r="B1207" t="str">
            <v>Pegado de muro de piedra 1 rostro arranque 80 cms alto 1</v>
          </cell>
          <cell r="C1207" t="str">
            <v>ML</v>
          </cell>
          <cell r="D1207">
            <v>1000</v>
          </cell>
        </row>
        <row r="1208">
          <cell r="A1208" t="str">
            <v>PQmam1r80-60</v>
          </cell>
          <cell r="B1208" t="str">
            <v>Pegado de muro de piedra 1 rostro 80 a 60 cms alto 1</v>
          </cell>
          <cell r="C1208" t="str">
            <v>ML</v>
          </cell>
          <cell r="D1208">
            <v>1000</v>
          </cell>
        </row>
        <row r="1209">
          <cell r="A1209" t="str">
            <v>PQenj0-3</v>
          </cell>
          <cell r="B1209" t="str">
            <v>Enjarre repellado incluye malla en boquillas, sarpeo y enjarre 0-3.00</v>
          </cell>
          <cell r="C1209" t="str">
            <v>M2</v>
          </cell>
          <cell r="D1209">
            <v>250</v>
          </cell>
        </row>
        <row r="1210">
          <cell r="A1210" t="str">
            <v>PQenj3-5</v>
          </cell>
          <cell r="B1210" t="str">
            <v>Enjarre repellado incluye malla en boquillas, sarpeo y enjarre 3.00-5.00</v>
          </cell>
          <cell r="C1210" t="str">
            <v>M2</v>
          </cell>
          <cell r="D1210">
            <v>300</v>
          </cell>
        </row>
        <row r="1211">
          <cell r="A1211" t="str">
            <v>PQboq2b</v>
          </cell>
          <cell r="B1211" t="str">
            <v>Boquilla con boleado grueso por 2 lados</v>
          </cell>
          <cell r="C1211" t="str">
            <v>ML</v>
          </cell>
          <cell r="D1211">
            <v>250</v>
          </cell>
        </row>
        <row r="1212">
          <cell r="A1212" t="str">
            <v>PQboq1b</v>
          </cell>
          <cell r="B1212" t="str">
            <v>Boquilla con boleado grueso por 1 lado</v>
          </cell>
          <cell r="C1212" t="str">
            <v>ML</v>
          </cell>
          <cell r="D1212">
            <v>150</v>
          </cell>
        </row>
        <row r="1213">
          <cell r="A1213" t="str">
            <v>PQsuecem20</v>
          </cell>
          <cell r="B1213" t="str">
            <v>Relleno con suelo cemento humedo compactado 20 cms espesor, incluye acarreos</v>
          </cell>
          <cell r="C1213" t="str">
            <v>M2</v>
          </cell>
          <cell r="D1213">
            <v>100</v>
          </cell>
        </row>
        <row r="1214">
          <cell r="A1214" t="str">
            <v>PQsuecem40</v>
          </cell>
          <cell r="B1214" t="str">
            <v>Relleno con suelo cemento humedo compactado 40 cms espesor, incluye acarreos</v>
          </cell>
          <cell r="C1214" t="str">
            <v>M2</v>
          </cell>
          <cell r="D1214">
            <v>200</v>
          </cell>
        </row>
        <row r="1215">
          <cell r="A1215" t="str">
            <v>PQsuecem60</v>
          </cell>
          <cell r="B1215" t="str">
            <v>Relleno con suelo cemento humedo compactado 60 cms espesor, incluye acarreos</v>
          </cell>
          <cell r="C1215" t="str">
            <v>M2</v>
          </cell>
          <cell r="D1215">
            <v>300</v>
          </cell>
        </row>
        <row r="1216">
          <cell r="A1216" t="str">
            <v>PQexc1x1x1</v>
          </cell>
          <cell r="B1216" t="str">
            <v>Excavacion para cimentacion de 1.00x1.00x1.00 terreno normal</v>
          </cell>
          <cell r="C1216" t="str">
            <v>ML</v>
          </cell>
          <cell r="D1216">
            <v>500</v>
          </cell>
        </row>
        <row r="1217">
          <cell r="A1217" t="str">
            <v>PQexc1x1x1-2</v>
          </cell>
          <cell r="B1217" t="str">
            <v>Excavacion para cimentacion de 1.00x1.00x1.00 terreno duro cascajo o laja</v>
          </cell>
          <cell r="C1217" t="str">
            <v>ML</v>
          </cell>
          <cell r="D1217">
            <v>500</v>
          </cell>
        </row>
        <row r="1219">
          <cell r="A1219" t="str">
            <v>TAPALPA, PRECIOS DEL PAY</v>
          </cell>
        </row>
        <row r="1221">
          <cell r="A1221" t="str">
            <v>TACEITE</v>
          </cell>
          <cell r="B1221" t="str">
            <v>Limpiar y aplicar aceite o barniz sobre madera</v>
          </cell>
          <cell r="C1221" t="str">
            <v>M2</v>
          </cell>
          <cell r="D1221">
            <v>50</v>
          </cell>
        </row>
        <row r="1222">
          <cell r="A1222" t="str">
            <v>TALB</v>
          </cell>
          <cell r="B1222" t="str">
            <v>Albañil por el día</v>
          </cell>
          <cell r="C1222" t="str">
            <v>JORNAL</v>
          </cell>
          <cell r="D1222">
            <v>600</v>
          </cell>
        </row>
        <row r="1223">
          <cell r="A1223" t="str">
            <v>TARMC</v>
          </cell>
          <cell r="B1223" t="str">
            <v>Armado de castillo con varilla de 3/8" y estribos alambrón @ 20 cms</v>
          </cell>
          <cell r="C1223" t="str">
            <v>ML</v>
          </cell>
          <cell r="D1223">
            <v>45</v>
          </cell>
        </row>
        <row r="1224">
          <cell r="A1224" t="str">
            <v>TBANCOC</v>
          </cell>
          <cell r="B1224" t="str">
            <v>Banquetón de cocina pulido</v>
          </cell>
          <cell r="C1224" t="str">
            <v>ML</v>
          </cell>
          <cell r="D1224">
            <v>150</v>
          </cell>
        </row>
        <row r="1224">
          <cell r="F1224">
            <v>13</v>
          </cell>
        </row>
        <row r="1225">
          <cell r="A1225" t="str">
            <v>TBODEGA</v>
          </cell>
          <cell r="B1225" t="str">
            <v>Armar bodega y baño con fajillas y malla en exterior, colocsar puertas</v>
          </cell>
          <cell r="C1225" t="str">
            <v>M2</v>
          </cell>
          <cell r="D1225">
            <v>350</v>
          </cell>
        </row>
        <row r="1226">
          <cell r="A1226" t="str">
            <v>TBOQ</v>
          </cell>
          <cell r="B1226" t="str">
            <v>Boquilla en puertas y ventanas</v>
          </cell>
          <cell r="C1226" t="str">
            <v>ML</v>
          </cell>
          <cell r="D1226">
            <v>90</v>
          </cell>
        </row>
        <row r="1227">
          <cell r="A1227" t="str">
            <v>TCCASO</v>
          </cell>
          <cell r="B1227" t="str">
            <v>Cimbrar y colar castillo de soga</v>
          </cell>
          <cell r="C1227" t="str">
            <v>ML</v>
          </cell>
          <cell r="D1227">
            <v>100</v>
          </cell>
        </row>
        <row r="1228">
          <cell r="A1228" t="str">
            <v>TCCASO3</v>
          </cell>
          <cell r="B1228" t="str">
            <v>Cimbrar y colar castillo de soga 3 caras</v>
          </cell>
          <cell r="C1228" t="str">
            <v>ML</v>
          </cell>
          <cell r="D1228">
            <v>120</v>
          </cell>
        </row>
        <row r="1229">
          <cell r="A1229" t="str">
            <v>TCCATE</v>
          </cell>
          <cell r="B1229" t="str">
            <v>Cimbrar y colar castillo de tezón</v>
          </cell>
          <cell r="C1229" t="str">
            <v>ML</v>
          </cell>
          <cell r="D1229">
            <v>120</v>
          </cell>
        </row>
        <row r="1230">
          <cell r="A1230" t="str">
            <v>TCCATE3</v>
          </cell>
          <cell r="B1230" t="str">
            <v>Cimbrar y colar castillo de tezón 3 caras</v>
          </cell>
          <cell r="C1230" t="str">
            <v>ML</v>
          </cell>
          <cell r="D1230">
            <v>145</v>
          </cell>
        </row>
        <row r="1231">
          <cell r="A1231" t="str">
            <v>TCCESO</v>
          </cell>
          <cell r="B1231" t="str">
            <v>Cimbrar y colar cerramiento de soga</v>
          </cell>
          <cell r="C1231" t="str">
            <v>ML</v>
          </cell>
          <cell r="D1231">
            <v>130</v>
          </cell>
        </row>
        <row r="1232">
          <cell r="A1232" t="str">
            <v>TCCETE</v>
          </cell>
          <cell r="B1232" t="str">
            <v>Cimbrar y colar cerramiento de tezón</v>
          </cell>
          <cell r="C1232" t="str">
            <v>ML</v>
          </cell>
          <cell r="D1232">
            <v>234</v>
          </cell>
        </row>
        <row r="1233">
          <cell r="A1233" t="str">
            <v>TCDASO</v>
          </cell>
          <cell r="B1233" t="str">
            <v>Armar, cimbrar y colar dala de 15 x 20 </v>
          </cell>
          <cell r="C1233" t="str">
            <v>ML</v>
          </cell>
          <cell r="D1233">
            <v>100</v>
          </cell>
        </row>
        <row r="1234">
          <cell r="A1234" t="str">
            <v>TCDATE</v>
          </cell>
          <cell r="B1234" t="str">
            <v>Cimbrar y colar dala tezón con doble armex</v>
          </cell>
          <cell r="C1234" t="str">
            <v>ML</v>
          </cell>
          <cell r="D1234">
            <v>130</v>
          </cell>
        </row>
        <row r="1235">
          <cell r="A1235" t="str">
            <v>TCENRAJ</v>
          </cell>
          <cell r="B1235" t="str">
            <v>Instalación de piso de rajuela a canto en cenefa ancho hasta 60 cms</v>
          </cell>
          <cell r="C1235" t="str">
            <v>ML</v>
          </cell>
          <cell r="D1235">
            <v>600</v>
          </cell>
        </row>
        <row r="1236">
          <cell r="A1236" t="str">
            <v>TDADO</v>
          </cell>
          <cell r="B1236" t="str">
            <v>Colado de dado completo de 80x 80 x 80</v>
          </cell>
          <cell r="C1236" t="str">
            <v>PZA</v>
          </cell>
          <cell r="D1236">
            <v>400</v>
          </cell>
        </row>
        <row r="1236">
          <cell r="F1236">
            <v>62</v>
          </cell>
        </row>
        <row r="1237">
          <cell r="A1237" t="str">
            <v>TENJADO</v>
          </cell>
          <cell r="B1237" t="str">
            <v>Sarpeo, enjarre y figurado tipo adobe con estrías</v>
          </cell>
          <cell r="C1237" t="str">
            <v>M2</v>
          </cell>
          <cell r="D1237">
            <v>150</v>
          </cell>
        </row>
        <row r="1238">
          <cell r="A1238" t="str">
            <v>TENJAFB</v>
          </cell>
          <cell r="B1238" t="str">
            <v>Enjarre en bóveda terminado afinado, incluye sarpeos y andamios</v>
          </cell>
          <cell r="C1238" t="str">
            <v>M2</v>
          </cell>
          <cell r="D1238">
            <v>133</v>
          </cell>
        </row>
        <row r="1239">
          <cell r="A1239" t="str">
            <v>TENJAFM</v>
          </cell>
          <cell r="B1239" t="str">
            <v>Enjarre en muro terminado afinado, incluye sarpeos y andamios</v>
          </cell>
          <cell r="C1239" t="str">
            <v>M2</v>
          </cell>
          <cell r="D1239">
            <v>120</v>
          </cell>
        </row>
        <row r="1240">
          <cell r="A1240" t="str">
            <v>TENJAP</v>
          </cell>
          <cell r="B1240" t="str">
            <v>Enjarre en muro terminado apalillado, incluye sarpeos y andamios</v>
          </cell>
          <cell r="C1240" t="str">
            <v>M2</v>
          </cell>
          <cell r="D1240">
            <v>100</v>
          </cell>
        </row>
        <row r="1241">
          <cell r="A1241" t="str">
            <v>TENJB</v>
          </cell>
          <cell r="B1241" t="str">
            <v>Enjarre en bóveda, incluye sarpeos y andamios</v>
          </cell>
          <cell r="C1241" t="str">
            <v>M2</v>
          </cell>
          <cell r="D1241">
            <v>120</v>
          </cell>
        </row>
        <row r="1242">
          <cell r="A1242" t="str">
            <v>TENJCP</v>
          </cell>
          <cell r="B1242" t="str">
            <v>Enjarre a tallón de cuchara pulido</v>
          </cell>
          <cell r="C1242" t="str">
            <v>M2</v>
          </cell>
          <cell r="D1242">
            <v>100</v>
          </cell>
        </row>
        <row r="1243">
          <cell r="A1243" t="str">
            <v>TEXCAV</v>
          </cell>
          <cell r="B1243" t="str">
            <v>Excavación terreno </v>
          </cell>
          <cell r="C1243" t="str">
            <v>M3</v>
          </cell>
          <cell r="D1243">
            <v>380</v>
          </cell>
        </row>
        <row r="1244">
          <cell r="A1244" t="str">
            <v>TFILTRO</v>
          </cell>
          <cell r="B1244" t="str">
            <v>Filtro de grava de 10 cms compactada</v>
          </cell>
          <cell r="C1244" t="str">
            <v>M2</v>
          </cell>
          <cell r="D1244">
            <v>25</v>
          </cell>
        </row>
        <row r="1244">
          <cell r="F1244">
            <v>74</v>
          </cell>
        </row>
        <row r="1245">
          <cell r="A1245" t="str">
            <v>TFIRJAL</v>
          </cell>
          <cell r="B1245" t="str">
            <v>Colocar jal con malla electro-soldada y lechadeado</v>
          </cell>
          <cell r="C1245" t="str">
            <v>M2</v>
          </cell>
          <cell r="D1245">
            <v>90</v>
          </cell>
        </row>
        <row r="1245">
          <cell r="F1245">
            <v>40</v>
          </cell>
        </row>
        <row r="1246">
          <cell r="A1246" t="str">
            <v>TFOSA</v>
          </cell>
          <cell r="B1246" t="str">
            <v>Excavación, forjado y terminado de fosa séptica con filtros</v>
          </cell>
          <cell r="C1246" t="str">
            <v>M3</v>
          </cell>
          <cell r="D1246">
            <v>1200</v>
          </cell>
        </row>
        <row r="1247">
          <cell r="A1247" t="str">
            <v>TIMP</v>
          </cell>
          <cell r="B1247" t="str">
            <v>Raspado de superficie, repellado e impermeabilizado azotea</v>
          </cell>
          <cell r="C1247" t="str">
            <v>M2</v>
          </cell>
          <cell r="D1247">
            <v>50</v>
          </cell>
        </row>
        <row r="1248">
          <cell r="A1248" t="str">
            <v>TJALIN</v>
          </cell>
          <cell r="B1248" t="str">
            <v>Colocar jal en techo inclinado, incluye malla y apalillado</v>
          </cell>
          <cell r="C1248" t="str">
            <v>M2</v>
          </cell>
          <cell r="D1248">
            <v>110</v>
          </cell>
        </row>
        <row r="1248">
          <cell r="F1248">
            <v>41</v>
          </cell>
        </row>
        <row r="1249">
          <cell r="A1249" t="str">
            <v>TJALP</v>
          </cell>
          <cell r="B1249" t="str">
            <v>Colocar jal en techo plano, incluye malla y apalillado</v>
          </cell>
          <cell r="C1249" t="str">
            <v>M2</v>
          </cell>
          <cell r="D1249">
            <v>125</v>
          </cell>
        </row>
        <row r="1249">
          <cell r="F1249">
            <v>42</v>
          </cell>
        </row>
        <row r="1250">
          <cell r="A1250" t="str">
            <v>TLADAZ</v>
          </cell>
          <cell r="B1250" t="str">
            <v>Instalar ladrillo de azotea sobre superficies de azotea, incluye acarreos</v>
          </cell>
          <cell r="C1250" t="str">
            <v>M2</v>
          </cell>
          <cell r="D1250">
            <v>90</v>
          </cell>
        </row>
        <row r="1251">
          <cell r="A1251" t="str">
            <v>TLADAZA</v>
          </cell>
          <cell r="B1251" t="str">
            <v>Colocar piso de barro y juntear, detallar y limpiar terminado aparente</v>
          </cell>
          <cell r="C1251" t="str">
            <v>M2</v>
          </cell>
          <cell r="D1251">
            <v>160</v>
          </cell>
          <cell r="E1251">
            <v>49</v>
          </cell>
        </row>
        <row r="1252">
          <cell r="A1252" t="str">
            <v>TLODADOB</v>
          </cell>
          <cell r="B1252" t="str">
            <v>Aplicar sellador y lodo sobre superficie de adobe terminado</v>
          </cell>
          <cell r="C1252" t="str">
            <v>M2</v>
          </cell>
          <cell r="D1252">
            <v>50</v>
          </cell>
        </row>
        <row r="1253">
          <cell r="A1253" t="str">
            <v>TLOSA</v>
          </cell>
          <cell r="B1253" t="str">
            <v>Colocar malla, colado de losa concreto y repellado</v>
          </cell>
          <cell r="C1253" t="str">
            <v>M2</v>
          </cell>
          <cell r="D1253">
            <v>100</v>
          </cell>
        </row>
        <row r="1254">
          <cell r="A1254" t="str">
            <v>TLOSDESP</v>
          </cell>
          <cell r="B1254" t="str">
            <v>Trazo, ranuras, barrenos, armar, cimbrar y colar losa despensa terminado</v>
          </cell>
          <cell r="C1254" t="str">
            <v>ML</v>
          </cell>
          <cell r="D1254">
            <v>300</v>
          </cell>
        </row>
        <row r="1255">
          <cell r="A1255" t="str">
            <v>TMAM1R40</v>
          </cell>
          <cell r="B1255" t="str">
            <v>Mamposteo de piedra 1 rostro de 40 cms</v>
          </cell>
          <cell r="C1255" t="str">
            <v>M2</v>
          </cell>
          <cell r="D1255">
            <v>800</v>
          </cell>
        </row>
        <row r="1256">
          <cell r="A1256" t="str">
            <v>TMAM1R50</v>
          </cell>
          <cell r="B1256" t="str">
            <v>Mamposteo de piedra 1 rostro de 50 cms</v>
          </cell>
          <cell r="C1256" t="str">
            <v>M2</v>
          </cell>
          <cell r="D1256">
            <v>1000</v>
          </cell>
        </row>
        <row r="1257">
          <cell r="A1257" t="str">
            <v>TMAM1R60</v>
          </cell>
          <cell r="B1257" t="str">
            <v>Mamposteo de piedra 1 rostro de 60 cms</v>
          </cell>
          <cell r="C1257" t="str">
            <v>M2</v>
          </cell>
          <cell r="D1257">
            <v>1200</v>
          </cell>
        </row>
        <row r="1258">
          <cell r="A1258" t="str">
            <v>TMAM2R</v>
          </cell>
          <cell r="B1258" t="str">
            <v>Mamposteo de piedra 2 rostros de 40 a 50 cms</v>
          </cell>
          <cell r="C1258" t="str">
            <v>M2</v>
          </cell>
          <cell r="D1258">
            <v>1375</v>
          </cell>
        </row>
        <row r="1259">
          <cell r="A1259" t="str">
            <v>TMAM2R40</v>
          </cell>
          <cell r="B1259" t="str">
            <v>Mamposteo de piedra 2 rostros de 40 cms</v>
          </cell>
          <cell r="C1259" t="str">
            <v>M2</v>
          </cell>
          <cell r="D1259">
            <v>1300</v>
          </cell>
        </row>
        <row r="1260">
          <cell r="A1260" t="str">
            <v>TMAM2R50</v>
          </cell>
          <cell r="B1260" t="str">
            <v>Mamposteo de piedra 2 rostro de 50 cms</v>
          </cell>
          <cell r="C1260" t="str">
            <v>M2</v>
          </cell>
          <cell r="D1260">
            <v>1450</v>
          </cell>
        </row>
        <row r="1261">
          <cell r="A1261" t="str">
            <v>TMCAP</v>
          </cell>
          <cell r="B1261" t="str">
            <v>Muro de capuchino en sucio</v>
          </cell>
          <cell r="C1261" t="str">
            <v>M2</v>
          </cell>
          <cell r="D1261">
            <v>120</v>
          </cell>
        </row>
        <row r="1262">
          <cell r="A1262" t="str">
            <v>TMOCSO</v>
          </cell>
          <cell r="B1262" t="str">
            <v>Mocheta de soga en sucio</v>
          </cell>
          <cell r="C1262" t="str">
            <v>ML</v>
          </cell>
          <cell r="D1262">
            <v>125</v>
          </cell>
        </row>
        <row r="1263">
          <cell r="A1263" t="str">
            <v>TMOCTE</v>
          </cell>
          <cell r="B1263" t="str">
            <v>Mocheta de tezón en sucio</v>
          </cell>
          <cell r="C1263" t="str">
            <v>ML</v>
          </cell>
          <cell r="D1263">
            <v>150</v>
          </cell>
        </row>
        <row r="1264">
          <cell r="A1264" t="str">
            <v>TMSOG</v>
          </cell>
          <cell r="B1264" t="str">
            <v>Muro de soga en sucio</v>
          </cell>
          <cell r="C1264" t="str">
            <v>M2</v>
          </cell>
          <cell r="D1264">
            <v>125</v>
          </cell>
        </row>
        <row r="1265">
          <cell r="A1265" t="str">
            <v>TMTEZ</v>
          </cell>
          <cell r="B1265" t="str">
            <v>Muro de tezón en sucio</v>
          </cell>
          <cell r="C1265" t="str">
            <v>M2</v>
          </cell>
          <cell r="D1265">
            <v>150</v>
          </cell>
        </row>
        <row r="1266">
          <cell r="A1266" t="str">
            <v>TMUADOSO</v>
          </cell>
          <cell r="B1266" t="str">
            <v>Muro de adobe de soga en sucio no importa altura, inlcuye junta</v>
          </cell>
          <cell r="C1266" t="str">
            <v>M2</v>
          </cell>
          <cell r="D1266">
            <v>200</v>
          </cell>
        </row>
        <row r="1267">
          <cell r="A1267" t="str">
            <v>TMUADOTE</v>
          </cell>
          <cell r="B1267" t="str">
            <v>Muro de adobe de soga en sucio no importa altura, inlcuye junta</v>
          </cell>
          <cell r="C1267" t="str">
            <v>M2</v>
          </cell>
          <cell r="D1267">
            <v>300</v>
          </cell>
        </row>
        <row r="1268">
          <cell r="A1268" t="str">
            <v>TNIVMR</v>
          </cell>
          <cell r="B1268" t="str">
            <v>Nivelación de muro de piedra con rostro</v>
          </cell>
          <cell r="C1268" t="str">
            <v>ML</v>
          </cell>
          <cell r="D1268">
            <v>70</v>
          </cell>
        </row>
        <row r="1269">
          <cell r="A1269" t="str">
            <v>TPEO</v>
          </cell>
          <cell r="B1269" t="str">
            <v>Peón por el día</v>
          </cell>
          <cell r="C1269" t="str">
            <v>JORNAL</v>
          </cell>
          <cell r="D1269">
            <v>390</v>
          </cell>
        </row>
        <row r="1270">
          <cell r="A1270" t="str">
            <v>TPINT</v>
          </cell>
          <cell r="B1270" t="str">
            <v>Raspar, resanes, sellador y pintura terminado sobre muros y bóvedas</v>
          </cell>
          <cell r="C1270" t="str">
            <v>M2</v>
          </cell>
          <cell r="D1270">
            <v>50</v>
          </cell>
        </row>
        <row r="1271">
          <cell r="A1271" t="str">
            <v>TPISO</v>
          </cell>
          <cell r="B1271" t="str">
            <v>Lechadeo, colocar malla, colado de piso repellado</v>
          </cell>
          <cell r="C1271" t="str">
            <v>M2</v>
          </cell>
          <cell r="D1271">
            <v>125</v>
          </cell>
        </row>
        <row r="1271">
          <cell r="F1271">
            <v>42</v>
          </cell>
        </row>
        <row r="1272">
          <cell r="A1272" t="str">
            <v>TPISORAJ</v>
          </cell>
          <cell r="B1272" t="str">
            <v>Instalación de piso de rajuela a canto en pisos</v>
          </cell>
          <cell r="C1272" t="str">
            <v>M2</v>
          </cell>
          <cell r="D1272">
            <v>1000</v>
          </cell>
        </row>
        <row r="1273">
          <cell r="A1273" t="str">
            <v>TREG</v>
          </cell>
          <cell r="B1273" t="str">
            <v>Excavación, forjado y terminado registro sanitario 1.00x1.00x1.00</v>
          </cell>
          <cell r="C1273" t="str">
            <v>PZA</v>
          </cell>
          <cell r="D1273">
            <v>1000</v>
          </cell>
        </row>
        <row r="1274">
          <cell r="A1274" t="str">
            <v>TRELLM</v>
          </cell>
          <cell r="B1274" t="str">
            <v>Relleno y compactación en capas de 20 cms con apoyo de máquina</v>
          </cell>
          <cell r="C1274" t="str">
            <v>M3</v>
          </cell>
          <cell r="D1274">
            <v>100</v>
          </cell>
        </row>
        <row r="1274">
          <cell r="F1274">
            <v>124</v>
          </cell>
        </row>
        <row r="1275">
          <cell r="A1275" t="str">
            <v>TREN</v>
          </cell>
          <cell r="B1275" t="str">
            <v>Renchido de piedra</v>
          </cell>
          <cell r="C1275" t="str">
            <v>M3</v>
          </cell>
          <cell r="D1275">
            <v>400</v>
          </cell>
        </row>
        <row r="1276">
          <cell r="A1276" t="str">
            <v>TSUBVIGA</v>
          </cell>
          <cell r="B1276" t="str">
            <v>subir y nivelar cerramientos de madera ( incluye fester, resanes y colados )</v>
          </cell>
          <cell r="C1276" t="str">
            <v>ML</v>
          </cell>
          <cell r="D1276">
            <v>140</v>
          </cell>
        </row>
        <row r="1276">
          <cell r="F1276">
            <v>135</v>
          </cell>
        </row>
        <row r="1277">
          <cell r="A1277" t="str">
            <v>TTEJA</v>
          </cell>
          <cell r="B1277" t="str">
            <v>Tejar, inculye costuras y caballeteros</v>
          </cell>
          <cell r="C1277" t="str">
            <v>M2</v>
          </cell>
          <cell r="D1277">
            <v>110</v>
          </cell>
        </row>
        <row r="1277">
          <cell r="F1277">
            <v>138</v>
          </cell>
        </row>
        <row r="1278">
          <cell r="A1278" t="str">
            <v>TVADO</v>
          </cell>
          <cell r="B1278" t="str">
            <v>Vado pluvial de 1 metro de ancho</v>
          </cell>
          <cell r="C1278" t="str">
            <v>ML</v>
          </cell>
          <cell r="D1278">
            <v>90</v>
          </cell>
        </row>
        <row r="1278">
          <cell r="F1278">
            <v>140</v>
          </cell>
        </row>
        <row r="2896">
          <cell r="A2896">
            <v>4356</v>
          </cell>
          <cell r="B2896" t="str">
            <v>GARCIA ROMERO JAVIER</v>
          </cell>
          <cell r="C2896" t="str">
            <v>OF</v>
          </cell>
          <cell r="D2896">
            <v>553.07</v>
          </cell>
        </row>
        <row r="2897">
          <cell r="A2897">
            <v>4357</v>
          </cell>
          <cell r="B2897" t="str">
            <v>GARCIA ROMERO JULIO CESAR</v>
          </cell>
          <cell r="C2897" t="str">
            <v>OF</v>
          </cell>
          <cell r="D2897">
            <v>553.07</v>
          </cell>
        </row>
        <row r="2898">
          <cell r="A2898">
            <v>4358</v>
          </cell>
          <cell r="B2898" t="str">
            <v>NAVARRO LUVIAN JUAN MARTIN</v>
          </cell>
          <cell r="C2898" t="str">
            <v>OF</v>
          </cell>
          <cell r="D2898">
            <v>553.07</v>
          </cell>
        </row>
        <row r="2899">
          <cell r="A2899">
            <v>4359</v>
          </cell>
          <cell r="B2899" t="str">
            <v>HERRERA RENTERIA EDUARDO</v>
          </cell>
          <cell r="C2899" t="str">
            <v>OF</v>
          </cell>
          <cell r="D2899">
            <v>553.07</v>
          </cell>
        </row>
        <row r="2900">
          <cell r="A2900">
            <v>4360</v>
          </cell>
          <cell r="B2900" t="str">
            <v>PEREZ RITO ISIDRO ISMAEL</v>
          </cell>
          <cell r="C2900" t="str">
            <v>PEON</v>
          </cell>
          <cell r="D2900">
            <v>307.25</v>
          </cell>
        </row>
        <row r="2901">
          <cell r="A2901">
            <v>4361</v>
          </cell>
          <cell r="B2901" t="str">
            <v>LEAL CASTRO OSCAR ADAN</v>
          </cell>
          <cell r="C2901" t="str">
            <v>PEON</v>
          </cell>
          <cell r="D2901">
            <v>307.25</v>
          </cell>
        </row>
        <row r="2902">
          <cell r="A2902">
            <v>4362</v>
          </cell>
          <cell r="B2902" t="str">
            <v>DE LA TORRE BRISEÑO RICARDO</v>
          </cell>
          <cell r="C2902" t="str">
            <v>PEON</v>
          </cell>
          <cell r="D2902">
            <v>307.25</v>
          </cell>
        </row>
        <row r="2903">
          <cell r="A2903">
            <v>4363</v>
          </cell>
          <cell r="B2903" t="str">
            <v>HUERTA PARADA CHRISTIAN FABIAN</v>
          </cell>
          <cell r="C2903" t="str">
            <v>PEON</v>
          </cell>
          <cell r="D2903">
            <v>307.25</v>
          </cell>
        </row>
        <row r="2904">
          <cell r="A2904">
            <v>4364</v>
          </cell>
          <cell r="B2904" t="str">
            <v>SUAREZ RAMIREZ EMILIO</v>
          </cell>
          <cell r="C2904" t="str">
            <v>PEON</v>
          </cell>
          <cell r="D2904">
            <v>307.25</v>
          </cell>
        </row>
        <row r="2905">
          <cell r="A2905">
            <v>4365</v>
          </cell>
          <cell r="B2905" t="str">
            <v>RAMIREZ ROSALES FEDERICO</v>
          </cell>
          <cell r="C2905" t="str">
            <v>PEON</v>
          </cell>
          <cell r="D2905">
            <v>355</v>
          </cell>
        </row>
        <row r="2906">
          <cell r="A2906">
            <v>4366</v>
          </cell>
          <cell r="B2906" t="str">
            <v>HERRERA ALONSO SALVADOR</v>
          </cell>
          <cell r="C2906" t="str">
            <v>OF</v>
          </cell>
          <cell r="D2906">
            <v>553.07</v>
          </cell>
        </row>
        <row r="2907">
          <cell r="A2907">
            <v>4367</v>
          </cell>
          <cell r="B2907" t="str">
            <v>OLIVO ALONSO FRANCISCO</v>
          </cell>
          <cell r="C2907" t="str">
            <v>PEON</v>
          </cell>
          <cell r="D2907">
            <v>307.25</v>
          </cell>
        </row>
        <row r="2908">
          <cell r="A2908">
            <v>4368</v>
          </cell>
          <cell r="B2908" t="str">
            <v>MORA MACIAS OCTAVIANO</v>
          </cell>
          <cell r="C2908" t="str">
            <v>OF</v>
          </cell>
          <cell r="D2908">
            <v>553.07</v>
          </cell>
        </row>
        <row r="2909">
          <cell r="A2909">
            <v>4369</v>
          </cell>
          <cell r="B2909" t="str">
            <v>MORA JIMENEZ ELI EMMANUEL</v>
          </cell>
          <cell r="C2909" t="str">
            <v>OF</v>
          </cell>
          <cell r="D2909">
            <v>553.07</v>
          </cell>
        </row>
        <row r="2910">
          <cell r="A2910">
            <v>4370</v>
          </cell>
          <cell r="B2910" t="str">
            <v>CHAVEZ SANCHEZ DIEGO ARMANDO</v>
          </cell>
          <cell r="C2910" t="str">
            <v>PEON</v>
          </cell>
          <cell r="D2910">
            <v>307.25</v>
          </cell>
        </row>
        <row r="2911">
          <cell r="A2911">
            <v>4371</v>
          </cell>
          <cell r="B2911" t="str">
            <v>MELENDEZ CASTILLO OSCAR DANIEL</v>
          </cell>
          <cell r="C2911" t="str">
            <v>PEON</v>
          </cell>
          <cell r="D2911">
            <v>307.25</v>
          </cell>
        </row>
        <row r="2912">
          <cell r="A2912">
            <v>4372</v>
          </cell>
          <cell r="B2912" t="str">
            <v>PARRA NUÑEZ JOSE ARNULFO</v>
          </cell>
          <cell r="C2912" t="str">
            <v>PEON</v>
          </cell>
          <cell r="D2912">
            <v>307.25</v>
          </cell>
        </row>
        <row r="2913">
          <cell r="A2913">
            <v>4373</v>
          </cell>
          <cell r="B2913" t="str">
            <v>ESCALANTE GARCIA JORGE ANGEL</v>
          </cell>
          <cell r="C2913" t="str">
            <v>PEON</v>
          </cell>
          <cell r="D2913">
            <v>307.25</v>
          </cell>
        </row>
        <row r="2914">
          <cell r="A2914">
            <v>4374</v>
          </cell>
          <cell r="B2914" t="str">
            <v>GONZALEZ ESCOBAR JOSE</v>
          </cell>
          <cell r="C2914" t="str">
            <v>PEON</v>
          </cell>
          <cell r="D2914">
            <v>307.25</v>
          </cell>
        </row>
        <row r="2915">
          <cell r="A2915">
            <v>4375</v>
          </cell>
          <cell r="B2915" t="str">
            <v>GONZALEZ CAMPOS JUAN ANTONIO</v>
          </cell>
          <cell r="C2915" t="str">
            <v>PEON</v>
          </cell>
          <cell r="D2915">
            <v>307.25</v>
          </cell>
        </row>
        <row r="2916">
          <cell r="A2916">
            <v>4376</v>
          </cell>
          <cell r="B2916" t="str">
            <v>HERNANDEZ RODRIGUEZ ARTURO</v>
          </cell>
          <cell r="C2916" t="str">
            <v>PEON</v>
          </cell>
          <cell r="D2916">
            <v>307.25</v>
          </cell>
        </row>
        <row r="2917">
          <cell r="A2917">
            <v>4377</v>
          </cell>
          <cell r="B2917" t="str">
            <v>RODRIGUEZ PADILLA JUAN LUIS</v>
          </cell>
          <cell r="C2917" t="str">
            <v>PEON</v>
          </cell>
          <cell r="D2917">
            <v>307.25</v>
          </cell>
        </row>
        <row r="2918">
          <cell r="A2918">
            <v>4378</v>
          </cell>
          <cell r="B2918" t="str">
            <v>MEZA RODRÍGUEZ DAVID ALEJANDRO</v>
          </cell>
          <cell r="C2918" t="str">
            <v>PEON</v>
          </cell>
          <cell r="D2918">
            <v>307.25</v>
          </cell>
        </row>
        <row r="2919">
          <cell r="A2919">
            <v>4379</v>
          </cell>
          <cell r="B2919" t="str">
            <v>VALENTIN OLIVO VICTOR IGNACIO</v>
          </cell>
          <cell r="C2919" t="str">
            <v>OF</v>
          </cell>
          <cell r="D2919">
            <v>553.07</v>
          </cell>
        </row>
        <row r="2920">
          <cell r="A2920">
            <v>4380</v>
          </cell>
          <cell r="B2920" t="str">
            <v>DURAN GONZALEZ JUAN ALONSO</v>
          </cell>
          <cell r="C2920" t="str">
            <v>OF</v>
          </cell>
          <cell r="D2920">
            <v>553.07</v>
          </cell>
        </row>
        <row r="2921">
          <cell r="A2921">
            <v>4381</v>
          </cell>
          <cell r="B2921" t="str">
            <v>FRANCO LOPEZ ENRIQUE</v>
          </cell>
          <cell r="C2921" t="str">
            <v>PEON</v>
          </cell>
          <cell r="D2921">
            <v>307.25</v>
          </cell>
        </row>
        <row r="2922">
          <cell r="A2922">
            <v>4382</v>
          </cell>
          <cell r="B2922" t="str">
            <v>MORA GARCIA RAFAEL</v>
          </cell>
          <cell r="C2922" t="str">
            <v>OF</v>
          </cell>
          <cell r="D2922">
            <v>553.07</v>
          </cell>
        </row>
        <row r="2923">
          <cell r="A2923">
            <v>4383</v>
          </cell>
          <cell r="B2923" t="str">
            <v>PINEDA CISNEROS JAIRO</v>
          </cell>
          <cell r="C2923" t="str">
            <v>OF</v>
          </cell>
          <cell r="D2923">
            <v>553.07</v>
          </cell>
        </row>
        <row r="2924">
          <cell r="A2924">
            <v>4384</v>
          </cell>
          <cell r="B2924" t="str">
            <v>BECERRA HERNANDEZ IGNACIO</v>
          </cell>
          <cell r="C2924" t="str">
            <v>PEON</v>
          </cell>
          <cell r="D2924">
            <v>307.25</v>
          </cell>
        </row>
        <row r="2925">
          <cell r="A2925">
            <v>4385</v>
          </cell>
          <cell r="B2925" t="str">
            <v>PATIÑO ALMADER JOSE DAVID</v>
          </cell>
          <cell r="C2925" t="str">
            <v>PEON</v>
          </cell>
          <cell r="D2925">
            <v>307.25</v>
          </cell>
        </row>
        <row r="2926">
          <cell r="A2926">
            <v>4386</v>
          </cell>
          <cell r="B2926" t="str">
            <v>MATEOS MEZA JOSE GUADALUPE</v>
          </cell>
          <cell r="C2926" t="str">
            <v>PEON</v>
          </cell>
          <cell r="D2926">
            <v>307.25</v>
          </cell>
        </row>
        <row r="2927">
          <cell r="A2927">
            <v>4387</v>
          </cell>
          <cell r="B2927" t="str">
            <v>NUÑEZ ARELLANO ALEJANDRO</v>
          </cell>
          <cell r="C2927" t="str">
            <v>PEON</v>
          </cell>
          <cell r="D2927">
            <v>307.25</v>
          </cell>
        </row>
        <row r="2928">
          <cell r="A2928">
            <v>4388</v>
          </cell>
          <cell r="B2928" t="str">
            <v>QUINTERO CARBAJAL JOSE LUIS</v>
          </cell>
          <cell r="C2928" t="str">
            <v>PEON</v>
          </cell>
          <cell r="D2928">
            <v>307.25</v>
          </cell>
        </row>
        <row r="2929">
          <cell r="A2929">
            <v>4389</v>
          </cell>
          <cell r="B2929" t="str">
            <v>VILLAVICENCIO GONZALEZ JOSE LUIS</v>
          </cell>
          <cell r="C2929" t="str">
            <v>OF</v>
          </cell>
          <cell r="D2929">
            <v>553.07</v>
          </cell>
        </row>
        <row r="2930">
          <cell r="A2930">
            <v>4390</v>
          </cell>
          <cell r="B2930" t="str">
            <v>VILLAVICENCIO GONZALEZ IGNACIO</v>
          </cell>
          <cell r="C2930" t="str">
            <v>OF</v>
          </cell>
          <cell r="D2930">
            <v>553.07</v>
          </cell>
        </row>
        <row r="2931">
          <cell r="A2931">
            <v>4391</v>
          </cell>
          <cell r="B2931" t="str">
            <v>VILLAVICENCIO CERVANTES LUIS PEDRO</v>
          </cell>
          <cell r="C2931" t="str">
            <v>PEON</v>
          </cell>
          <cell r="D2931">
            <v>307.25</v>
          </cell>
        </row>
        <row r="2932">
          <cell r="A2932">
            <v>4392</v>
          </cell>
          <cell r="B2932" t="str">
            <v>GUILLEN RAMIREZ JUAN CARLOS</v>
          </cell>
          <cell r="C2932" t="str">
            <v>PEON</v>
          </cell>
          <cell r="D2932">
            <v>307.25</v>
          </cell>
        </row>
        <row r="2933">
          <cell r="A2933">
            <v>4393</v>
          </cell>
          <cell r="B2933" t="str">
            <v>RAMIREZ JIMENEZ JOSE LUIS</v>
          </cell>
          <cell r="C2933" t="str">
            <v>PEON</v>
          </cell>
          <cell r="D2933">
            <v>307.25</v>
          </cell>
        </row>
        <row r="2934">
          <cell r="A2934">
            <v>4394</v>
          </cell>
          <cell r="B2934" t="str">
            <v>ARANDA VAZQUEZ JOSE LUIS</v>
          </cell>
          <cell r="C2934" t="str">
            <v>PEON</v>
          </cell>
          <cell r="D2934">
            <v>307.25</v>
          </cell>
        </row>
        <row r="2935">
          <cell r="A2935">
            <v>4395</v>
          </cell>
          <cell r="B2935" t="str">
            <v>AMEZQUITA PACHECO JAVIER</v>
          </cell>
          <cell r="C2935" t="str">
            <v>PEON</v>
          </cell>
          <cell r="D2935">
            <v>307.25</v>
          </cell>
        </row>
        <row r="2936">
          <cell r="A2936">
            <v>4396</v>
          </cell>
          <cell r="B2936" t="str">
            <v>CASTILLO FERRER JUAN ULISES</v>
          </cell>
          <cell r="C2936" t="str">
            <v>PEON</v>
          </cell>
          <cell r="D2936">
            <v>307.25</v>
          </cell>
        </row>
        <row r="2937">
          <cell r="A2937">
            <v>4397</v>
          </cell>
          <cell r="B2937" t="str">
            <v>GONZALEZ DAVILA OSCAR IVAN</v>
          </cell>
          <cell r="C2937" t="str">
            <v>PEON</v>
          </cell>
          <cell r="D2937">
            <v>307.25</v>
          </cell>
        </row>
        <row r="2938">
          <cell r="A2938">
            <v>4398</v>
          </cell>
          <cell r="B2938" t="str">
            <v>CAÑADA TOLENTINO ADALBERTO</v>
          </cell>
          <cell r="C2938" t="str">
            <v>PEON</v>
          </cell>
          <cell r="D2938">
            <v>273.48</v>
          </cell>
        </row>
        <row r="2939">
          <cell r="A2939">
            <v>4399</v>
          </cell>
          <cell r="B2939" t="str">
            <v>LOPEZ MADRIGAL JONATHAN</v>
          </cell>
          <cell r="C2939" t="str">
            <v>PEON</v>
          </cell>
          <cell r="D2939">
            <v>307.25</v>
          </cell>
        </row>
        <row r="2940">
          <cell r="A2940">
            <v>4400</v>
          </cell>
          <cell r="B2940" t="str">
            <v>MEDINA CASTRO MAXIMO</v>
          </cell>
          <cell r="C2940" t="str">
            <v>PEON</v>
          </cell>
          <cell r="D2940">
            <v>307.25</v>
          </cell>
        </row>
        <row r="2941">
          <cell r="A2941">
            <v>4401</v>
          </cell>
          <cell r="B2941" t="str">
            <v>CASTELLON LOPEZ EDUARDO ALEJANDRO</v>
          </cell>
          <cell r="C2941" t="str">
            <v>PEON</v>
          </cell>
          <cell r="D2941">
            <v>307.25</v>
          </cell>
        </row>
        <row r="2942">
          <cell r="A2942">
            <v>4402</v>
          </cell>
          <cell r="B2942" t="str">
            <v>MARGARITO JUAN JOSE MANUEL</v>
          </cell>
          <cell r="C2942" t="str">
            <v>PEON</v>
          </cell>
          <cell r="D2942">
            <v>307.25</v>
          </cell>
        </row>
        <row r="2943">
          <cell r="A2943">
            <v>4403</v>
          </cell>
          <cell r="B2943" t="str">
            <v>GONZALEZ RIVERA CARLOS ALBERTO</v>
          </cell>
          <cell r="C2943" t="str">
            <v>PEON</v>
          </cell>
          <cell r="D2943">
            <v>307.25</v>
          </cell>
        </row>
        <row r="2944">
          <cell r="A2944">
            <v>4404</v>
          </cell>
          <cell r="B2944" t="str">
            <v>ROSALES RODRIGUEZ MAGDALENO</v>
          </cell>
          <cell r="C2944" t="str">
            <v>PEON</v>
          </cell>
          <cell r="D2944">
            <v>307.25</v>
          </cell>
        </row>
        <row r="2945">
          <cell r="A2945">
            <v>4405</v>
          </cell>
          <cell r="B2945" t="str">
            <v>NAJAR URISTA MIGUEL ANGEL</v>
          </cell>
          <cell r="C2945" t="str">
            <v>PEON</v>
          </cell>
          <cell r="D2945">
            <v>307.25</v>
          </cell>
        </row>
        <row r="2946">
          <cell r="A2946">
            <v>4406</v>
          </cell>
          <cell r="B2946" t="str">
            <v>PLASCENCIA FLORES LUIS FERNANDO</v>
          </cell>
          <cell r="C2946" t="str">
            <v>PEON</v>
          </cell>
          <cell r="D2946">
            <v>307.25</v>
          </cell>
        </row>
        <row r="2947">
          <cell r="A2947">
            <v>4407</v>
          </cell>
          <cell r="B2947" t="str">
            <v>GONZALEZ RIVERA RUBEN</v>
          </cell>
          <cell r="C2947" t="str">
            <v>PEON</v>
          </cell>
          <cell r="D2947">
            <v>307.25</v>
          </cell>
        </row>
        <row r="2948">
          <cell r="A2948">
            <v>4408</v>
          </cell>
          <cell r="B2948" t="str">
            <v>MACIAS GONZALEZ ERNESTO YOVANNI</v>
          </cell>
          <cell r="C2948" t="str">
            <v>PEON</v>
          </cell>
          <cell r="D2948">
            <v>307.25</v>
          </cell>
        </row>
        <row r="2949">
          <cell r="A2949">
            <v>4409</v>
          </cell>
          <cell r="B2949" t="str">
            <v>GARCIA ALVARADO EMILIO</v>
          </cell>
          <cell r="C2949" t="str">
            <v>PEON</v>
          </cell>
          <cell r="D2949">
            <v>307.25</v>
          </cell>
        </row>
        <row r="2950">
          <cell r="A2950">
            <v>4410</v>
          </cell>
          <cell r="B2950" t="str">
            <v>PEDROZA MACIAS NOLBERTO</v>
          </cell>
          <cell r="C2950" t="str">
            <v>PEON</v>
          </cell>
          <cell r="D2950">
            <v>307.25</v>
          </cell>
        </row>
        <row r="2951">
          <cell r="A2951">
            <v>4411</v>
          </cell>
          <cell r="B2951" t="str">
            <v>FERNANDO GONZALEZ BENITO</v>
          </cell>
          <cell r="C2951" t="str">
            <v>PEON</v>
          </cell>
          <cell r="D2951">
            <v>307.25</v>
          </cell>
        </row>
        <row r="2952">
          <cell r="A2952">
            <v>4412</v>
          </cell>
          <cell r="B2952" t="str">
            <v>GARCIA ALVARADO JOSE ADRIAN</v>
          </cell>
          <cell r="C2952" t="str">
            <v>PEON</v>
          </cell>
          <cell r="D2952">
            <v>307.25</v>
          </cell>
        </row>
        <row r="2953">
          <cell r="A2953">
            <v>4413</v>
          </cell>
          <cell r="B2953" t="str">
            <v>ENRRIQUEZ SAUCEDO JOSE DE JESUS</v>
          </cell>
          <cell r="C2953" t="str">
            <v>PEON</v>
          </cell>
          <cell r="D2953">
            <v>307.25</v>
          </cell>
        </row>
        <row r="2954">
          <cell r="A2954">
            <v>4414</v>
          </cell>
          <cell r="B2954" t="str">
            <v>SOLIS GUILLEN NOE</v>
          </cell>
          <cell r="C2954" t="str">
            <v>PEON</v>
          </cell>
          <cell r="D2954">
            <v>307.25</v>
          </cell>
        </row>
        <row r="2955">
          <cell r="A2955">
            <v>4415</v>
          </cell>
          <cell r="B2955" t="str">
            <v>ARANDA PLASCENCIA GONZALO</v>
          </cell>
          <cell r="C2955" t="str">
            <v>PEON</v>
          </cell>
          <cell r="D2955">
            <v>307.25</v>
          </cell>
        </row>
        <row r="2956">
          <cell r="A2956">
            <v>4416</v>
          </cell>
          <cell r="B2956" t="str">
            <v>SAUCEDO GARCIA JUAN FELIPE</v>
          </cell>
          <cell r="C2956" t="str">
            <v>PEON</v>
          </cell>
          <cell r="D2956">
            <v>307.25</v>
          </cell>
        </row>
        <row r="2957">
          <cell r="A2957">
            <v>4417</v>
          </cell>
          <cell r="B2957" t="str">
            <v>DELGADO GUTIERREZ JUAN DIEGO</v>
          </cell>
          <cell r="C2957" t="str">
            <v>PEON</v>
          </cell>
          <cell r="D2957">
            <v>307.25</v>
          </cell>
        </row>
        <row r="2958">
          <cell r="A2958">
            <v>4418</v>
          </cell>
          <cell r="B2958" t="str">
            <v>MONJE TINOCO ANGEL</v>
          </cell>
          <cell r="C2958" t="str">
            <v>PEON</v>
          </cell>
          <cell r="D2958">
            <v>307.25</v>
          </cell>
        </row>
        <row r="2959">
          <cell r="A2959">
            <v>4419</v>
          </cell>
          <cell r="B2959" t="str">
            <v>BECERRA CARRILLO ALEJANDRO</v>
          </cell>
          <cell r="C2959" t="str">
            <v>PEON</v>
          </cell>
          <cell r="D2959">
            <v>307.25</v>
          </cell>
        </row>
        <row r="2960">
          <cell r="A2960">
            <v>4420</v>
          </cell>
          <cell r="B2960" t="str">
            <v>SILVA LOPEZ CRISTIAN ADRIAN</v>
          </cell>
          <cell r="C2960" t="str">
            <v>PEON</v>
          </cell>
          <cell r="D2960">
            <v>307.25</v>
          </cell>
        </row>
        <row r="2961">
          <cell r="A2961">
            <v>4421</v>
          </cell>
          <cell r="B2961" t="str">
            <v>DE LEON HERRERA HECTOR MANUEL</v>
          </cell>
          <cell r="C2961" t="str">
            <v>PEON</v>
          </cell>
          <cell r="D2961">
            <v>307.25</v>
          </cell>
        </row>
        <row r="2962">
          <cell r="A2962">
            <v>4422</v>
          </cell>
          <cell r="B2962" t="str">
            <v>PIMENTEL CRUZ MARIO ARTURO</v>
          </cell>
          <cell r="C2962" t="str">
            <v>PEON</v>
          </cell>
          <cell r="D2962">
            <v>307.25</v>
          </cell>
        </row>
        <row r="2963">
          <cell r="A2963">
            <v>4423</v>
          </cell>
          <cell r="B2963" t="str">
            <v>ARREGUIN ATILANO ANDRES</v>
          </cell>
          <cell r="C2963" t="str">
            <v>PEON</v>
          </cell>
          <cell r="D2963">
            <v>355</v>
          </cell>
        </row>
        <row r="2964">
          <cell r="A2964">
            <v>4424</v>
          </cell>
          <cell r="B2964" t="str">
            <v>GONZALEZ RAMIREZ MARCO ALBERTO</v>
          </cell>
          <cell r="C2964" t="str">
            <v>PEON</v>
          </cell>
          <cell r="D2964">
            <v>307.25</v>
          </cell>
        </row>
        <row r="2965">
          <cell r="A2965">
            <v>4425</v>
          </cell>
          <cell r="B2965" t="str">
            <v>ARIAS BRIONES LUIS FRANCISCO</v>
          </cell>
          <cell r="C2965" t="str">
            <v>PEON</v>
          </cell>
          <cell r="D2965">
            <v>307.25</v>
          </cell>
        </row>
        <row r="2966">
          <cell r="A2966">
            <v>4426</v>
          </cell>
          <cell r="B2966" t="str">
            <v>ARANDA OROZCO JOSE LUIS</v>
          </cell>
          <cell r="C2966" t="str">
            <v>PEON</v>
          </cell>
          <cell r="D2966">
            <v>307.25</v>
          </cell>
        </row>
        <row r="2967">
          <cell r="A2967">
            <v>4427</v>
          </cell>
          <cell r="B2967" t="str">
            <v>GUERRERO RAMIREZ LUIS GERARDO</v>
          </cell>
          <cell r="C2967" t="str">
            <v>PEON</v>
          </cell>
          <cell r="D2967">
            <v>307.25</v>
          </cell>
        </row>
        <row r="2968">
          <cell r="A2968">
            <v>4428</v>
          </cell>
          <cell r="B2968" t="str">
            <v>ROSALES ARTEAGA JUAN CARLOS</v>
          </cell>
          <cell r="C2968" t="str">
            <v>PEON</v>
          </cell>
          <cell r="D2968">
            <v>307.25</v>
          </cell>
        </row>
        <row r="2969">
          <cell r="A2969">
            <v>4429</v>
          </cell>
          <cell r="B2969" t="str">
            <v>SANCHEZ ANDRADE J GUADALUPE</v>
          </cell>
          <cell r="C2969" t="str">
            <v>OF</v>
          </cell>
          <cell r="D2969">
            <v>553.07</v>
          </cell>
        </row>
        <row r="2970">
          <cell r="A2970">
            <v>4430</v>
          </cell>
          <cell r="B2970" t="str">
            <v>RANGEL SANCHEZ EMMANUEL DE JESUS</v>
          </cell>
          <cell r="C2970" t="str">
            <v>PEON</v>
          </cell>
          <cell r="D2970">
            <v>307.25</v>
          </cell>
        </row>
        <row r="2971">
          <cell r="A2971">
            <v>4431</v>
          </cell>
          <cell r="B2971" t="str">
            <v>TORRES GARCIA SAUL </v>
          </cell>
          <cell r="C2971" t="str">
            <v>PEON</v>
          </cell>
          <cell r="D2971">
            <v>307.25</v>
          </cell>
        </row>
        <row r="2972">
          <cell r="A2972">
            <v>4432</v>
          </cell>
          <cell r="B2972" t="str">
            <v>VELAZQUEZ FLORES VICTOR MANUEL</v>
          </cell>
          <cell r="C2972" t="str">
            <v>PEON</v>
          </cell>
          <cell r="D2972">
            <v>307.25</v>
          </cell>
        </row>
        <row r="2973">
          <cell r="A2973">
            <v>4433</v>
          </cell>
          <cell r="B2973" t="str">
            <v>QUINTERO CARVAJAL MARIA CANDELARIA</v>
          </cell>
          <cell r="C2973" t="str">
            <v>ASEO</v>
          </cell>
          <cell r="D2973">
            <v>190.64</v>
          </cell>
        </row>
        <row r="2974">
          <cell r="A2974">
            <v>4434</v>
          </cell>
          <cell r="B2974" t="str">
            <v>MENDOZA MUÑOZ IVAN</v>
          </cell>
          <cell r="C2974" t="str">
            <v>PEON</v>
          </cell>
          <cell r="D2974">
            <v>307.25</v>
          </cell>
        </row>
        <row r="2975">
          <cell r="A2975">
            <v>4435</v>
          </cell>
          <cell r="B2975" t="str">
            <v>VIRGEN CONTRERAS FRANCISCO</v>
          </cell>
          <cell r="C2975" t="str">
            <v>PEON</v>
          </cell>
          <cell r="D2975">
            <v>307.25</v>
          </cell>
        </row>
        <row r="2976">
          <cell r="A2976">
            <v>4436</v>
          </cell>
          <cell r="B2976" t="str">
            <v>GOMEZ ARELLANO JUAN EDUARDO</v>
          </cell>
          <cell r="C2976" t="str">
            <v>PEON</v>
          </cell>
          <cell r="D2976">
            <v>307.25</v>
          </cell>
        </row>
        <row r="2977">
          <cell r="A2977">
            <v>4437</v>
          </cell>
          <cell r="B2977" t="str">
            <v>OROZCO HERNANDEZ ENRIQUE</v>
          </cell>
          <cell r="C2977" t="str">
            <v>PEON</v>
          </cell>
          <cell r="D2977">
            <v>307.25</v>
          </cell>
        </row>
        <row r="2978">
          <cell r="A2978">
            <v>4438</v>
          </cell>
          <cell r="B2978" t="str">
            <v>CORNEJO RENTERIA JUAN DANIEL</v>
          </cell>
          <cell r="C2978" t="str">
            <v>PEON</v>
          </cell>
          <cell r="D2978">
            <v>307.25</v>
          </cell>
        </row>
        <row r="2979">
          <cell r="A2979">
            <v>4439</v>
          </cell>
          <cell r="B2979" t="str">
            <v>CORDOVA CRUZ HUGO</v>
          </cell>
          <cell r="C2979" t="str">
            <v>PEON</v>
          </cell>
          <cell r="D2979">
            <v>307.25</v>
          </cell>
        </row>
        <row r="2980">
          <cell r="A2980">
            <v>4440</v>
          </cell>
          <cell r="B2980" t="str">
            <v>PIMENTEL CRUZ ALEJANDRO</v>
          </cell>
          <cell r="C2980" t="str">
            <v>PEON</v>
          </cell>
          <cell r="D2980">
            <v>307.25</v>
          </cell>
        </row>
        <row r="2981">
          <cell r="A2981">
            <v>4441</v>
          </cell>
          <cell r="B2981" t="str">
            <v>ALFARO BRAVO RAMON</v>
          </cell>
          <cell r="C2981" t="str">
            <v>OF</v>
          </cell>
          <cell r="D2981">
            <v>553.07</v>
          </cell>
        </row>
        <row r="2982">
          <cell r="A2982">
            <v>4442</v>
          </cell>
          <cell r="B2982" t="str">
            <v>CERVANTES BENITES ANGEL OMAR</v>
          </cell>
          <cell r="C2982" t="str">
            <v>OF</v>
          </cell>
          <cell r="D2982">
            <v>553.07</v>
          </cell>
        </row>
        <row r="2983">
          <cell r="A2983">
            <v>4443</v>
          </cell>
          <cell r="B2983" t="str">
            <v>ROQUE PINEDA OMAR ABDIAS</v>
          </cell>
          <cell r="C2983" t="str">
            <v>PEON</v>
          </cell>
          <cell r="D2983">
            <v>410</v>
          </cell>
        </row>
        <row r="2984">
          <cell r="A2984">
            <v>4444</v>
          </cell>
          <cell r="B2984" t="str">
            <v>HERNANDEZ GARCIA CARLOS RAMON</v>
          </cell>
          <cell r="C2984" t="str">
            <v>PEON</v>
          </cell>
          <cell r="D2984">
            <v>307.25</v>
          </cell>
        </row>
        <row r="2985">
          <cell r="A2985">
            <v>4445</v>
          </cell>
          <cell r="B2985" t="str">
            <v>LOPEZ NICASIO JOSE ANTONIO</v>
          </cell>
          <cell r="C2985" t="str">
            <v>OF</v>
          </cell>
          <cell r="D2985">
            <v>553.07</v>
          </cell>
        </row>
        <row r="2986">
          <cell r="A2986">
            <v>4446</v>
          </cell>
          <cell r="B2986" t="str">
            <v>SOLANO GARCIA CRUZ</v>
          </cell>
          <cell r="C2986" t="str">
            <v>OF</v>
          </cell>
          <cell r="D2986">
            <v>553.07</v>
          </cell>
        </row>
        <row r="2987">
          <cell r="A2987">
            <v>4447</v>
          </cell>
          <cell r="B2987" t="str">
            <v>GARCIA LARIOS TEOFILO</v>
          </cell>
          <cell r="C2987" t="str">
            <v>OF</v>
          </cell>
          <cell r="D2987">
            <v>553.07</v>
          </cell>
        </row>
        <row r="2988">
          <cell r="A2988">
            <v>4448</v>
          </cell>
          <cell r="B2988" t="str">
            <v>LOPEZ GARCIA JACOB ISRAEL</v>
          </cell>
          <cell r="C2988" t="str">
            <v>OF</v>
          </cell>
          <cell r="D2988">
            <v>553.07</v>
          </cell>
        </row>
        <row r="2989">
          <cell r="A2989">
            <v>4449</v>
          </cell>
          <cell r="B2989" t="str">
            <v>LARIOS DIAZ CARLOS ALBERTO</v>
          </cell>
          <cell r="C2989" t="str">
            <v>PEON</v>
          </cell>
          <cell r="D2989">
            <v>307.25</v>
          </cell>
        </row>
        <row r="2990">
          <cell r="A2990">
            <v>4450</v>
          </cell>
          <cell r="B2990" t="str">
            <v>SOLANO GARCIA BERNARDINO</v>
          </cell>
          <cell r="C2990" t="str">
            <v>PEON</v>
          </cell>
          <cell r="D2990">
            <v>307.25</v>
          </cell>
        </row>
        <row r="2991">
          <cell r="A2991">
            <v>4451</v>
          </cell>
          <cell r="B2991" t="str">
            <v>FLORES MORENO MARIO</v>
          </cell>
          <cell r="C2991" t="str">
            <v>PEON</v>
          </cell>
          <cell r="D2991">
            <v>257.14</v>
          </cell>
        </row>
        <row r="2992">
          <cell r="A2992">
            <v>4452</v>
          </cell>
          <cell r="B2992" t="str">
            <v>CONTRERAS SERRANO JESUS EDUARDO</v>
          </cell>
          <cell r="C2992" t="str">
            <v>PEON</v>
          </cell>
          <cell r="D2992">
            <v>307.25</v>
          </cell>
        </row>
        <row r="2993">
          <cell r="A2993">
            <v>4453</v>
          </cell>
          <cell r="B2993" t="str">
            <v>MATA VAZQUEZ NORBERTO</v>
          </cell>
          <cell r="C2993" t="str">
            <v>PEON</v>
          </cell>
          <cell r="D2993">
            <v>307.25</v>
          </cell>
        </row>
        <row r="2994">
          <cell r="A2994">
            <v>4454</v>
          </cell>
          <cell r="B2994" t="str">
            <v>LLAMAS LOPEZ CHRISTIAN</v>
          </cell>
          <cell r="C2994" t="str">
            <v>PEON</v>
          </cell>
          <cell r="D2994">
            <v>307.25</v>
          </cell>
        </row>
        <row r="2995">
          <cell r="A2995">
            <v>4455</v>
          </cell>
          <cell r="B2995" t="str">
            <v>GONZALEZ CHAVEZ NICOLAS</v>
          </cell>
          <cell r="C2995" t="str">
            <v>PEON</v>
          </cell>
          <cell r="D2995">
            <v>307.25</v>
          </cell>
        </row>
        <row r="2996">
          <cell r="A2996">
            <v>4456</v>
          </cell>
          <cell r="B2996" t="str">
            <v>FLORES OROZCO JOSE FRANCISCO</v>
          </cell>
          <cell r="C2996" t="str">
            <v>PEON</v>
          </cell>
          <cell r="D2996">
            <v>307.25</v>
          </cell>
        </row>
        <row r="2997">
          <cell r="A2997">
            <v>4457</v>
          </cell>
          <cell r="B2997" t="str">
            <v>SANCHEZ AVILA JESUS OMAR</v>
          </cell>
          <cell r="C2997" t="str">
            <v>PEON</v>
          </cell>
          <cell r="D2997">
            <v>307.25</v>
          </cell>
        </row>
        <row r="2998">
          <cell r="A2998">
            <v>4458</v>
          </cell>
          <cell r="B2998" t="str">
            <v>HUERTA PARADA CRUZ ALEJANDRO</v>
          </cell>
          <cell r="C2998" t="str">
            <v>OF</v>
          </cell>
          <cell r="D2998">
            <v>553.07</v>
          </cell>
        </row>
        <row r="2999">
          <cell r="A2999">
            <v>4459</v>
          </cell>
          <cell r="B2999" t="str">
            <v>HUERTA PARADA HECTOR EDUARDO</v>
          </cell>
          <cell r="C2999" t="str">
            <v>OF</v>
          </cell>
          <cell r="D2999">
            <v>553.07</v>
          </cell>
        </row>
        <row r="3000">
          <cell r="A3000">
            <v>4460</v>
          </cell>
          <cell r="B3000" t="str">
            <v>GARCIA SANCHEZ FRANCISCO</v>
          </cell>
          <cell r="C3000" t="str">
            <v>PEON</v>
          </cell>
          <cell r="D3000">
            <v>307.25</v>
          </cell>
        </row>
        <row r="3001">
          <cell r="A3001">
            <v>4461</v>
          </cell>
          <cell r="B3001" t="str">
            <v>BECERRA BAUTISTA ROBERTO CARLOS</v>
          </cell>
          <cell r="C3001" t="str">
            <v>PEON</v>
          </cell>
          <cell r="D3001">
            <v>307.25</v>
          </cell>
        </row>
        <row r="3002">
          <cell r="A3002">
            <v>4462</v>
          </cell>
          <cell r="B3002" t="str">
            <v>GARCIA CASTILLO DILAN SEBASTIAN</v>
          </cell>
          <cell r="C3002" t="str">
            <v>PEON</v>
          </cell>
          <cell r="D3002">
            <v>307.25</v>
          </cell>
        </row>
        <row r="3003">
          <cell r="A3003">
            <v>4463</v>
          </cell>
          <cell r="B3003" t="str">
            <v>TORRES VAZQUEZ JUAN JOSE</v>
          </cell>
          <cell r="C3003" t="str">
            <v>PEON</v>
          </cell>
          <cell r="D3003">
            <v>307.25</v>
          </cell>
        </row>
        <row r="3004">
          <cell r="A3004">
            <v>4464</v>
          </cell>
          <cell r="B3004" t="str">
            <v>GARCIA ESPARZA FLAVIO</v>
          </cell>
          <cell r="C3004" t="str">
            <v>PEON</v>
          </cell>
          <cell r="D3004">
            <v>307.25</v>
          </cell>
        </row>
        <row r="3005">
          <cell r="A3005">
            <v>4465</v>
          </cell>
          <cell r="B3005" t="str">
            <v>GARCIA HERNANDEZ GENARO</v>
          </cell>
          <cell r="C3005" t="str">
            <v>PEON</v>
          </cell>
          <cell r="D3005">
            <v>400</v>
          </cell>
        </row>
        <row r="3006">
          <cell r="A3006">
            <v>4466</v>
          </cell>
          <cell r="B3006" t="str">
            <v>RAMIREZ HERNANDEZ ARTURO</v>
          </cell>
          <cell r="C3006" t="str">
            <v>PEON</v>
          </cell>
          <cell r="D3006">
            <v>307.25</v>
          </cell>
        </row>
        <row r="3007">
          <cell r="A3007">
            <v>4467</v>
          </cell>
          <cell r="B3007" t="str">
            <v>SOLANO GALINDO GREGORIO SILVINO</v>
          </cell>
          <cell r="C3007" t="str">
            <v>OF</v>
          </cell>
          <cell r="D3007">
            <v>553.07</v>
          </cell>
        </row>
        <row r="3008">
          <cell r="A3008">
            <v>4468</v>
          </cell>
          <cell r="B3008" t="str">
            <v>SANCHEZ RUIZ FERNANDO ISAI</v>
          </cell>
          <cell r="C3008" t="str">
            <v>PEON</v>
          </cell>
          <cell r="D3008">
            <v>307.25</v>
          </cell>
        </row>
        <row r="3009">
          <cell r="A3009">
            <v>4469</v>
          </cell>
          <cell r="B3009" t="str">
            <v>LIMAS HERNANDEZ LUIS ANTONIO</v>
          </cell>
          <cell r="C3009" t="str">
            <v>PEON</v>
          </cell>
          <cell r="D3009">
            <v>307.25</v>
          </cell>
        </row>
        <row r="3010">
          <cell r="A3010">
            <v>4470</v>
          </cell>
          <cell r="B3010" t="str">
            <v>ALVAREZ GARCIA ARTURO</v>
          </cell>
          <cell r="C3010" t="str">
            <v>PEON</v>
          </cell>
          <cell r="D3010">
            <v>307.25</v>
          </cell>
        </row>
        <row r="3011">
          <cell r="A3011">
            <v>4471</v>
          </cell>
          <cell r="B3011" t="str">
            <v>RIVERA CONTRERAS NOE ANDRES</v>
          </cell>
          <cell r="C3011" t="str">
            <v>PEON</v>
          </cell>
          <cell r="D3011">
            <v>307.25</v>
          </cell>
        </row>
        <row r="3012">
          <cell r="A3012">
            <v>4472</v>
          </cell>
          <cell r="B3012" t="str">
            <v>RIOS HERNANDEZ CARLOS ALBERTO</v>
          </cell>
          <cell r="C3012" t="str">
            <v>PEON</v>
          </cell>
          <cell r="D3012">
            <v>307.25</v>
          </cell>
        </row>
        <row r="3013">
          <cell r="A3013">
            <v>4473</v>
          </cell>
          <cell r="B3013" t="str">
            <v>QUINTEROS ARJON ELEAZAR</v>
          </cell>
          <cell r="C3013" t="str">
            <v>PEON</v>
          </cell>
          <cell r="D3013">
            <v>307.25</v>
          </cell>
        </row>
        <row r="3014">
          <cell r="A3014">
            <v>4474</v>
          </cell>
          <cell r="B3014" t="str">
            <v>RUIZ SEVILLA CARLOS ERNESTO</v>
          </cell>
          <cell r="C3014" t="str">
            <v>PEON</v>
          </cell>
          <cell r="D3014">
            <v>307.25</v>
          </cell>
        </row>
        <row r="3015">
          <cell r="A3015">
            <v>4475</v>
          </cell>
          <cell r="B3015" t="str">
            <v>RODRIGUEZ GARCIA MARCOS ALBERTO</v>
          </cell>
          <cell r="C3015" t="str">
            <v>PEON</v>
          </cell>
          <cell r="D3015">
            <v>307.25</v>
          </cell>
        </row>
        <row r="3016">
          <cell r="A3016">
            <v>4476</v>
          </cell>
          <cell r="B3016" t="str">
            <v>GARCIA HERNANDEZ EFREN</v>
          </cell>
          <cell r="C3016" t="str">
            <v>PEON</v>
          </cell>
          <cell r="D3016">
            <v>355</v>
          </cell>
        </row>
        <row r="3017">
          <cell r="A3017">
            <v>4477</v>
          </cell>
          <cell r="B3017" t="str">
            <v>VILLA LOPEZ GERARDO</v>
          </cell>
          <cell r="C3017" t="str">
            <v>OF</v>
          </cell>
          <cell r="D3017">
            <v>553.07</v>
          </cell>
        </row>
        <row r="3018">
          <cell r="A3018">
            <v>4478</v>
          </cell>
          <cell r="B3018" t="str">
            <v>CAMPOS LOPEZ SILVIANO</v>
          </cell>
          <cell r="C3018" t="str">
            <v>PEON</v>
          </cell>
          <cell r="D3018">
            <v>307.25</v>
          </cell>
        </row>
        <row r="3019">
          <cell r="A3019">
            <v>4479</v>
          </cell>
          <cell r="B3019" t="str">
            <v>DIAZ VILLA GILBERTO ANTONIO</v>
          </cell>
          <cell r="C3019" t="str">
            <v>PEON</v>
          </cell>
          <cell r="D3019">
            <v>307.25</v>
          </cell>
        </row>
        <row r="3020">
          <cell r="A3020">
            <v>4480</v>
          </cell>
          <cell r="B3020" t="str">
            <v>VILLA LÓPEZ FRANCISCO</v>
          </cell>
          <cell r="C3020" t="str">
            <v>OF</v>
          </cell>
          <cell r="D3020">
            <v>553.07</v>
          </cell>
        </row>
        <row r="3021">
          <cell r="A3021">
            <v>4481</v>
          </cell>
          <cell r="B3021" t="str">
            <v>GUEVARA PULIDO GEOVANNI ALEJANDRO</v>
          </cell>
          <cell r="C3021" t="str">
            <v>PEON</v>
          </cell>
          <cell r="D3021">
            <v>307.25</v>
          </cell>
        </row>
        <row r="3022">
          <cell r="A3022">
            <v>4482</v>
          </cell>
          <cell r="B3022" t="str">
            <v>ZARAGOZA RUBIO RAFAEL</v>
          </cell>
          <cell r="C3022" t="str">
            <v>PEON</v>
          </cell>
          <cell r="D3022">
            <v>307.25</v>
          </cell>
        </row>
        <row r="3023">
          <cell r="A3023">
            <v>4483</v>
          </cell>
          <cell r="B3023" t="str">
            <v>CARDENAS IBAÑEZ OCTAVIO</v>
          </cell>
          <cell r="C3023" t="str">
            <v>OF</v>
          </cell>
          <cell r="D3023">
            <v>553.07</v>
          </cell>
        </row>
        <row r="3024">
          <cell r="A3024">
            <v>4484</v>
          </cell>
          <cell r="B3024" t="str">
            <v>GOMEZ ZARAGOZA LUIS FERNANDO</v>
          </cell>
          <cell r="C3024" t="str">
            <v>PEON</v>
          </cell>
          <cell r="D3024">
            <v>307.25</v>
          </cell>
        </row>
        <row r="3025">
          <cell r="A3025">
            <v>4485</v>
          </cell>
          <cell r="B3025" t="str">
            <v>BARRAGAN GUERRERO URIEL ARAHI </v>
          </cell>
          <cell r="C3025" t="str">
            <v>OF</v>
          </cell>
          <cell r="D3025">
            <v>553.07</v>
          </cell>
        </row>
        <row r="3026">
          <cell r="A3026">
            <v>4486</v>
          </cell>
          <cell r="B3026" t="str">
            <v>CRUZ REYES EDGAR GERARDO</v>
          </cell>
          <cell r="C3026" t="str">
            <v>PEON</v>
          </cell>
          <cell r="D3026">
            <v>307.25</v>
          </cell>
        </row>
        <row r="3027">
          <cell r="A3027">
            <v>4487</v>
          </cell>
          <cell r="B3027" t="str">
            <v>AGUILAR HERNANDEZ ANGEL PEDRO</v>
          </cell>
          <cell r="C3027" t="str">
            <v>OF</v>
          </cell>
          <cell r="D3027">
            <v>553.07</v>
          </cell>
        </row>
        <row r="3028">
          <cell r="A3028">
            <v>4488</v>
          </cell>
          <cell r="B3028" t="str">
            <v>AGUILAR BENITO JORGE</v>
          </cell>
          <cell r="C3028" t="str">
            <v>PEON</v>
          </cell>
          <cell r="D3028">
            <v>307.25</v>
          </cell>
        </row>
        <row r="3029">
          <cell r="A3029">
            <v>4489</v>
          </cell>
          <cell r="B3029" t="str">
            <v>AGUILA HEREDIA EMILIO</v>
          </cell>
          <cell r="C3029" t="str">
            <v>PEON</v>
          </cell>
          <cell r="D3029">
            <v>307.25</v>
          </cell>
        </row>
        <row r="3030">
          <cell r="A3030">
            <v>4490</v>
          </cell>
          <cell r="B3030" t="str">
            <v>MARTINEZ AVIÑA JUAN CARLOS</v>
          </cell>
          <cell r="C3030" t="str">
            <v>PEON</v>
          </cell>
          <cell r="D3030">
            <v>307.25</v>
          </cell>
        </row>
        <row r="3031">
          <cell r="A3031">
            <v>4491</v>
          </cell>
          <cell r="B3031" t="str">
            <v>CERVANTES MACIAS RAFAEL ALONSO</v>
          </cell>
          <cell r="C3031" t="str">
            <v>PEON</v>
          </cell>
          <cell r="D3031">
            <v>307.25</v>
          </cell>
        </row>
        <row r="3032">
          <cell r="A3032">
            <v>4492</v>
          </cell>
          <cell r="B3032" t="str">
            <v>LARIOS NUÑEZ JUAN</v>
          </cell>
          <cell r="C3032" t="str">
            <v>OF</v>
          </cell>
          <cell r="D3032">
            <v>553.07</v>
          </cell>
        </row>
        <row r="3033">
          <cell r="A3033">
            <v>4493</v>
          </cell>
          <cell r="B3033" t="str">
            <v>FLORES RIVERA SANTOS EDUARDO</v>
          </cell>
          <cell r="C3033" t="str">
            <v>OF</v>
          </cell>
          <cell r="D3033">
            <v>553.07</v>
          </cell>
        </row>
        <row r="3034">
          <cell r="A3034">
            <v>4494</v>
          </cell>
          <cell r="B3034" t="str">
            <v>PRECIADO AMADOR LORENZO</v>
          </cell>
          <cell r="C3034" t="str">
            <v>OF</v>
          </cell>
          <cell r="D3034">
            <v>553.07</v>
          </cell>
        </row>
        <row r="3035">
          <cell r="A3035">
            <v>4495</v>
          </cell>
          <cell r="B3035" t="str">
            <v>PRECIADO CARRASCO HUSAM OBED</v>
          </cell>
          <cell r="C3035" t="str">
            <v>PEON</v>
          </cell>
          <cell r="D3035">
            <v>307.25</v>
          </cell>
        </row>
        <row r="3036">
          <cell r="A3036">
            <v>4496</v>
          </cell>
          <cell r="B3036" t="str">
            <v>ALVAREZ TABARES JOSE GUADALUPE</v>
          </cell>
          <cell r="C3036" t="str">
            <v>PEON</v>
          </cell>
          <cell r="D3036">
            <v>307.25</v>
          </cell>
        </row>
        <row r="3037">
          <cell r="A3037">
            <v>4497</v>
          </cell>
          <cell r="B3037" t="str">
            <v>DIAZ CORDOVA JESUS ALBERTO</v>
          </cell>
          <cell r="C3037" t="str">
            <v>PEON</v>
          </cell>
          <cell r="D3037">
            <v>307.25</v>
          </cell>
        </row>
        <row r="3038">
          <cell r="A3038">
            <v>4498</v>
          </cell>
          <cell r="B3038" t="str">
            <v>GARCIA TORRES PAULINO</v>
          </cell>
          <cell r="C3038" t="str">
            <v>PEON</v>
          </cell>
          <cell r="D3038">
            <v>307.25</v>
          </cell>
        </row>
        <row r="3039">
          <cell r="A3039">
            <v>4499</v>
          </cell>
          <cell r="B3039" t="str">
            <v>DURAN GONZALEZ MARTIN YOVANY</v>
          </cell>
          <cell r="C3039" t="str">
            <v>PEON</v>
          </cell>
          <cell r="D3039">
            <v>307.25</v>
          </cell>
        </row>
        <row r="3040">
          <cell r="A3040">
            <v>4500</v>
          </cell>
          <cell r="B3040" t="str">
            <v>MUÑOZ SAAVEDRA BRYAN ALEJANDRO</v>
          </cell>
          <cell r="C3040" t="str">
            <v>PEON</v>
          </cell>
          <cell r="D3040">
            <v>307.25</v>
          </cell>
        </row>
        <row r="3041">
          <cell r="A3041">
            <v>4501</v>
          </cell>
          <cell r="B3041" t="str">
            <v>REGINO JUAREZ VALENTIN</v>
          </cell>
          <cell r="C3041" t="str">
            <v>CHOFER</v>
          </cell>
          <cell r="D3041">
            <v>327.78</v>
          </cell>
        </row>
        <row r="3042">
          <cell r="A3042">
            <v>4502</v>
          </cell>
          <cell r="B3042" t="str">
            <v>CERDA URIBE JUAN MANUEL</v>
          </cell>
          <cell r="C3042" t="str">
            <v>PEON</v>
          </cell>
          <cell r="D3042">
            <v>307.25</v>
          </cell>
        </row>
        <row r="3043">
          <cell r="A3043">
            <v>4503</v>
          </cell>
          <cell r="B3043" t="str">
            <v>CARRETERO LOMA FRANCISCO MANUEL</v>
          </cell>
          <cell r="C3043" t="str">
            <v>PEON</v>
          </cell>
          <cell r="D3043">
            <v>307.25</v>
          </cell>
        </row>
        <row r="3044">
          <cell r="A3044">
            <v>4504</v>
          </cell>
          <cell r="B3044" t="str">
            <v>SERRANO BUSTOS DANIEL</v>
          </cell>
          <cell r="C3044" t="str">
            <v>PEON</v>
          </cell>
          <cell r="D3044">
            <v>307.25</v>
          </cell>
        </row>
        <row r="3045">
          <cell r="A3045">
            <v>4505</v>
          </cell>
          <cell r="B3045" t="str">
            <v>ZARAGOZA VARGAS RICARDO DE JESUS</v>
          </cell>
          <cell r="C3045" t="str">
            <v>PEON</v>
          </cell>
          <cell r="D3045">
            <v>307.25</v>
          </cell>
        </row>
        <row r="3046">
          <cell r="A3046">
            <v>4506</v>
          </cell>
          <cell r="B3046" t="str">
            <v>GONZALEZ RAMIREZ MIGUEL</v>
          </cell>
          <cell r="C3046" t="str">
            <v>OF</v>
          </cell>
          <cell r="D3046">
            <v>553.07</v>
          </cell>
        </row>
        <row r="3047">
          <cell r="A3047">
            <v>4507</v>
          </cell>
          <cell r="B3047" t="str">
            <v>DIAZ CORDOVA JOSE LUIS</v>
          </cell>
          <cell r="C3047" t="str">
            <v>PEON</v>
          </cell>
          <cell r="D3047">
            <v>307.25</v>
          </cell>
        </row>
        <row r="3048">
          <cell r="A3048">
            <v>4508</v>
          </cell>
          <cell r="B3048" t="str">
            <v>SALCIDO ACOSTA JORGE</v>
          </cell>
          <cell r="C3048" t="str">
            <v>PEON</v>
          </cell>
          <cell r="D3048">
            <v>307.25</v>
          </cell>
        </row>
        <row r="3049">
          <cell r="A3049">
            <v>4509</v>
          </cell>
          <cell r="B3049" t="str">
            <v>OROZCO MOLINA DANIEL ISAI</v>
          </cell>
          <cell r="C3049" t="str">
            <v>PEON</v>
          </cell>
          <cell r="D3049">
            <v>307.25</v>
          </cell>
        </row>
        <row r="3050">
          <cell r="A3050">
            <v>4510</v>
          </cell>
          <cell r="B3050" t="str">
            <v>FELIPE FELIPE ALEJANDRO</v>
          </cell>
          <cell r="C3050" t="str">
            <v>OF</v>
          </cell>
          <cell r="D3050">
            <v>553.07</v>
          </cell>
        </row>
        <row r="3051">
          <cell r="A3051">
            <v>4511</v>
          </cell>
          <cell r="B3051" t="str">
            <v>RAMIREZ PINACHO GREGORIO HECTOR</v>
          </cell>
          <cell r="C3051" t="str">
            <v>PEON</v>
          </cell>
          <cell r="D3051">
            <v>307.25</v>
          </cell>
        </row>
        <row r="3052">
          <cell r="A3052">
            <v>4512</v>
          </cell>
          <cell r="B3052" t="str">
            <v>DIAZ PLASCENCIA DAYGORO</v>
          </cell>
          <cell r="C3052" t="str">
            <v>PEON</v>
          </cell>
          <cell r="D3052">
            <v>307.25</v>
          </cell>
        </row>
        <row r="3053">
          <cell r="A3053">
            <v>4513</v>
          </cell>
          <cell r="B3053" t="str">
            <v>AMEZQUITA PACHECO VICTOR</v>
          </cell>
          <cell r="C3053" t="str">
            <v>PEON</v>
          </cell>
          <cell r="D3053">
            <v>355</v>
          </cell>
        </row>
        <row r="3054">
          <cell r="A3054">
            <v>4514</v>
          </cell>
          <cell r="B3054" t="str">
            <v>ROBLES GARCIA RIGOBERTO</v>
          </cell>
          <cell r="C3054" t="str">
            <v>PEON</v>
          </cell>
          <cell r="D3054">
            <v>307.25</v>
          </cell>
        </row>
        <row r="3055">
          <cell r="A3055">
            <v>4515</v>
          </cell>
          <cell r="B3055" t="str">
            <v>MIRANDA ACOSTA CARLOS ALBERTO</v>
          </cell>
          <cell r="C3055" t="str">
            <v>PEON</v>
          </cell>
          <cell r="D3055">
            <v>307.25</v>
          </cell>
        </row>
        <row r="3056">
          <cell r="A3056">
            <v>4516</v>
          </cell>
          <cell r="B3056" t="str">
            <v>XILONZOCHITL SALDAÑA ANGEL ASENCION</v>
          </cell>
          <cell r="C3056" t="str">
            <v>PEON</v>
          </cell>
          <cell r="D3056">
            <v>307.25</v>
          </cell>
        </row>
        <row r="3057">
          <cell r="A3057">
            <v>4517</v>
          </cell>
          <cell r="B3057" t="str">
            <v>VALLEJO SALAZAR REYMUNDO</v>
          </cell>
          <cell r="C3057" t="str">
            <v>PEON</v>
          </cell>
          <cell r="D3057">
            <v>307.25</v>
          </cell>
        </row>
        <row r="3058">
          <cell r="A3058">
            <v>4518</v>
          </cell>
          <cell r="B3058" t="str">
            <v>ALVAREZ RODRIGUEZ VICTOR MANUEL</v>
          </cell>
          <cell r="C3058" t="str">
            <v>PEON</v>
          </cell>
          <cell r="D3058">
            <v>307.25</v>
          </cell>
        </row>
        <row r="3059">
          <cell r="A3059">
            <v>4519</v>
          </cell>
          <cell r="B3059" t="str">
            <v>MEJIA CELIS GERARDO</v>
          </cell>
          <cell r="C3059" t="str">
            <v>PEON</v>
          </cell>
          <cell r="D3059">
            <v>307.25</v>
          </cell>
        </row>
        <row r="3060">
          <cell r="A3060">
            <v>4520</v>
          </cell>
          <cell r="B3060" t="str">
            <v>GONZALEZ NAVARRO CARLOS EDUARDO</v>
          </cell>
          <cell r="C3060" t="str">
            <v>PEON</v>
          </cell>
          <cell r="D3060">
            <v>307.25</v>
          </cell>
        </row>
        <row r="3061">
          <cell r="A3061">
            <v>4521</v>
          </cell>
          <cell r="B3061" t="str">
            <v>MARTINEZ ISAAC NAPOLEON</v>
          </cell>
          <cell r="C3061" t="str">
            <v>PEON</v>
          </cell>
          <cell r="D3061">
            <v>307.25</v>
          </cell>
        </row>
        <row r="3062">
          <cell r="A3062">
            <v>4522</v>
          </cell>
          <cell r="B3062" t="str">
            <v>GARCIA AGUILA JOSE ELIAS</v>
          </cell>
          <cell r="C3062" t="str">
            <v>PEON</v>
          </cell>
          <cell r="D3062">
            <v>307.25</v>
          </cell>
        </row>
        <row r="3063">
          <cell r="A3063">
            <v>4523</v>
          </cell>
          <cell r="B3063" t="str">
            <v>GUERRERO LUISES JUAN MANUEL</v>
          </cell>
          <cell r="C3063" t="str">
            <v>PEON</v>
          </cell>
          <cell r="D3063">
            <v>307.25</v>
          </cell>
        </row>
        <row r="3064">
          <cell r="A3064">
            <v>4524</v>
          </cell>
          <cell r="B3064" t="str">
            <v>ULLOA HERNANDEZ JOSE MANUEL</v>
          </cell>
          <cell r="C3064" t="str">
            <v>OF</v>
          </cell>
          <cell r="D3064">
            <v>553.07</v>
          </cell>
        </row>
        <row r="3065">
          <cell r="A3065">
            <v>4525</v>
          </cell>
          <cell r="B3065" t="str">
            <v>VALLEJO SALAZAR CARLOS GUADALUPE</v>
          </cell>
          <cell r="C3065" t="str">
            <v>PEON</v>
          </cell>
          <cell r="D3065">
            <v>307.25</v>
          </cell>
        </row>
        <row r="3066">
          <cell r="A3066">
            <v>4526</v>
          </cell>
          <cell r="B3066" t="str">
            <v>LEON HERNANDEZ CARLOS</v>
          </cell>
          <cell r="C3066" t="str">
            <v>PEON</v>
          </cell>
          <cell r="D3066">
            <v>307.25</v>
          </cell>
        </row>
        <row r="3067">
          <cell r="A3067">
            <v>4527</v>
          </cell>
          <cell r="B3067" t="str">
            <v>CARRILLO CISNEROS JUAN MANUEL</v>
          </cell>
          <cell r="C3067" t="str">
            <v>PEON</v>
          </cell>
          <cell r="D3067">
            <v>307.25</v>
          </cell>
        </row>
        <row r="3068">
          <cell r="A3068">
            <v>4528</v>
          </cell>
          <cell r="B3068" t="str">
            <v>AMEZQUITA NAVA JAVIER</v>
          </cell>
          <cell r="C3068" t="str">
            <v>PEON</v>
          </cell>
          <cell r="D3068">
            <v>307.25</v>
          </cell>
        </row>
        <row r="3069">
          <cell r="A3069">
            <v>4529</v>
          </cell>
          <cell r="B3069" t="str">
            <v>GONZALEZ BRACAMONTES JESUS</v>
          </cell>
          <cell r="C3069" t="str">
            <v>PINTOR</v>
          </cell>
          <cell r="D3069">
            <v>553.07</v>
          </cell>
        </row>
        <row r="3070">
          <cell r="A3070">
            <v>4530</v>
          </cell>
          <cell r="B3070" t="str">
            <v>CASTREJON FLORES JOSE</v>
          </cell>
          <cell r="C3070" t="str">
            <v>PEON</v>
          </cell>
          <cell r="D3070">
            <v>355</v>
          </cell>
        </row>
        <row r="3071">
          <cell r="A3071">
            <v>4531</v>
          </cell>
          <cell r="B3071" t="str">
            <v>VILLA LOPEZ JOSE MARIA</v>
          </cell>
          <cell r="C3071" t="str">
            <v>OF</v>
          </cell>
          <cell r="D3071">
            <v>553.07</v>
          </cell>
        </row>
        <row r="3072">
          <cell r="A3072">
            <v>4532</v>
          </cell>
          <cell r="B3072" t="str">
            <v>GONZALEZ SOLANO HUBALDO</v>
          </cell>
          <cell r="C3072" t="str">
            <v>PEON</v>
          </cell>
          <cell r="D3072">
            <v>307.25</v>
          </cell>
        </row>
        <row r="3073">
          <cell r="A3073">
            <v>4533</v>
          </cell>
          <cell r="B3073" t="str">
            <v>DIAZ ARCINIEGA GILBERTO</v>
          </cell>
          <cell r="C3073" t="str">
            <v>PEON</v>
          </cell>
          <cell r="D3073">
            <v>307.25</v>
          </cell>
        </row>
        <row r="3074">
          <cell r="A3074">
            <v>4534</v>
          </cell>
          <cell r="B3074" t="str">
            <v>VILLA LÓPEZ JORGE ARMANDO</v>
          </cell>
          <cell r="C3074" t="str">
            <v>OF</v>
          </cell>
          <cell r="D3074">
            <v>553.07</v>
          </cell>
        </row>
        <row r="3075">
          <cell r="A3075">
            <v>4535</v>
          </cell>
          <cell r="B3075" t="str">
            <v>LARIOS LOPEZ MARTIN ALONSO</v>
          </cell>
          <cell r="C3075" t="str">
            <v>PEON</v>
          </cell>
          <cell r="D3075">
            <v>307.25</v>
          </cell>
        </row>
        <row r="3076">
          <cell r="A3076">
            <v>4536</v>
          </cell>
          <cell r="B3076" t="str">
            <v>LOPEZ GARCIA AGUSTIN</v>
          </cell>
          <cell r="C3076" t="str">
            <v>OF</v>
          </cell>
          <cell r="D3076">
            <v>553.07</v>
          </cell>
        </row>
        <row r="3077">
          <cell r="A3077">
            <v>4537</v>
          </cell>
          <cell r="B3077" t="str">
            <v>VILLA LÓPEZ RUBÉN ERASMO</v>
          </cell>
          <cell r="C3077" t="str">
            <v>OF</v>
          </cell>
          <cell r="D3077">
            <v>553.07</v>
          </cell>
        </row>
        <row r="3078">
          <cell r="A3078">
            <v>4538</v>
          </cell>
          <cell r="B3078" t="str">
            <v>LOPEZ NUÑEZ JOEL</v>
          </cell>
          <cell r="C3078" t="str">
            <v>OF</v>
          </cell>
          <cell r="D3078">
            <v>553.07</v>
          </cell>
        </row>
        <row r="3079">
          <cell r="A3079">
            <v>4539</v>
          </cell>
          <cell r="B3079" t="str">
            <v>ZAMBRANO ZACARIAS ANTONIO</v>
          </cell>
          <cell r="C3079" t="str">
            <v>OF</v>
          </cell>
          <cell r="D3079">
            <v>553.07</v>
          </cell>
        </row>
        <row r="3080">
          <cell r="A3080">
            <v>4540</v>
          </cell>
          <cell r="B3080" t="str">
            <v>TRINIDAD VAZQUEZ ARNULFO</v>
          </cell>
          <cell r="C3080" t="str">
            <v>OF</v>
          </cell>
          <cell r="D3080">
            <v>553.07</v>
          </cell>
        </row>
        <row r="3081">
          <cell r="A3081">
            <v>4541</v>
          </cell>
          <cell r="B3081" t="str">
            <v>LOPEZ LOPEZ GREGORIO</v>
          </cell>
          <cell r="C3081" t="str">
            <v>PEON</v>
          </cell>
          <cell r="D3081">
            <v>307.25</v>
          </cell>
        </row>
        <row r="3082">
          <cell r="A3082">
            <v>4542</v>
          </cell>
          <cell r="B3082" t="str">
            <v>LOPEZ GARCIA CESAR ARMANDO</v>
          </cell>
          <cell r="C3082" t="str">
            <v>PEON</v>
          </cell>
          <cell r="D3082">
            <v>307.25</v>
          </cell>
        </row>
        <row r="3083">
          <cell r="A3083">
            <v>4543</v>
          </cell>
          <cell r="B3083" t="str">
            <v>RODRIGUEZ GARZA HILARIO</v>
          </cell>
          <cell r="C3083" t="str">
            <v>OF</v>
          </cell>
          <cell r="D3083">
            <v>553.07</v>
          </cell>
        </row>
        <row r="3084">
          <cell r="A3084">
            <v>4544</v>
          </cell>
          <cell r="B3084" t="str">
            <v>RANGEL IBARRA RUBEN</v>
          </cell>
          <cell r="C3084" t="str">
            <v>PEON</v>
          </cell>
          <cell r="D3084">
            <v>307.25</v>
          </cell>
        </row>
        <row r="3085">
          <cell r="A3085">
            <v>4545</v>
          </cell>
          <cell r="B3085" t="str">
            <v>LUVIAN RIVERA SERGIO</v>
          </cell>
          <cell r="C3085" t="str">
            <v>PEON</v>
          </cell>
          <cell r="D3085">
            <v>307.25</v>
          </cell>
        </row>
        <row r="3086">
          <cell r="A3086">
            <v>4546</v>
          </cell>
          <cell r="B3086" t="str">
            <v>PRECIADO ALEJO ALAN JOEL</v>
          </cell>
          <cell r="C3086" t="str">
            <v>PEON</v>
          </cell>
          <cell r="D3086">
            <v>307.25</v>
          </cell>
        </row>
        <row r="3087">
          <cell r="A3087">
            <v>4547</v>
          </cell>
          <cell r="B3087" t="str">
            <v>VINAJA FLORES JESUS</v>
          </cell>
          <cell r="C3087" t="str">
            <v>PEON</v>
          </cell>
          <cell r="D3087">
            <v>307.25</v>
          </cell>
        </row>
        <row r="3088">
          <cell r="A3088">
            <v>4548</v>
          </cell>
          <cell r="B3088" t="str">
            <v>ROSALES GAVILAN MILTON IRAN</v>
          </cell>
          <cell r="C3088" t="str">
            <v>PEON</v>
          </cell>
          <cell r="D3088">
            <v>307.25</v>
          </cell>
        </row>
        <row r="3089">
          <cell r="A3089">
            <v>4549</v>
          </cell>
          <cell r="B3089" t="str">
            <v>RIVERA RODRIGUEZ JOSE JAIME</v>
          </cell>
          <cell r="C3089" t="str">
            <v>PEON</v>
          </cell>
          <cell r="D3089">
            <v>307.25</v>
          </cell>
        </row>
        <row r="3090">
          <cell r="A3090">
            <v>4550</v>
          </cell>
          <cell r="B3090" t="str">
            <v>VEGA ESPARZA MAYRA MARGARITA</v>
          </cell>
          <cell r="C3090" t="str">
            <v>ASEO</v>
          </cell>
          <cell r="D3090">
            <v>428.571428571429</v>
          </cell>
        </row>
        <row r="3091">
          <cell r="A3091">
            <v>4551</v>
          </cell>
          <cell r="B3091" t="str">
            <v>VALDIVIA VILLAMAR PORFIRIO</v>
          </cell>
          <cell r="C3091" t="str">
            <v>VELADOR</v>
          </cell>
          <cell r="D3091">
            <v>205.36</v>
          </cell>
        </row>
        <row r="3092">
          <cell r="A3092">
            <v>4552</v>
          </cell>
          <cell r="B3092" t="str">
            <v>TAMAYO ORENDAY JOSE DE JESUS</v>
          </cell>
          <cell r="C3092" t="str">
            <v>PEON</v>
          </cell>
          <cell r="D3092">
            <v>307.25</v>
          </cell>
        </row>
        <row r="3093">
          <cell r="A3093">
            <v>4553</v>
          </cell>
          <cell r="B3093" t="str">
            <v>BECERRA DE LA TORRE MARCOS</v>
          </cell>
          <cell r="C3093" t="str">
            <v>PEON</v>
          </cell>
          <cell r="D3093">
            <v>307.25</v>
          </cell>
        </row>
        <row r="3094">
          <cell r="A3094">
            <v>4554</v>
          </cell>
          <cell r="B3094" t="str">
            <v>ALVAREZ FERNANDEZ GUSTAVO ERNESTO</v>
          </cell>
          <cell r="C3094" t="str">
            <v>AUX. DE RESIDENTE</v>
          </cell>
          <cell r="D3094">
            <v>260.46</v>
          </cell>
        </row>
        <row r="3095">
          <cell r="A3095">
            <v>4555</v>
          </cell>
          <cell r="B3095" t="str">
            <v>MARTINEZ OLMEDO VIDAL EMANUEL</v>
          </cell>
          <cell r="C3095" t="str">
            <v>PEON</v>
          </cell>
          <cell r="D3095">
            <v>307.25</v>
          </cell>
        </row>
        <row r="3096">
          <cell r="A3096">
            <v>4556</v>
          </cell>
          <cell r="B3096" t="str">
            <v>ROSAS RAMIREZ MACARIO</v>
          </cell>
          <cell r="C3096" t="str">
            <v>PEON</v>
          </cell>
          <cell r="D3096">
            <v>355</v>
          </cell>
        </row>
        <row r="3097">
          <cell r="A3097">
            <v>4557</v>
          </cell>
          <cell r="B3097" t="str">
            <v>SALAZAR BARRIENTOS NOE ISAIAS</v>
          </cell>
          <cell r="C3097" t="str">
            <v>PEON</v>
          </cell>
          <cell r="D3097">
            <v>307.25</v>
          </cell>
        </row>
        <row r="3098">
          <cell r="A3098">
            <v>4558</v>
          </cell>
          <cell r="B3098" t="str">
            <v>ROMERO MONTES VICTOR MANUEL</v>
          </cell>
          <cell r="C3098" t="str">
            <v>PEON</v>
          </cell>
          <cell r="D3098">
            <v>307.25</v>
          </cell>
        </row>
        <row r="3099">
          <cell r="A3099">
            <v>4559</v>
          </cell>
          <cell r="B3099" t="str">
            <v>CHAVARIN LEDEZMA JUAN MARTIN</v>
          </cell>
          <cell r="C3099" t="str">
            <v>PEON</v>
          </cell>
          <cell r="D3099">
            <v>307.25</v>
          </cell>
        </row>
        <row r="3100">
          <cell r="A3100">
            <v>4560</v>
          </cell>
          <cell r="B3100" t="str">
            <v>XILONZOCHITL MORA RICARDO</v>
          </cell>
          <cell r="C3100" t="str">
            <v>PEON</v>
          </cell>
          <cell r="D3100">
            <v>307.25</v>
          </cell>
        </row>
        <row r="3101">
          <cell r="A3101">
            <v>4561</v>
          </cell>
          <cell r="B3101" t="str">
            <v>ZAVALA CARDENAS LUIS JHAN CARLOS</v>
          </cell>
          <cell r="C3101" t="str">
            <v>PEON</v>
          </cell>
          <cell r="D3101">
            <v>307.25</v>
          </cell>
        </row>
        <row r="3102">
          <cell r="A3102">
            <v>4562</v>
          </cell>
          <cell r="B3102" t="str">
            <v>MEJIA MEJIA EDUARDO EMMANUEL </v>
          </cell>
          <cell r="C3102" t="str">
            <v>PEON</v>
          </cell>
          <cell r="D3102">
            <v>307.25</v>
          </cell>
        </row>
        <row r="3103">
          <cell r="A3103">
            <v>4563</v>
          </cell>
          <cell r="B3103" t="str">
            <v>REYES LOPEZ LUIS ANTONIO</v>
          </cell>
          <cell r="C3103" t="str">
            <v>PEON</v>
          </cell>
          <cell r="D3103">
            <v>307.25</v>
          </cell>
        </row>
        <row r="3104">
          <cell r="A3104">
            <v>4564</v>
          </cell>
          <cell r="B3104" t="str">
            <v>RAMIREZ GUZMAN JOSE GUADALUPE</v>
          </cell>
          <cell r="C3104" t="str">
            <v>PEON</v>
          </cell>
          <cell r="D3104">
            <v>307.25</v>
          </cell>
        </row>
        <row r="3105">
          <cell r="A3105">
            <v>4565</v>
          </cell>
          <cell r="B3105" t="str">
            <v>NAZARIN DANIEL MACARIO</v>
          </cell>
          <cell r="C3105" t="str">
            <v>PEON</v>
          </cell>
          <cell r="D3105">
            <v>307.25</v>
          </cell>
        </row>
        <row r="3106">
          <cell r="A3106">
            <v>4566</v>
          </cell>
          <cell r="B3106" t="str">
            <v>SANCHEZ VEGA JUAN MANUEL</v>
          </cell>
          <cell r="C3106" t="str">
            <v>PEON</v>
          </cell>
          <cell r="D3106">
            <v>307.25</v>
          </cell>
        </row>
        <row r="3107">
          <cell r="A3107">
            <v>4567</v>
          </cell>
          <cell r="B3107" t="str">
            <v>PRECIADO ALEJO JUAN DIEGO</v>
          </cell>
          <cell r="C3107" t="str">
            <v>PEON</v>
          </cell>
          <cell r="D3107">
            <v>307.25</v>
          </cell>
        </row>
        <row r="3108">
          <cell r="A3108">
            <v>4568</v>
          </cell>
          <cell r="B3108" t="str">
            <v>HERNANDEZ DOMINGUEZ IVAN ALEJANDRO</v>
          </cell>
          <cell r="C3108" t="str">
            <v>PEON</v>
          </cell>
          <cell r="D3108">
            <v>307.25</v>
          </cell>
        </row>
        <row r="3109">
          <cell r="A3109">
            <v>4569</v>
          </cell>
          <cell r="B3109" t="str">
            <v>HERNANDEZ LEDEZMA GERARDO</v>
          </cell>
          <cell r="C3109" t="str">
            <v>PEON</v>
          </cell>
          <cell r="D3109">
            <v>307.25</v>
          </cell>
        </row>
        <row r="3110">
          <cell r="A3110">
            <v>4570</v>
          </cell>
          <cell r="B3110" t="str">
            <v>VELAZQUEZ RAMIREZ HUMBERTO ALEJANDRO</v>
          </cell>
          <cell r="C3110" t="str">
            <v>PEON</v>
          </cell>
          <cell r="D3110">
            <v>307.25</v>
          </cell>
        </row>
        <row r="3111">
          <cell r="A3111">
            <v>4571</v>
          </cell>
          <cell r="B3111" t="str">
            <v>ROSALES MATA RODOLFO</v>
          </cell>
          <cell r="C3111" t="str">
            <v>PEON</v>
          </cell>
          <cell r="D3111">
            <v>307.25</v>
          </cell>
        </row>
        <row r="3112">
          <cell r="A3112">
            <v>4572</v>
          </cell>
          <cell r="B3112" t="str">
            <v>URIBE PEREZ FRANCISCO JAVIER</v>
          </cell>
          <cell r="C3112" t="str">
            <v>PEON</v>
          </cell>
          <cell r="D3112">
            <v>307.25</v>
          </cell>
        </row>
        <row r="3113">
          <cell r="A3113">
            <v>4573</v>
          </cell>
          <cell r="B3113" t="str">
            <v>DE LA TORRE LOPEZ GUILLERMO</v>
          </cell>
          <cell r="C3113" t="str">
            <v>OF</v>
          </cell>
          <cell r="D3113">
            <v>553.07</v>
          </cell>
        </row>
        <row r="3114">
          <cell r="A3114">
            <v>4574</v>
          </cell>
          <cell r="B3114" t="str">
            <v>CORTES MIRAMONTES FERMIN</v>
          </cell>
          <cell r="C3114" t="str">
            <v>PEON</v>
          </cell>
          <cell r="D3114">
            <v>307.25</v>
          </cell>
        </row>
        <row r="3115">
          <cell r="A3115">
            <v>4575</v>
          </cell>
          <cell r="B3115" t="str">
            <v>RODRIGUEZ RIVERA JUAN MANUEL</v>
          </cell>
          <cell r="C3115" t="str">
            <v>PEON</v>
          </cell>
          <cell r="D3115">
            <v>307.25</v>
          </cell>
        </row>
        <row r="3116">
          <cell r="A3116">
            <v>4576</v>
          </cell>
          <cell r="B3116" t="str">
            <v>RODRIGUEZ ARANDA CARLOS</v>
          </cell>
          <cell r="C3116" t="str">
            <v>PEON</v>
          </cell>
          <cell r="D3116">
            <v>307.25</v>
          </cell>
        </row>
        <row r="3117">
          <cell r="A3117">
            <v>4577</v>
          </cell>
          <cell r="B3117" t="str">
            <v>OCHOA JUSTO MIGUEL ANGEL</v>
          </cell>
          <cell r="C3117" t="str">
            <v>PEON</v>
          </cell>
          <cell r="D3117">
            <v>307.25</v>
          </cell>
        </row>
        <row r="3118">
          <cell r="A3118">
            <v>4578</v>
          </cell>
          <cell r="B3118" t="str">
            <v>VARGAS AGUILAR CARLOS IVÁN</v>
          </cell>
          <cell r="C3118" t="str">
            <v>PEON</v>
          </cell>
          <cell r="D3118">
            <v>307.25</v>
          </cell>
        </row>
        <row r="3119">
          <cell r="A3119">
            <v>4579</v>
          </cell>
          <cell r="B3119" t="str">
            <v>LOPEZ NICASIO ISELA NOEMI</v>
          </cell>
          <cell r="C3119" t="str">
            <v>ASEO</v>
          </cell>
          <cell r="D3119">
            <v>401.25</v>
          </cell>
        </row>
        <row r="3120">
          <cell r="A3120">
            <v>4580</v>
          </cell>
          <cell r="B3120" t="str">
            <v>ENRIQUEZ CAMARENA MOISES ALEJANDRO</v>
          </cell>
          <cell r="C3120" t="str">
            <v>PEON</v>
          </cell>
          <cell r="D3120">
            <v>307.25</v>
          </cell>
        </row>
        <row r="3121">
          <cell r="A3121">
            <v>4581</v>
          </cell>
          <cell r="B3121" t="str">
            <v>NAVARRO VENEGAS ALFONSO</v>
          </cell>
          <cell r="C3121" t="str">
            <v>PEON</v>
          </cell>
          <cell r="D3121">
            <v>307.25</v>
          </cell>
        </row>
        <row r="3122">
          <cell r="A3122">
            <v>4582</v>
          </cell>
          <cell r="B3122" t="str">
            <v>SALCIDO SANTIBAÑEZ GABRIEL</v>
          </cell>
          <cell r="C3122" t="str">
            <v>PEON</v>
          </cell>
          <cell r="D3122">
            <v>355</v>
          </cell>
        </row>
        <row r="3123">
          <cell r="A3123">
            <v>4583</v>
          </cell>
          <cell r="B3123" t="str">
            <v>RIVAS RAMIREZ J JESUS</v>
          </cell>
          <cell r="C3123" t="str">
            <v>PEON</v>
          </cell>
          <cell r="D3123">
            <v>273.48</v>
          </cell>
        </row>
        <row r="3124">
          <cell r="A3124">
            <v>4584</v>
          </cell>
          <cell r="B3124" t="str">
            <v>JIMENEZ ROMERO J GUADALUPE</v>
          </cell>
          <cell r="C3124" t="str">
            <v>PEON</v>
          </cell>
          <cell r="D3124">
            <v>307.25</v>
          </cell>
        </row>
        <row r="3125">
          <cell r="A3125">
            <v>4585</v>
          </cell>
          <cell r="B3125" t="str">
            <v>GARCIA CORDOVA RICARDO</v>
          </cell>
          <cell r="C3125" t="str">
            <v>PEON</v>
          </cell>
          <cell r="D3125">
            <v>307.25</v>
          </cell>
        </row>
        <row r="3126">
          <cell r="A3126">
            <v>4586</v>
          </cell>
          <cell r="B3126" t="str">
            <v>RAMÍREZ VILLA JOSÉ EDUARDO</v>
          </cell>
          <cell r="C3126" t="str">
            <v>PEON</v>
          </cell>
          <cell r="D3126">
            <v>307.25</v>
          </cell>
        </row>
        <row r="3127">
          <cell r="A3127">
            <v>4587</v>
          </cell>
          <cell r="B3127" t="str">
            <v>VILLA LÓPEZ DAVID RIGOBERTO</v>
          </cell>
          <cell r="C3127" t="str">
            <v>OF</v>
          </cell>
          <cell r="D3127">
            <v>553.07</v>
          </cell>
        </row>
        <row r="3128">
          <cell r="A3128">
            <v>4588</v>
          </cell>
          <cell r="B3128" t="str">
            <v>LOPEZ SOLANO GUSTAVO</v>
          </cell>
          <cell r="C3128" t="str">
            <v>OF</v>
          </cell>
          <cell r="D3128">
            <v>553.07</v>
          </cell>
        </row>
        <row r="3129">
          <cell r="A3129">
            <v>4589</v>
          </cell>
          <cell r="B3129" t="str">
            <v>BECERRA HERNANDEZ ASCENCIO</v>
          </cell>
          <cell r="C3129" t="str">
            <v>OF</v>
          </cell>
          <cell r="D3129">
            <v>553.07</v>
          </cell>
        </row>
        <row r="3130">
          <cell r="A3130">
            <v>4590</v>
          </cell>
          <cell r="B3130" t="str">
            <v>AGUILAR VILLA ANTONIO</v>
          </cell>
          <cell r="C3130" t="str">
            <v>OF</v>
          </cell>
          <cell r="D3130">
            <v>553.07</v>
          </cell>
        </row>
        <row r="3131">
          <cell r="A3131">
            <v>4591</v>
          </cell>
          <cell r="B3131" t="str">
            <v>DIAZ CORDOVA CARLOS RICARDO</v>
          </cell>
          <cell r="C3131" t="str">
            <v>OF</v>
          </cell>
          <cell r="D3131">
            <v>553.07</v>
          </cell>
        </row>
        <row r="3132">
          <cell r="A3132">
            <v>4592</v>
          </cell>
          <cell r="B3132" t="str">
            <v>VAZQUEZ LOPEZ HECTOR DANIEL</v>
          </cell>
          <cell r="C3132" t="str">
            <v>PEON</v>
          </cell>
          <cell r="D3132">
            <v>307.25</v>
          </cell>
        </row>
        <row r="3133">
          <cell r="A3133">
            <v>4593</v>
          </cell>
          <cell r="B3133" t="str">
            <v>JIMENEZ HERNANDEZ JOSE LUIS</v>
          </cell>
          <cell r="C3133" t="str">
            <v>PEON</v>
          </cell>
          <cell r="D3133">
            <v>307.25</v>
          </cell>
        </row>
        <row r="3134">
          <cell r="A3134">
            <v>4594</v>
          </cell>
          <cell r="B3134" t="str">
            <v>MONTELONGO RAMIREZ JULIO CESAR</v>
          </cell>
          <cell r="C3134" t="str">
            <v>PEON</v>
          </cell>
          <cell r="D3134">
            <v>307.25</v>
          </cell>
        </row>
        <row r="3135">
          <cell r="A3135">
            <v>4595</v>
          </cell>
          <cell r="B3135" t="str">
            <v>ESTRADA HERNANDEZ JUAN SALVADOR</v>
          </cell>
          <cell r="C3135" t="str">
            <v>PEON</v>
          </cell>
          <cell r="D3135">
            <v>307.25</v>
          </cell>
        </row>
        <row r="3136">
          <cell r="A3136">
            <v>4596</v>
          </cell>
          <cell r="B3136" t="str">
            <v>OCHOA JARAMILLO SALVADOR</v>
          </cell>
          <cell r="C3136" t="str">
            <v>PEON</v>
          </cell>
          <cell r="D3136">
            <v>307.25</v>
          </cell>
        </row>
        <row r="3137">
          <cell r="A3137">
            <v>4597</v>
          </cell>
          <cell r="B3137" t="str">
            <v>ARANDA MARTINEZ RAUL ALEJANDRO</v>
          </cell>
          <cell r="C3137" t="str">
            <v>PEON</v>
          </cell>
          <cell r="D3137">
            <v>307.25</v>
          </cell>
        </row>
        <row r="3138">
          <cell r="A3138">
            <v>4598</v>
          </cell>
          <cell r="B3138" t="str">
            <v>SERRANO ROMERO JOSE ROBERTO</v>
          </cell>
          <cell r="C3138" t="str">
            <v>PEON</v>
          </cell>
          <cell r="D3138">
            <v>307.25</v>
          </cell>
        </row>
        <row r="3139">
          <cell r="A3139">
            <v>4599</v>
          </cell>
          <cell r="B3139" t="str">
            <v>VEGA GUZMAN EDUARDO</v>
          </cell>
          <cell r="C3139" t="str">
            <v>PEON</v>
          </cell>
          <cell r="D3139">
            <v>307.25</v>
          </cell>
        </row>
        <row r="3140">
          <cell r="A3140">
            <v>4600</v>
          </cell>
          <cell r="B3140" t="str">
            <v>HERNANDEZ MARTINEZ EDUARDO</v>
          </cell>
          <cell r="C3140" t="str">
            <v>PEON</v>
          </cell>
          <cell r="D3140">
            <v>307.25</v>
          </cell>
        </row>
        <row r="3141">
          <cell r="A3141">
            <v>4601</v>
          </cell>
          <cell r="B3141" t="str">
            <v>MARTINEZ SAUCEDO LUIS FERNANDO</v>
          </cell>
          <cell r="C3141" t="str">
            <v>PEON</v>
          </cell>
          <cell r="D3141">
            <v>307.25</v>
          </cell>
        </row>
        <row r="3142">
          <cell r="A3142">
            <v>4602</v>
          </cell>
          <cell r="B3142" t="str">
            <v>MARES ECHEVERRIA JUAN ISMAEL</v>
          </cell>
          <cell r="C3142" t="str">
            <v>PEON</v>
          </cell>
          <cell r="D3142">
            <v>307.25</v>
          </cell>
        </row>
        <row r="3143">
          <cell r="A3143">
            <v>4603</v>
          </cell>
          <cell r="B3143" t="str">
            <v>GALLARDO RODRIGUEZ ERICK FERNANDO</v>
          </cell>
          <cell r="C3143" t="str">
            <v>PEON</v>
          </cell>
          <cell r="D3143">
            <v>307.25</v>
          </cell>
        </row>
        <row r="3144">
          <cell r="A3144">
            <v>4604</v>
          </cell>
          <cell r="B3144" t="str">
            <v>TRINIDAD GUZMAN ISRAEL</v>
          </cell>
          <cell r="C3144" t="str">
            <v>PEON</v>
          </cell>
          <cell r="D3144">
            <v>307.25</v>
          </cell>
        </row>
        <row r="3145">
          <cell r="A3145">
            <v>4605</v>
          </cell>
          <cell r="B3145" t="str">
            <v>GUILLEN RAMIREZ JOSE GUADALUPE</v>
          </cell>
          <cell r="C3145" t="str">
            <v>PEON</v>
          </cell>
          <cell r="D3145">
            <v>307.25</v>
          </cell>
        </row>
        <row r="3146">
          <cell r="A3146">
            <v>4606</v>
          </cell>
          <cell r="B3146" t="str">
            <v>JIMENEZ RAMIREZ MOISES</v>
          </cell>
          <cell r="C3146" t="str">
            <v>PEON</v>
          </cell>
          <cell r="D3146">
            <v>307.25</v>
          </cell>
        </row>
        <row r="3147">
          <cell r="A3147">
            <v>4607</v>
          </cell>
          <cell r="B3147" t="str">
            <v>LAUREANO RAMIREZ JOSE JESUS</v>
          </cell>
          <cell r="C3147" t="str">
            <v>PEON</v>
          </cell>
          <cell r="D3147">
            <v>307.25</v>
          </cell>
        </row>
        <row r="3148">
          <cell r="A3148">
            <v>4608</v>
          </cell>
          <cell r="B3148" t="str">
            <v>DE LA ROSA ALMARAZ RICARDO EMMANUEL</v>
          </cell>
          <cell r="C3148" t="str">
            <v>PEON</v>
          </cell>
          <cell r="D3148">
            <v>307.25</v>
          </cell>
        </row>
        <row r="3149">
          <cell r="A3149">
            <v>4609</v>
          </cell>
          <cell r="B3149" t="str">
            <v>RIVERA SOTELO RUBEN</v>
          </cell>
          <cell r="C3149" t="str">
            <v>PEON</v>
          </cell>
          <cell r="D3149">
            <v>307.25</v>
          </cell>
        </row>
        <row r="3150">
          <cell r="A3150">
            <v>4610</v>
          </cell>
          <cell r="B3150" t="str">
            <v>FLORES MORENO JOSÉ PABLO</v>
          </cell>
          <cell r="C3150" t="str">
            <v>PEON</v>
          </cell>
          <cell r="D3150">
            <v>307.25</v>
          </cell>
        </row>
        <row r="3151">
          <cell r="A3151">
            <v>4611</v>
          </cell>
          <cell r="B3151" t="str">
            <v>GOMEZ GUTIERREZ ALEJANDRO</v>
          </cell>
          <cell r="C3151" t="str">
            <v>PEON</v>
          </cell>
          <cell r="D3151">
            <v>307.25</v>
          </cell>
        </row>
        <row r="3152">
          <cell r="A3152">
            <v>4612</v>
          </cell>
          <cell r="B3152" t="str">
            <v>IBAÑEZ GARCIA OLIVER</v>
          </cell>
          <cell r="C3152" t="str">
            <v>OF</v>
          </cell>
          <cell r="D3152">
            <v>553.07</v>
          </cell>
        </row>
        <row r="3153">
          <cell r="A3153">
            <v>4613</v>
          </cell>
          <cell r="B3153" t="str">
            <v>GOMEZ HERNANDEZ FABIAN</v>
          </cell>
          <cell r="C3153" t="str">
            <v>PEON</v>
          </cell>
          <cell r="D3153">
            <v>307.25</v>
          </cell>
        </row>
        <row r="3154">
          <cell r="A3154">
            <v>4614</v>
          </cell>
          <cell r="B3154" t="str">
            <v>ENRIQUEZ CAMARENA CHRISTIAN</v>
          </cell>
          <cell r="C3154" t="str">
            <v>OF</v>
          </cell>
          <cell r="D3154">
            <v>553.07</v>
          </cell>
        </row>
        <row r="3155">
          <cell r="A3155">
            <v>4615</v>
          </cell>
          <cell r="B3155" t="str">
            <v>RODRIGUEZ LIMÓN ROBERTO</v>
          </cell>
          <cell r="C3155" t="str">
            <v>PEON</v>
          </cell>
          <cell r="D3155">
            <v>307.25</v>
          </cell>
        </row>
        <row r="3156">
          <cell r="A3156">
            <v>4616</v>
          </cell>
          <cell r="B3156" t="str">
            <v>ALCARAZ SANTILLAN ADAN</v>
          </cell>
          <cell r="C3156" t="str">
            <v>PEON</v>
          </cell>
          <cell r="D3156">
            <v>307.25</v>
          </cell>
        </row>
        <row r="3157">
          <cell r="A3157">
            <v>4617</v>
          </cell>
          <cell r="B3157" t="str">
            <v>MORA VERA JOSE SALVADOR</v>
          </cell>
          <cell r="C3157" t="str">
            <v>AZULE</v>
          </cell>
          <cell r="D3157">
            <v>260.46</v>
          </cell>
        </row>
        <row r="3158">
          <cell r="A3158">
            <v>4618</v>
          </cell>
          <cell r="B3158" t="str">
            <v>LARA GOMEZ JOSE JESUS</v>
          </cell>
          <cell r="C3158" t="str">
            <v>AZULE</v>
          </cell>
          <cell r="D3158">
            <v>260.46</v>
          </cell>
        </row>
        <row r="3159">
          <cell r="A3159">
            <v>4619</v>
          </cell>
          <cell r="B3159" t="str">
            <v>LARA GOMEZ AURELIO</v>
          </cell>
          <cell r="C3159" t="str">
            <v>AZULE</v>
          </cell>
          <cell r="D3159">
            <v>260.46</v>
          </cell>
        </row>
        <row r="3160">
          <cell r="A3160">
            <v>4620</v>
          </cell>
          <cell r="B3160" t="str">
            <v>LARA GARCIA JOSE ALEJANDRO</v>
          </cell>
          <cell r="C3160" t="str">
            <v>AZULE</v>
          </cell>
          <cell r="D3160">
            <v>260.46</v>
          </cell>
        </row>
        <row r="3161">
          <cell r="A3161">
            <v>4621</v>
          </cell>
          <cell r="B3161" t="str">
            <v>LARA GARCIA JESUS ADRIAN</v>
          </cell>
          <cell r="C3161" t="str">
            <v>AZULE</v>
          </cell>
          <cell r="D3161">
            <v>260.46</v>
          </cell>
        </row>
        <row r="3162">
          <cell r="A3162">
            <v>4622</v>
          </cell>
          <cell r="B3162" t="str">
            <v>MOLINA RODRIGUEZ JOSE FELIX</v>
          </cell>
          <cell r="C3162" t="str">
            <v>AZULE</v>
          </cell>
          <cell r="D3162">
            <v>260.46</v>
          </cell>
        </row>
        <row r="3163">
          <cell r="A3163">
            <v>4623</v>
          </cell>
          <cell r="B3163" t="str">
            <v>MOLINA JIMENEZ JONHATAN ALEXIS</v>
          </cell>
          <cell r="C3163" t="str">
            <v>AZULE</v>
          </cell>
          <cell r="D3163">
            <v>260.46</v>
          </cell>
        </row>
        <row r="3164">
          <cell r="A3164">
            <v>4624</v>
          </cell>
          <cell r="B3164" t="str">
            <v>JIMENEZ ROJAS HILDA</v>
          </cell>
          <cell r="C3164" t="str">
            <v>AZULE</v>
          </cell>
          <cell r="D3164">
            <v>260.46</v>
          </cell>
        </row>
        <row r="3165">
          <cell r="A3165">
            <v>4625</v>
          </cell>
          <cell r="B3165" t="str">
            <v>GOMEZ ESPARZA OSCAR MANUEL</v>
          </cell>
          <cell r="C3165" t="str">
            <v>PEON</v>
          </cell>
          <cell r="D3165">
            <v>307.25</v>
          </cell>
        </row>
        <row r="3166">
          <cell r="A3166">
            <v>4626</v>
          </cell>
          <cell r="B3166" t="str">
            <v>AMÉZQUITA NAVA JOSÉ GUADALUPE</v>
          </cell>
          <cell r="C3166" t="str">
            <v>PEON</v>
          </cell>
          <cell r="D3166">
            <v>307.25</v>
          </cell>
        </row>
        <row r="3167">
          <cell r="A3167">
            <v>4627</v>
          </cell>
          <cell r="B3167" t="str">
            <v>ACOSTA CAMACHO BRUNO</v>
          </cell>
          <cell r="C3167" t="str">
            <v>OF</v>
          </cell>
          <cell r="D3167">
            <v>553.07</v>
          </cell>
        </row>
        <row r="3168">
          <cell r="A3168">
            <v>4628</v>
          </cell>
          <cell r="B3168" t="str">
            <v>MAGAÑA BARRAGAN CRISTIAN ULISES</v>
          </cell>
          <cell r="C3168" t="str">
            <v>PEON</v>
          </cell>
          <cell r="D3168">
            <v>307.25</v>
          </cell>
        </row>
        <row r="3169">
          <cell r="A3169">
            <v>4629</v>
          </cell>
          <cell r="B3169" t="str">
            <v>GONZALEZ VAZQUEZ LUIS FERNANDO</v>
          </cell>
          <cell r="C3169" t="str">
            <v>PEON</v>
          </cell>
          <cell r="D3169">
            <v>307.25</v>
          </cell>
        </row>
        <row r="3170">
          <cell r="A3170">
            <v>4630</v>
          </cell>
          <cell r="B3170" t="str">
            <v>RAMOS HERNANDEZ MARTIN</v>
          </cell>
          <cell r="C3170" t="str">
            <v>PEON</v>
          </cell>
          <cell r="D3170">
            <v>307.25</v>
          </cell>
        </row>
        <row r="3171">
          <cell r="A3171">
            <v>4631</v>
          </cell>
          <cell r="B3171" t="str">
            <v>LOPEZ MATA FRANCISCO JAVIER</v>
          </cell>
          <cell r="C3171" t="str">
            <v>PEON</v>
          </cell>
          <cell r="D3171">
            <v>307.25</v>
          </cell>
        </row>
        <row r="3172">
          <cell r="A3172">
            <v>4632</v>
          </cell>
          <cell r="B3172" t="str">
            <v>ARIAS BARRAGAN ADOLFO</v>
          </cell>
          <cell r="C3172" t="str">
            <v>SOLD</v>
          </cell>
        </row>
        <row r="3173">
          <cell r="A3173">
            <v>4633</v>
          </cell>
          <cell r="B3173" t="str">
            <v>GARCIA MANZANO JOSE MARTIN</v>
          </cell>
          <cell r="C3173" t="str">
            <v>PEON</v>
          </cell>
          <cell r="D3173">
            <v>307.25</v>
          </cell>
        </row>
        <row r="3174">
          <cell r="A3174">
            <v>4634</v>
          </cell>
          <cell r="B3174" t="str">
            <v>VIDAL SOTO ALMA GABRIELA</v>
          </cell>
          <cell r="C3174" t="str">
            <v>ASEO</v>
          </cell>
        </row>
        <row r="3175">
          <cell r="A3175">
            <v>4635</v>
          </cell>
          <cell r="B3175" t="str">
            <v>CRUZ HERNANDEZ ROSA MARIA</v>
          </cell>
          <cell r="C3175" t="str">
            <v>ASEO</v>
          </cell>
        </row>
        <row r="3176">
          <cell r="A3176">
            <v>4636</v>
          </cell>
          <cell r="B3176" t="str">
            <v>VERA CAMACHO VALENTIN</v>
          </cell>
          <cell r="C3176" t="str">
            <v>PEON</v>
          </cell>
          <cell r="D3176">
            <v>307.25</v>
          </cell>
        </row>
        <row r="3177">
          <cell r="A3177">
            <v>4637</v>
          </cell>
          <cell r="B3177" t="str">
            <v>REYES BURCIAGA ISAAC</v>
          </cell>
          <cell r="C3177" t="str">
            <v>CHOFER</v>
          </cell>
          <cell r="D3177">
            <v>508.398571428571</v>
          </cell>
        </row>
        <row r="3178">
          <cell r="A3178">
            <v>4638</v>
          </cell>
          <cell r="B3178" t="str">
            <v>CRUZ LOPEZ MARIA GLORIA</v>
          </cell>
          <cell r="C3178" t="str">
            <v>ASEO</v>
          </cell>
        </row>
        <row r="3179">
          <cell r="A3179">
            <v>4639</v>
          </cell>
          <cell r="B3179" t="str">
            <v>SALINAS ENRÍQUEZ SABINO DANIEL</v>
          </cell>
          <cell r="C3179" t="str">
            <v>PEON</v>
          </cell>
          <cell r="D3179">
            <v>307.25</v>
          </cell>
        </row>
        <row r="3180">
          <cell r="A3180">
            <v>4640</v>
          </cell>
          <cell r="B3180" t="str">
            <v>DE LOS SANTOS GENTIL MAURICIO</v>
          </cell>
          <cell r="C3180" t="str">
            <v>PEON</v>
          </cell>
          <cell r="D3180">
            <v>307.25</v>
          </cell>
        </row>
        <row r="3181">
          <cell r="A3181">
            <v>4641</v>
          </cell>
          <cell r="B3181" t="str">
            <v>GONZALEZ SOLANO MONICO OMAR</v>
          </cell>
          <cell r="C3181" t="str">
            <v>PEON</v>
          </cell>
          <cell r="D3181">
            <v>307.25</v>
          </cell>
        </row>
        <row r="3182">
          <cell r="A3182">
            <v>4642</v>
          </cell>
          <cell r="B3182" t="str">
            <v>DIAZ GARCIA LEOBARDO</v>
          </cell>
          <cell r="C3182" t="str">
            <v>OF</v>
          </cell>
          <cell r="D3182">
            <v>553.07</v>
          </cell>
        </row>
        <row r="3183">
          <cell r="A3183">
            <v>4643</v>
          </cell>
          <cell r="B3183" t="str">
            <v>PEREZ MARIA IRMA</v>
          </cell>
          <cell r="C3183" t="str">
            <v>ASEO</v>
          </cell>
        </row>
        <row r="3184">
          <cell r="A3184">
            <v>4644</v>
          </cell>
          <cell r="B3184" t="str">
            <v>CASTELLON LOPEZ LUIS MANUEL</v>
          </cell>
          <cell r="C3184" t="str">
            <v>PEON</v>
          </cell>
          <cell r="D3184">
            <v>307.25</v>
          </cell>
        </row>
        <row r="3185">
          <cell r="A3185">
            <v>4645</v>
          </cell>
          <cell r="B3185" t="str">
            <v>CORTEZ SANTOS EDGAR IVAN</v>
          </cell>
          <cell r="C3185" t="str">
            <v>PEON</v>
          </cell>
          <cell r="D3185">
            <v>307.25</v>
          </cell>
        </row>
        <row r="3186">
          <cell r="A3186">
            <v>4646</v>
          </cell>
          <cell r="B3186" t="str">
            <v>RAMIREZ DE LA CRUZ IGNACIO</v>
          </cell>
          <cell r="C3186" t="str">
            <v>OF</v>
          </cell>
          <cell r="D3186">
            <v>553.07</v>
          </cell>
        </row>
        <row r="3187">
          <cell r="A3187">
            <v>4647</v>
          </cell>
          <cell r="B3187" t="str">
            <v>LAGUNAS DIAZ SALVADOR</v>
          </cell>
          <cell r="C3187" t="str">
            <v>OF</v>
          </cell>
          <cell r="D3187">
            <v>553.07</v>
          </cell>
        </row>
        <row r="3188">
          <cell r="A3188">
            <v>4648</v>
          </cell>
          <cell r="B3188" t="str">
            <v>PACHECO JIMENEZ JONATHAN ISRAEL</v>
          </cell>
          <cell r="C3188" t="str">
            <v>OF</v>
          </cell>
          <cell r="D3188">
            <v>553.07</v>
          </cell>
        </row>
        <row r="3189">
          <cell r="A3189">
            <v>4649</v>
          </cell>
          <cell r="B3189" t="str">
            <v>ESTRADA GONZALEZ VICTOR ADRIAN</v>
          </cell>
          <cell r="C3189" t="str">
            <v>OF</v>
          </cell>
          <cell r="D3189">
            <v>553.07</v>
          </cell>
        </row>
        <row r="3190">
          <cell r="A3190">
            <v>4650</v>
          </cell>
          <cell r="B3190" t="str">
            <v>AYALA PAZ ADRIAN</v>
          </cell>
          <cell r="C3190" t="str">
            <v>OF</v>
          </cell>
          <cell r="D3190">
            <v>553.07</v>
          </cell>
        </row>
        <row r="3191">
          <cell r="A3191">
            <v>4651</v>
          </cell>
          <cell r="B3191" t="str">
            <v>HERNANDEZ ANGUIANO OSBALDO OMAR</v>
          </cell>
          <cell r="C3191" t="str">
            <v>OF</v>
          </cell>
          <cell r="D3191">
            <v>553.07</v>
          </cell>
        </row>
        <row r="3192">
          <cell r="A3192">
            <v>4652</v>
          </cell>
          <cell r="B3192" t="str">
            <v>CORDOVA GARCIA ALEJANDRO FILEMON</v>
          </cell>
          <cell r="C3192" t="str">
            <v>PEON</v>
          </cell>
          <cell r="D3192">
            <v>307.25</v>
          </cell>
        </row>
        <row r="3193">
          <cell r="A3193">
            <v>4653</v>
          </cell>
          <cell r="B3193" t="str">
            <v>IBARRA LOPEZ RODOLFO</v>
          </cell>
          <cell r="C3193" t="str">
            <v>PEON</v>
          </cell>
          <cell r="D3193">
            <v>307.25</v>
          </cell>
        </row>
        <row r="3194">
          <cell r="A3194">
            <v>4654</v>
          </cell>
          <cell r="B3194" t="str">
            <v>MADERA CHAVEZ SAMUEL PASCUAL</v>
          </cell>
          <cell r="C3194" t="str">
            <v>OF</v>
          </cell>
          <cell r="D3194">
            <v>553.07</v>
          </cell>
        </row>
        <row r="3195">
          <cell r="A3195">
            <v>4655</v>
          </cell>
          <cell r="B3195" t="str">
            <v>JIMENEZ CORONA ISRAEL</v>
          </cell>
          <cell r="C3195" t="str">
            <v>OF</v>
          </cell>
          <cell r="D3195">
            <v>553.07</v>
          </cell>
        </row>
        <row r="3196">
          <cell r="A3196">
            <v>4656</v>
          </cell>
          <cell r="B3196" t="str">
            <v>APARICIO LAMAS JOSE GUADALUPE</v>
          </cell>
          <cell r="C3196" t="str">
            <v>PEON</v>
          </cell>
          <cell r="D3196">
            <v>307.25</v>
          </cell>
        </row>
        <row r="3197">
          <cell r="A3197">
            <v>4657</v>
          </cell>
          <cell r="B3197" t="str">
            <v>RODRIGUEZ TAPIA ROCIO ELIZABETH</v>
          </cell>
          <cell r="C3197" t="str">
            <v>ASEO</v>
          </cell>
          <cell r="D3197">
            <v>323.12</v>
          </cell>
        </row>
        <row r="3198">
          <cell r="A3198">
            <v>4658</v>
          </cell>
          <cell r="B3198" t="str">
            <v>GARCIA PALACIOS ERICK DUVAN</v>
          </cell>
          <cell r="C3198" t="str">
            <v>OF</v>
          </cell>
          <cell r="D3198">
            <v>553.07</v>
          </cell>
        </row>
        <row r="3199">
          <cell r="A3199">
            <v>4659</v>
          </cell>
          <cell r="B3199" t="str">
            <v>LOMELÍ MADRIGAL MANUEL EDUARDO</v>
          </cell>
          <cell r="C3199" t="str">
            <v>PEON</v>
          </cell>
          <cell r="D3199">
            <v>307.25</v>
          </cell>
        </row>
        <row r="3200">
          <cell r="A3200">
            <v>4660</v>
          </cell>
          <cell r="B3200" t="str">
            <v>DÁVALOS ROCHA CARLOS</v>
          </cell>
          <cell r="C3200" t="str">
            <v>OF</v>
          </cell>
          <cell r="D3200">
            <v>553.07</v>
          </cell>
        </row>
        <row r="3201">
          <cell r="A3201">
            <v>4661</v>
          </cell>
          <cell r="B3201" t="str">
            <v>IBARRA BARRAGAN LUIS ADRIAN</v>
          </cell>
          <cell r="C3201" t="str">
            <v>PEON</v>
          </cell>
          <cell r="D3201">
            <v>273.48</v>
          </cell>
        </row>
        <row r="3202">
          <cell r="A3202">
            <v>4662</v>
          </cell>
          <cell r="B3202" t="str">
            <v>SANCHEZ ALCALA JOSE CARLOS</v>
          </cell>
          <cell r="C3202" t="str">
            <v>PEON</v>
          </cell>
          <cell r="D3202">
            <v>307.25</v>
          </cell>
        </row>
        <row r="3203">
          <cell r="A3203">
            <v>4663</v>
          </cell>
          <cell r="B3203" t="str">
            <v>TREVIÑO ROJAS ALFREDO GABRIEL</v>
          </cell>
          <cell r="C3203" t="str">
            <v>OF</v>
          </cell>
          <cell r="D3203">
            <v>553.07</v>
          </cell>
        </row>
        <row r="3204">
          <cell r="A3204">
            <v>4664</v>
          </cell>
          <cell r="B3204" t="str">
            <v>JIMÉNEZ EUGENIO GABRIEL</v>
          </cell>
          <cell r="C3204" t="str">
            <v>OF</v>
          </cell>
          <cell r="D3204">
            <v>553.07</v>
          </cell>
        </row>
        <row r="3205">
          <cell r="A3205">
            <v>4665</v>
          </cell>
          <cell r="B3205" t="str">
            <v>HERNANDEZ HERNANDEZ JONATHAN</v>
          </cell>
          <cell r="C3205" t="str">
            <v>PEON</v>
          </cell>
          <cell r="D3205">
            <v>307.25</v>
          </cell>
        </row>
        <row r="3206">
          <cell r="A3206">
            <v>4666</v>
          </cell>
          <cell r="B3206" t="str">
            <v>MARTINEZ OROS DARIO</v>
          </cell>
          <cell r="C3206" t="str">
            <v>OF</v>
          </cell>
          <cell r="D3206">
            <v>553.07</v>
          </cell>
        </row>
        <row r="3207">
          <cell r="A3207">
            <v>4667</v>
          </cell>
          <cell r="B3207" t="str">
            <v>GONZALEZ MORALES ARGIMIRO</v>
          </cell>
          <cell r="C3207" t="str">
            <v>OF</v>
          </cell>
          <cell r="D3207">
            <v>553.07</v>
          </cell>
        </row>
        <row r="3208">
          <cell r="A3208">
            <v>4668</v>
          </cell>
          <cell r="B3208" t="str">
            <v>NUÑEZ FLORES EVA</v>
          </cell>
          <cell r="C3208" t="str">
            <v>ASEO</v>
          </cell>
        </row>
        <row r="3209">
          <cell r="A3209">
            <v>4669</v>
          </cell>
          <cell r="B3209" t="str">
            <v>VELAZQUEZ BARRIOS JORGE</v>
          </cell>
          <cell r="C3209" t="str">
            <v>PEON</v>
          </cell>
          <cell r="D3209">
            <v>307.25</v>
          </cell>
        </row>
        <row r="3210">
          <cell r="A3210">
            <v>4670</v>
          </cell>
          <cell r="B3210" t="str">
            <v>RIVERA PONCE JOSE JAIME</v>
          </cell>
          <cell r="C3210" t="str">
            <v>OF</v>
          </cell>
          <cell r="D3210">
            <v>553.07</v>
          </cell>
        </row>
        <row r="3211">
          <cell r="A3211">
            <v>4671</v>
          </cell>
          <cell r="B3211" t="str">
            <v>MARTINEZ JACOBO JOSE LUIS</v>
          </cell>
          <cell r="C3211" t="str">
            <v>PEON</v>
          </cell>
          <cell r="D3211">
            <v>307.25</v>
          </cell>
        </row>
        <row r="3212">
          <cell r="A3212">
            <v>4672</v>
          </cell>
          <cell r="B3212" t="str">
            <v>LOPEZ PADILLA JUAN PABLO</v>
          </cell>
          <cell r="C3212" t="str">
            <v>PEON</v>
          </cell>
          <cell r="D3212">
            <v>307.25</v>
          </cell>
        </row>
        <row r="3213">
          <cell r="A3213">
            <v>4673</v>
          </cell>
          <cell r="B3213" t="str">
            <v>GONZALEZ PERALES JORGE </v>
          </cell>
          <cell r="C3213" t="str">
            <v>OF</v>
          </cell>
          <cell r="D3213">
            <v>553.07</v>
          </cell>
        </row>
        <row r="3214">
          <cell r="A3214">
            <v>4674</v>
          </cell>
          <cell r="B3214" t="str">
            <v>VEGA GUZMAN JOSE MANUEL</v>
          </cell>
          <cell r="C3214" t="str">
            <v>PEON</v>
          </cell>
          <cell r="D3214">
            <v>307.25</v>
          </cell>
        </row>
        <row r="3215">
          <cell r="A3215">
            <v>4675</v>
          </cell>
          <cell r="B3215" t="str">
            <v>FLORES PATRICIO CESAR ANTONIO</v>
          </cell>
          <cell r="C3215" t="str">
            <v>PEON</v>
          </cell>
          <cell r="D3215">
            <v>307.25</v>
          </cell>
        </row>
        <row r="3216">
          <cell r="A3216">
            <v>4676</v>
          </cell>
          <cell r="B3216" t="str">
            <v>HERNANDEZ SILVESTRE ANTONIO</v>
          </cell>
          <cell r="C3216" t="str">
            <v>OF</v>
          </cell>
          <cell r="D3216">
            <v>553.07</v>
          </cell>
        </row>
        <row r="3217">
          <cell r="A3217">
            <v>4677</v>
          </cell>
          <cell r="B3217" t="str">
            <v>GONZALEZ NAVARRO LUIS FERNANDO</v>
          </cell>
          <cell r="C3217" t="str">
            <v>PEON</v>
          </cell>
          <cell r="D3217">
            <v>307.25</v>
          </cell>
        </row>
        <row r="3218">
          <cell r="A3218">
            <v>4678</v>
          </cell>
          <cell r="B3218" t="str">
            <v>RANGEL VARGAS MANUEL</v>
          </cell>
          <cell r="C3218" t="str">
            <v>PEON</v>
          </cell>
          <cell r="D3218">
            <v>307.25</v>
          </cell>
        </row>
        <row r="3219">
          <cell r="A3219">
            <v>4679</v>
          </cell>
          <cell r="B3219" t="str">
            <v>SILVA PALOMERA HÉCTOR FABIÁN</v>
          </cell>
          <cell r="C3219" t="str">
            <v>PEON</v>
          </cell>
          <cell r="D3219">
            <v>307.25</v>
          </cell>
        </row>
        <row r="3220">
          <cell r="A3220">
            <v>4680</v>
          </cell>
          <cell r="B3220" t="str">
            <v>CORDOVA CANDELARIO JOSE ENRIQUE</v>
          </cell>
          <cell r="C3220" t="str">
            <v>PEON</v>
          </cell>
          <cell r="D3220">
            <v>307.25</v>
          </cell>
        </row>
        <row r="3221">
          <cell r="A3221">
            <v>4681</v>
          </cell>
          <cell r="B3221" t="str">
            <v>OCAMPO LUISES VICTOR</v>
          </cell>
          <cell r="C3221" t="str">
            <v>OF</v>
          </cell>
          <cell r="D3221">
            <v>553.07</v>
          </cell>
        </row>
        <row r="3222">
          <cell r="A3222">
            <v>4682</v>
          </cell>
          <cell r="B3222" t="str">
            <v>OCAMPO ALONSO VICTOR ANDRES</v>
          </cell>
          <cell r="C3222" t="str">
            <v>OF</v>
          </cell>
          <cell r="D3222">
            <v>553.07</v>
          </cell>
        </row>
        <row r="3223">
          <cell r="A3223">
            <v>4683</v>
          </cell>
          <cell r="B3223" t="str">
            <v>GARCIA CABRAL VICTOR</v>
          </cell>
          <cell r="C3223" t="str">
            <v>OF</v>
          </cell>
          <cell r="D3223">
            <v>553.07</v>
          </cell>
        </row>
        <row r="3224">
          <cell r="A3224">
            <v>4684</v>
          </cell>
          <cell r="B3224" t="str">
            <v>GARCIA CARRASCO ARMANDO</v>
          </cell>
          <cell r="C3224" t="str">
            <v>OF</v>
          </cell>
          <cell r="D3224">
            <v>492.28</v>
          </cell>
        </row>
        <row r="3225">
          <cell r="A3225">
            <v>4685</v>
          </cell>
          <cell r="B3225" t="str">
            <v>ZAMORA JIMENEZ JOSE DE JESUS</v>
          </cell>
          <cell r="C3225" t="str">
            <v>PEON</v>
          </cell>
          <cell r="D3225">
            <v>307.25</v>
          </cell>
        </row>
        <row r="3226">
          <cell r="A3226">
            <v>4686</v>
          </cell>
          <cell r="B3226" t="str">
            <v>TORRES DANIEL VICTOR MANUEL</v>
          </cell>
          <cell r="C3226" t="str">
            <v>PEON</v>
          </cell>
          <cell r="D3226">
            <v>307.25</v>
          </cell>
        </row>
        <row r="3227">
          <cell r="A3227">
            <v>4687</v>
          </cell>
          <cell r="B3227" t="str">
            <v>RUBIO FLORES JOSE ANGEL</v>
          </cell>
          <cell r="C3227" t="str">
            <v>PEON</v>
          </cell>
          <cell r="D3227">
            <v>307.25</v>
          </cell>
        </row>
        <row r="3228">
          <cell r="A3228">
            <v>4688</v>
          </cell>
          <cell r="B3228" t="str">
            <v>REYES PEREZ JOSE ALFREDO</v>
          </cell>
          <cell r="C3228" t="str">
            <v>OF</v>
          </cell>
          <cell r="D3228">
            <v>553.07</v>
          </cell>
        </row>
        <row r="3229">
          <cell r="A3229">
            <v>4689</v>
          </cell>
          <cell r="B3229" t="str">
            <v>ARREGUIN AGUILAR J. JESUS</v>
          </cell>
          <cell r="C3229" t="str">
            <v>OF</v>
          </cell>
          <cell r="D3229">
            <v>553.07</v>
          </cell>
        </row>
        <row r="3230">
          <cell r="A3230">
            <v>4690</v>
          </cell>
          <cell r="B3230" t="str">
            <v>VALDEZ RAMOS MARCOS</v>
          </cell>
          <cell r="C3230" t="str">
            <v>PINTOR</v>
          </cell>
        </row>
        <row r="3231">
          <cell r="A3231">
            <v>4691</v>
          </cell>
          <cell r="B3231" t="str">
            <v>MELCHOR ROBLES HECTOR ANDRES</v>
          </cell>
          <cell r="C3231" t="str">
            <v>PINTOR</v>
          </cell>
          <cell r="D3231">
            <v>553.07</v>
          </cell>
        </row>
        <row r="3232">
          <cell r="A3232">
            <v>4692</v>
          </cell>
          <cell r="B3232" t="str">
            <v>GUILLEN LOPEZ JOSE ANTONIO</v>
          </cell>
          <cell r="C3232" t="str">
            <v>PEON</v>
          </cell>
          <cell r="D3232">
            <v>307.25</v>
          </cell>
        </row>
        <row r="3233">
          <cell r="A3233">
            <v>4693</v>
          </cell>
          <cell r="B3233" t="str">
            <v>DELGADO MEDINA LUIS ALBERTO</v>
          </cell>
          <cell r="C3233" t="str">
            <v>OF</v>
          </cell>
          <cell r="D3233">
            <v>553.07</v>
          </cell>
        </row>
        <row r="3234">
          <cell r="A3234">
            <v>4694</v>
          </cell>
          <cell r="B3234" t="str">
            <v>SANDOVAL VALLEJO DANIEL</v>
          </cell>
          <cell r="C3234" t="str">
            <v>OF</v>
          </cell>
          <cell r="D3234">
            <v>553.07</v>
          </cell>
        </row>
        <row r="3235">
          <cell r="A3235">
            <v>4695</v>
          </cell>
          <cell r="B3235" t="str">
            <v>GODINEZ JIMENEZ SALVADOR</v>
          </cell>
          <cell r="C3235" t="str">
            <v>PEON</v>
          </cell>
          <cell r="D3235">
            <v>307.25</v>
          </cell>
        </row>
        <row r="3236">
          <cell r="A3236">
            <v>4696</v>
          </cell>
          <cell r="B3236" t="str">
            <v>GONZALEZ MORA JOSE MANUEL</v>
          </cell>
          <cell r="C3236" t="str">
            <v>PEON</v>
          </cell>
          <cell r="D3236">
            <v>307.25</v>
          </cell>
        </row>
        <row r="3237">
          <cell r="A3237">
            <v>4697</v>
          </cell>
          <cell r="B3237" t="str">
            <v>MARQUEZ CANALES MOISES</v>
          </cell>
          <cell r="C3237" t="str">
            <v>PEON</v>
          </cell>
          <cell r="D3237">
            <v>273.48</v>
          </cell>
        </row>
        <row r="3238">
          <cell r="A3238">
            <v>4698</v>
          </cell>
          <cell r="B3238" t="str">
            <v>LEDESMA MEDEL MARIO ALBERTO</v>
          </cell>
          <cell r="C3238" t="str">
            <v>OF</v>
          </cell>
          <cell r="D3238">
            <v>553.07</v>
          </cell>
        </row>
        <row r="3239">
          <cell r="A3239">
            <v>4699</v>
          </cell>
          <cell r="B3239" t="str">
            <v>RIVERA RIVERA LEONARDO DE JESUS</v>
          </cell>
          <cell r="C3239" t="str">
            <v>OF</v>
          </cell>
          <cell r="D3239">
            <v>553.07</v>
          </cell>
        </row>
        <row r="3240">
          <cell r="A3240">
            <v>4700</v>
          </cell>
          <cell r="B3240" t="str">
            <v>MENDOZA MARTINEZ MARCOS</v>
          </cell>
          <cell r="C3240" t="str">
            <v>OF</v>
          </cell>
          <cell r="D3240">
            <v>553.07</v>
          </cell>
        </row>
        <row r="3241">
          <cell r="A3241">
            <v>4701</v>
          </cell>
          <cell r="B3241" t="str">
            <v>TORRES VEGA JUAN CARLOS</v>
          </cell>
          <cell r="C3241" t="str">
            <v>PEON</v>
          </cell>
          <cell r="D3241">
            <v>307.25</v>
          </cell>
        </row>
        <row r="3242">
          <cell r="A3242">
            <v>4702</v>
          </cell>
          <cell r="B3242" t="str">
            <v>MARTINEZ GOMEZ JOSE CRISTIAN</v>
          </cell>
          <cell r="C3242" t="str">
            <v>PEON</v>
          </cell>
          <cell r="D3242">
            <v>307.25</v>
          </cell>
        </row>
        <row r="3243">
          <cell r="A3243">
            <v>4703</v>
          </cell>
          <cell r="B3243" t="str">
            <v>LOYO CRUZ FRANCISCO MIGUEL</v>
          </cell>
          <cell r="C3243" t="str">
            <v>PINTOR</v>
          </cell>
          <cell r="D3243">
            <v>273.48</v>
          </cell>
        </row>
        <row r="3244">
          <cell r="A3244">
            <v>4704</v>
          </cell>
          <cell r="B3244" t="str">
            <v>ROCHA MICHEL OSCAR MARTIN</v>
          </cell>
          <cell r="C3244" t="str">
            <v>PEON</v>
          </cell>
          <cell r="D3244">
            <v>307.25</v>
          </cell>
        </row>
        <row r="3245">
          <cell r="A3245">
            <v>4705</v>
          </cell>
          <cell r="B3245" t="str">
            <v>YAÑEZ DE LA CRUZ JOSE JUAN</v>
          </cell>
          <cell r="C3245" t="str">
            <v>PEON</v>
          </cell>
          <cell r="D3245">
            <v>307.25</v>
          </cell>
        </row>
        <row r="3246">
          <cell r="A3246">
            <v>4706</v>
          </cell>
          <cell r="B3246" t="str">
            <v>MARIN LOPEZ MARCOS MANUEL</v>
          </cell>
          <cell r="C3246" t="str">
            <v>PEON</v>
          </cell>
          <cell r="D3246">
            <v>307.25</v>
          </cell>
        </row>
        <row r="3247">
          <cell r="A3247">
            <v>4707</v>
          </cell>
          <cell r="B3247" t="str">
            <v>VALLE MORA DANIEL</v>
          </cell>
          <cell r="C3247" t="str">
            <v>PEON</v>
          </cell>
          <cell r="D3247">
            <v>307.25</v>
          </cell>
        </row>
        <row r="3248">
          <cell r="A3248">
            <v>4708</v>
          </cell>
          <cell r="B3248" t="str">
            <v>REYNAGA RITO SONIA</v>
          </cell>
          <cell r="C3248" t="str">
            <v>ASEO</v>
          </cell>
          <cell r="D3248">
            <v>401.25</v>
          </cell>
        </row>
        <row r="3249">
          <cell r="A3249">
            <v>4709</v>
          </cell>
          <cell r="B3249" t="str">
            <v>AVALOS VAZQUEZ PABLO ALBERTO</v>
          </cell>
          <cell r="C3249" t="str">
            <v>PEON</v>
          </cell>
          <cell r="D3249">
            <v>307.25</v>
          </cell>
        </row>
        <row r="3250">
          <cell r="A3250">
            <v>4710</v>
          </cell>
          <cell r="B3250" t="str">
            <v>ENRIQUEZ DOMINGUEZ JOSUE DAVID</v>
          </cell>
          <cell r="C3250" t="str">
            <v>PEON</v>
          </cell>
          <cell r="D3250">
            <v>307.25</v>
          </cell>
        </row>
        <row r="3251">
          <cell r="A3251">
            <v>4711</v>
          </cell>
          <cell r="B3251" t="str">
            <v>VILLAVICENCIO CASTAÑEDA DIEGO</v>
          </cell>
          <cell r="C3251" t="str">
            <v>PEON</v>
          </cell>
          <cell r="D3251">
            <v>307.25</v>
          </cell>
        </row>
        <row r="3252">
          <cell r="A3252">
            <v>4712</v>
          </cell>
          <cell r="B3252" t="str">
            <v>FLORES DIAZ SERGIO</v>
          </cell>
          <cell r="C3252" t="str">
            <v>PEON</v>
          </cell>
          <cell r="D3252">
            <v>307.25</v>
          </cell>
        </row>
        <row r="3253">
          <cell r="A3253">
            <v>4713</v>
          </cell>
          <cell r="B3253" t="str">
            <v>RODRIGUEZ GARZA ROSENDO</v>
          </cell>
          <cell r="C3253" t="str">
            <v>OF</v>
          </cell>
          <cell r="D3253">
            <v>553.07</v>
          </cell>
        </row>
        <row r="3254">
          <cell r="A3254">
            <v>4714</v>
          </cell>
          <cell r="B3254" t="str">
            <v>MALDONADO ORTEGA LUIS GERARDO</v>
          </cell>
          <cell r="C3254" t="str">
            <v>PEON</v>
          </cell>
          <cell r="D3254">
            <v>307.25</v>
          </cell>
        </row>
        <row r="3255">
          <cell r="A3255">
            <v>4715</v>
          </cell>
          <cell r="B3255" t="str">
            <v>CABRAL MARTINEZ OSCAR MARTIN</v>
          </cell>
          <cell r="C3255" t="str">
            <v>PEON</v>
          </cell>
          <cell r="D3255">
            <v>307.25</v>
          </cell>
        </row>
        <row r="3256">
          <cell r="A3256">
            <v>4716</v>
          </cell>
          <cell r="B3256" t="str">
            <v>CONTRERAS CHAVEZ MARIO ARMANDO</v>
          </cell>
          <cell r="C3256" t="str">
            <v>PEON</v>
          </cell>
          <cell r="D3256">
            <v>307.25</v>
          </cell>
        </row>
        <row r="3257">
          <cell r="A3257">
            <v>4717</v>
          </cell>
          <cell r="B3257" t="str">
            <v>MORALES MUÑOZ OSWALDO RUBEN</v>
          </cell>
          <cell r="C3257" t="str">
            <v>PINTOR</v>
          </cell>
          <cell r="D3257">
            <v>553.07</v>
          </cell>
        </row>
        <row r="3258">
          <cell r="A3258">
            <v>4718</v>
          </cell>
          <cell r="B3258" t="str">
            <v>MONTELONGO ESPINOZA HERIBERTO</v>
          </cell>
          <cell r="C3258" t="str">
            <v>PEON</v>
          </cell>
          <cell r="D3258">
            <v>307.25</v>
          </cell>
        </row>
        <row r="3259">
          <cell r="A3259">
            <v>4719</v>
          </cell>
          <cell r="B3259" t="str">
            <v>VALLEJO MENDOZA JOSE LUIS</v>
          </cell>
          <cell r="C3259" t="str">
            <v>PEON</v>
          </cell>
          <cell r="D3259">
            <v>307.25</v>
          </cell>
        </row>
        <row r="3260">
          <cell r="A3260">
            <v>4720</v>
          </cell>
          <cell r="B3260" t="str">
            <v>CRUZ CABRERA RICARDO</v>
          </cell>
          <cell r="C3260" t="str">
            <v>PEON</v>
          </cell>
          <cell r="D3260">
            <v>355</v>
          </cell>
        </row>
        <row r="3261">
          <cell r="A3261">
            <v>4721</v>
          </cell>
          <cell r="B3261" t="str">
            <v>CLARO GONZALEZ JUAN MANUEL</v>
          </cell>
          <cell r="C3261" t="str">
            <v>PEON</v>
          </cell>
          <cell r="D3261">
            <v>307.25</v>
          </cell>
        </row>
        <row r="3262">
          <cell r="A3262">
            <v>4722</v>
          </cell>
          <cell r="B3262" t="str">
            <v>SILVA HERNANDEZ TOMAS RODRIGO</v>
          </cell>
          <cell r="C3262" t="str">
            <v>PEON</v>
          </cell>
          <cell r="D3262">
            <v>273.48</v>
          </cell>
        </row>
        <row r="3263">
          <cell r="A3263">
            <v>4723</v>
          </cell>
          <cell r="B3263" t="str">
            <v>MACILLAS RAMIREZ JORGE SALVADOR</v>
          </cell>
          <cell r="C3263" t="str">
            <v>PEON</v>
          </cell>
          <cell r="D3263">
            <v>273.48</v>
          </cell>
        </row>
        <row r="3264">
          <cell r="A3264">
            <v>4724</v>
          </cell>
          <cell r="B3264" t="str">
            <v>TOSCANO HERNANDEZ SERGIO DAVID</v>
          </cell>
          <cell r="C3264" t="str">
            <v>PEON</v>
          </cell>
          <cell r="D3264">
            <v>307.25</v>
          </cell>
        </row>
        <row r="3265">
          <cell r="A3265">
            <v>4725</v>
          </cell>
          <cell r="B3265" t="str">
            <v>FRAIDE BELTRAN JUAN JOSE</v>
          </cell>
          <cell r="C3265" t="str">
            <v>PEON</v>
          </cell>
          <cell r="D3265">
            <v>307.25</v>
          </cell>
        </row>
        <row r="3266">
          <cell r="A3266">
            <v>4726</v>
          </cell>
          <cell r="B3266" t="str">
            <v>DELGADILLO GUZMAN JORGE DIEGO</v>
          </cell>
          <cell r="C3266" t="str">
            <v>PEON</v>
          </cell>
          <cell r="D3266">
            <v>307.25</v>
          </cell>
        </row>
        <row r="3267">
          <cell r="A3267">
            <v>4727</v>
          </cell>
          <cell r="B3267" t="str">
            <v>GARCÍA PONCIANO JOEL ANDRÉS</v>
          </cell>
          <cell r="C3267" t="str">
            <v>PEON</v>
          </cell>
          <cell r="D3267">
            <v>307.25</v>
          </cell>
        </row>
        <row r="3268">
          <cell r="A3268">
            <v>4728</v>
          </cell>
          <cell r="B3268" t="str">
            <v>ROMERO FULGENCIO HILARIO</v>
          </cell>
          <cell r="C3268" t="str">
            <v>OF</v>
          </cell>
          <cell r="D3268">
            <v>553.07</v>
          </cell>
        </row>
        <row r="3269">
          <cell r="A3269">
            <v>4729</v>
          </cell>
          <cell r="B3269" t="str">
            <v>ROMERO FULGENCIO PEDRO</v>
          </cell>
          <cell r="C3269" t="str">
            <v>OF</v>
          </cell>
          <cell r="D3269">
            <v>553.07</v>
          </cell>
        </row>
        <row r="3270">
          <cell r="A3270">
            <v>4730</v>
          </cell>
          <cell r="B3270" t="str">
            <v>LOPEZ PEREZ SALVADOR</v>
          </cell>
          <cell r="C3270" t="str">
            <v>OF</v>
          </cell>
          <cell r="D3270">
            <v>553.07</v>
          </cell>
        </row>
        <row r="3271">
          <cell r="A3271">
            <v>4731</v>
          </cell>
          <cell r="B3271" t="str">
            <v>MEZA TORRES CESAR SANTIAGO</v>
          </cell>
          <cell r="C3271" t="str">
            <v>PEON</v>
          </cell>
          <cell r="D3271">
            <v>307.25</v>
          </cell>
        </row>
        <row r="3272">
          <cell r="A3272">
            <v>4732</v>
          </cell>
          <cell r="B3272" t="str">
            <v>GONZALEZ QUINTERO ROBERTO CARLOS</v>
          </cell>
          <cell r="C3272" t="str">
            <v>PEON</v>
          </cell>
          <cell r="D3272">
            <v>307.25</v>
          </cell>
        </row>
        <row r="3273">
          <cell r="A3273">
            <v>4733</v>
          </cell>
          <cell r="B3273" t="str">
            <v>ROMERO LOPEZ JONATHAN ISRAEL</v>
          </cell>
          <cell r="C3273" t="str">
            <v>PEON</v>
          </cell>
          <cell r="D3273">
            <v>307.25</v>
          </cell>
        </row>
        <row r="3274">
          <cell r="A3274">
            <v>4734</v>
          </cell>
          <cell r="B3274" t="str">
            <v>GUTIERREZ GUTIERREZ JOSE ARTURO</v>
          </cell>
          <cell r="C3274" t="str">
            <v>OF</v>
          </cell>
          <cell r="D3274">
            <v>553.07</v>
          </cell>
        </row>
        <row r="3275">
          <cell r="A3275">
            <v>4735</v>
          </cell>
          <cell r="B3275" t="str">
            <v>TOLENTINO CHINO GALDINO</v>
          </cell>
          <cell r="C3275" t="str">
            <v>OF</v>
          </cell>
          <cell r="D3275">
            <v>553.07</v>
          </cell>
        </row>
        <row r="3276">
          <cell r="A3276">
            <v>4736</v>
          </cell>
          <cell r="B3276" t="str">
            <v>ZUÑIGA VELAZQUEZ DAGOBERTO</v>
          </cell>
          <cell r="C3276" t="str">
            <v>PEON</v>
          </cell>
          <cell r="D3276">
            <v>307.25</v>
          </cell>
        </row>
        <row r="3277">
          <cell r="A3277">
            <v>4737</v>
          </cell>
          <cell r="B3277" t="str">
            <v>GUTIERREZ MENDOZA DIEGO ARTURO</v>
          </cell>
          <cell r="C3277" t="str">
            <v>PEON</v>
          </cell>
          <cell r="D3277">
            <v>307.25</v>
          </cell>
        </row>
        <row r="3278">
          <cell r="A3278">
            <v>4738</v>
          </cell>
          <cell r="B3278" t="str">
            <v>SAUCEDO SALINAS SERGIO ALBERTO</v>
          </cell>
          <cell r="C3278" t="str">
            <v>PEON</v>
          </cell>
          <cell r="D3278">
            <v>307.25</v>
          </cell>
        </row>
        <row r="3279">
          <cell r="A3279">
            <v>4739</v>
          </cell>
          <cell r="B3279" t="str">
            <v>CALDERON TELLEZ JUVENAL</v>
          </cell>
          <cell r="C3279" t="str">
            <v>OF</v>
          </cell>
          <cell r="D3279">
            <v>553.07</v>
          </cell>
        </row>
        <row r="3280">
          <cell r="A3280">
            <v>4740</v>
          </cell>
          <cell r="B3280" t="str">
            <v>RODRIGUEZ RAMOS EDGAR ISAAC</v>
          </cell>
          <cell r="C3280" t="str">
            <v>PEON</v>
          </cell>
          <cell r="D3280">
            <v>307.25</v>
          </cell>
        </row>
        <row r="3281">
          <cell r="A3281">
            <v>4741</v>
          </cell>
          <cell r="B3281" t="str">
            <v>RODRIGUEZ GUAJARDO CARLOS</v>
          </cell>
          <cell r="C3281" t="str">
            <v>OF</v>
          </cell>
          <cell r="D3281">
            <v>492.28</v>
          </cell>
        </row>
        <row r="3282">
          <cell r="A3282">
            <v>4742</v>
          </cell>
          <cell r="B3282" t="str">
            <v>HERNANDEZ CURIEL SALVADOR</v>
          </cell>
          <cell r="C3282" t="str">
            <v>PEON</v>
          </cell>
          <cell r="D3282">
            <v>307.25</v>
          </cell>
        </row>
        <row r="3283">
          <cell r="A3283">
            <v>4743</v>
          </cell>
          <cell r="B3283" t="str">
            <v>MORENO DE LA ROSA MARTIN</v>
          </cell>
          <cell r="C3283" t="str">
            <v>OF</v>
          </cell>
          <cell r="D3283">
            <v>553.07</v>
          </cell>
        </row>
        <row r="3284">
          <cell r="A3284">
            <v>4744</v>
          </cell>
          <cell r="B3284" t="str">
            <v>MORENO DE LA ROSA ALEJANDRO</v>
          </cell>
          <cell r="C3284" t="str">
            <v>OF</v>
          </cell>
          <cell r="D3284">
            <v>553.07</v>
          </cell>
        </row>
        <row r="3285">
          <cell r="A3285">
            <v>4745</v>
          </cell>
          <cell r="B3285" t="str">
            <v>MORENO DE LA ROSA SAMUEL</v>
          </cell>
          <cell r="C3285" t="str">
            <v>OF</v>
          </cell>
          <cell r="D3285">
            <v>553.07</v>
          </cell>
        </row>
        <row r="3286">
          <cell r="A3286">
            <v>4746</v>
          </cell>
          <cell r="B3286" t="str">
            <v>OLGUIN GARCIA ABAD</v>
          </cell>
          <cell r="C3286" t="str">
            <v>OF</v>
          </cell>
          <cell r="D3286">
            <v>553.07</v>
          </cell>
        </row>
        <row r="3287">
          <cell r="A3287">
            <v>4747</v>
          </cell>
          <cell r="B3287" t="str">
            <v>MARTINEZ PEREZ JOSE REFUGIO</v>
          </cell>
          <cell r="C3287" t="str">
            <v>OF</v>
          </cell>
          <cell r="D3287">
            <v>553.07</v>
          </cell>
        </row>
        <row r="3288">
          <cell r="A3288">
            <v>4748</v>
          </cell>
          <cell r="B3288" t="str">
            <v>SALAZAR GARCÍA FLAVIO CÉSAR</v>
          </cell>
          <cell r="C3288" t="str">
            <v>OF</v>
          </cell>
          <cell r="D3288">
            <v>553.07</v>
          </cell>
        </row>
        <row r="3289">
          <cell r="A3289">
            <v>4749</v>
          </cell>
          <cell r="B3289" t="str">
            <v>REYNA SANCHEZ JORGE</v>
          </cell>
          <cell r="C3289" t="str">
            <v>OF</v>
          </cell>
          <cell r="D3289">
            <v>553.07</v>
          </cell>
        </row>
        <row r="3290">
          <cell r="A3290">
            <v>4750</v>
          </cell>
          <cell r="B3290" t="str">
            <v>DIAZ IBARRA JUAN JOSE</v>
          </cell>
          <cell r="C3290" t="str">
            <v>PEON</v>
          </cell>
          <cell r="D3290">
            <v>307.25</v>
          </cell>
        </row>
        <row r="3291">
          <cell r="A3291">
            <v>4751</v>
          </cell>
          <cell r="B3291" t="str">
            <v>GARZA MAGALLANES DANIEL</v>
          </cell>
          <cell r="C3291" t="str">
            <v>OF</v>
          </cell>
          <cell r="D3291">
            <v>553.07</v>
          </cell>
        </row>
        <row r="3292">
          <cell r="A3292">
            <v>4752</v>
          </cell>
          <cell r="B3292" t="str">
            <v>RODRIGUEZ MALTA JULIO CESAR </v>
          </cell>
          <cell r="C3292" t="str">
            <v>PEON</v>
          </cell>
          <cell r="D3292">
            <v>307.25</v>
          </cell>
        </row>
        <row r="3293">
          <cell r="A3293">
            <v>4753</v>
          </cell>
          <cell r="B3293" t="str">
            <v>VAZQUEZ CISNEROS FRANCISCO</v>
          </cell>
          <cell r="C3293" t="str">
            <v>PEON</v>
          </cell>
          <cell r="D3293">
            <v>307.25</v>
          </cell>
        </row>
        <row r="3294">
          <cell r="A3294">
            <v>4754</v>
          </cell>
          <cell r="B3294" t="str">
            <v>ALBA REYES JOSE DE JESUS</v>
          </cell>
          <cell r="C3294" t="str">
            <v>OF</v>
          </cell>
          <cell r="D3294">
            <v>553.07</v>
          </cell>
        </row>
        <row r="3295">
          <cell r="A3295">
            <v>4755</v>
          </cell>
          <cell r="B3295" t="str">
            <v>FLORES ALBA JOSÉ DARIEL</v>
          </cell>
          <cell r="C3295" t="str">
            <v>PEON</v>
          </cell>
          <cell r="D3295">
            <v>307.25</v>
          </cell>
        </row>
        <row r="3296">
          <cell r="A3296">
            <v>4756</v>
          </cell>
          <cell r="B3296" t="str">
            <v>ROBLES RUVALCABA MARTÍN ISMAEL</v>
          </cell>
          <cell r="C3296" t="str">
            <v>PEON</v>
          </cell>
          <cell r="D3296">
            <v>307.25</v>
          </cell>
        </row>
        <row r="3297">
          <cell r="A3297">
            <v>4757</v>
          </cell>
          <cell r="B3297" t="str">
            <v>TELLO PÉREZ ARMANDO ABRAHAM </v>
          </cell>
          <cell r="C3297" t="str">
            <v>PEON</v>
          </cell>
          <cell r="D3297">
            <v>307.25</v>
          </cell>
        </row>
        <row r="3298">
          <cell r="A3298">
            <v>4758</v>
          </cell>
          <cell r="B3298" t="str">
            <v>URISTA ORTEGA EMILIANO</v>
          </cell>
          <cell r="C3298" t="str">
            <v>PEON</v>
          </cell>
          <cell r="D3298">
            <v>273.48</v>
          </cell>
        </row>
        <row r="3299">
          <cell r="A3299">
            <v>4759</v>
          </cell>
          <cell r="B3299" t="str">
            <v>DELGADO AVIÑA JOSÉ GUADALUPE</v>
          </cell>
          <cell r="C3299" t="str">
            <v>PEON</v>
          </cell>
          <cell r="D3299">
            <v>307.25</v>
          </cell>
        </row>
        <row r="3300">
          <cell r="A3300">
            <v>4760</v>
          </cell>
          <cell r="B3300" t="str">
            <v>AGUIRRE VELAZQUEZ JAVIER</v>
          </cell>
          <cell r="C3300" t="str">
            <v>PEON</v>
          </cell>
          <cell r="D3300">
            <v>307.25</v>
          </cell>
        </row>
        <row r="3301">
          <cell r="A3301">
            <v>4761</v>
          </cell>
          <cell r="B3301" t="str">
            <v>LOPEZ RAMIREZ JORGE ALONSO</v>
          </cell>
          <cell r="C3301" t="str">
            <v>PEON</v>
          </cell>
          <cell r="D3301">
            <v>307.25</v>
          </cell>
        </row>
        <row r="3302">
          <cell r="A3302">
            <v>4762</v>
          </cell>
          <cell r="B3302" t="str">
            <v>REYES BRAVO MIGUEL ANGEL</v>
          </cell>
          <cell r="C3302" t="str">
            <v>PEON</v>
          </cell>
          <cell r="D3302">
            <v>307.25</v>
          </cell>
        </row>
        <row r="3303">
          <cell r="A3303">
            <v>4763</v>
          </cell>
          <cell r="B3303" t="str">
            <v>GARCÍA CASTRO JESÚS ANTONIO</v>
          </cell>
          <cell r="C3303" t="str">
            <v>PEON</v>
          </cell>
          <cell r="D3303">
            <v>307.25</v>
          </cell>
        </row>
        <row r="3304">
          <cell r="A3304">
            <v>4764</v>
          </cell>
          <cell r="B3304" t="str">
            <v>HERNÁNDEZ GARCÍA LUIS ALFONSO</v>
          </cell>
          <cell r="C3304" t="str">
            <v>PEON</v>
          </cell>
          <cell r="D3304">
            <v>307.25</v>
          </cell>
        </row>
        <row r="3305">
          <cell r="A3305">
            <v>4765</v>
          </cell>
          <cell r="B3305" t="str">
            <v>GARIBAY RUELAS JOSÉ MANUEL</v>
          </cell>
          <cell r="C3305" t="str">
            <v>PEON</v>
          </cell>
          <cell r="D3305">
            <v>307.25</v>
          </cell>
        </row>
        <row r="3306">
          <cell r="A3306">
            <v>4766</v>
          </cell>
          <cell r="B3306" t="str">
            <v>SAUCEDO VEGA ALEJANDRO</v>
          </cell>
          <cell r="C3306" t="str">
            <v>PEON</v>
          </cell>
          <cell r="D3306">
            <v>307.25</v>
          </cell>
        </row>
        <row r="3307">
          <cell r="A3307">
            <v>4767</v>
          </cell>
          <cell r="B3307" t="str">
            <v>PAZ VILLANUEVA BRANDON ÓMAR</v>
          </cell>
          <cell r="C3307" t="str">
            <v>PEON</v>
          </cell>
          <cell r="D3307">
            <v>307.25</v>
          </cell>
        </row>
        <row r="3308">
          <cell r="A3308">
            <v>4768</v>
          </cell>
          <cell r="B3308" t="str">
            <v>RAMOS RODRIGUEZ SAUL ALEJANDRO</v>
          </cell>
          <cell r="C3308" t="str">
            <v>PEON</v>
          </cell>
          <cell r="D3308">
            <v>307.25</v>
          </cell>
        </row>
        <row r="3309">
          <cell r="A3309">
            <v>4769</v>
          </cell>
          <cell r="B3309" t="str">
            <v>GUERRERO LÓPEZ LEONARDO DANIEL</v>
          </cell>
          <cell r="C3309" t="str">
            <v>PEON</v>
          </cell>
          <cell r="D3309">
            <v>307.25</v>
          </cell>
        </row>
        <row r="3310">
          <cell r="A3310">
            <v>4770</v>
          </cell>
          <cell r="B3310" t="str">
            <v>BIZARRO XILONZOCHITL MAURICIO JORDÁN</v>
          </cell>
          <cell r="C3310" t="str">
            <v>PEON</v>
          </cell>
          <cell r="D3310">
            <v>307.25</v>
          </cell>
        </row>
        <row r="3311">
          <cell r="A3311">
            <v>4771</v>
          </cell>
          <cell r="B3311" t="str">
            <v>TORRES BAÑUELOS DIEGO SALATIEL</v>
          </cell>
          <cell r="C3311" t="str">
            <v>PEON</v>
          </cell>
          <cell r="D3311">
            <v>307.25</v>
          </cell>
        </row>
        <row r="3312">
          <cell r="A3312">
            <v>4772</v>
          </cell>
          <cell r="B3312" t="str">
            <v>MEDINA ALVARADO SERGIO IVÁN</v>
          </cell>
          <cell r="C3312" t="str">
            <v>PEON</v>
          </cell>
          <cell r="D3312">
            <v>307.25</v>
          </cell>
        </row>
        <row r="3313">
          <cell r="A3313">
            <v>4773</v>
          </cell>
          <cell r="B3313" t="str">
            <v>MEZA NAVARRO ALEXIS RAMIRO</v>
          </cell>
          <cell r="C3313" t="str">
            <v>PEON</v>
          </cell>
          <cell r="D3313">
            <v>307.25</v>
          </cell>
        </row>
        <row r="3314">
          <cell r="A3314">
            <v>4774</v>
          </cell>
          <cell r="B3314" t="str">
            <v>SALVADOR LEÓN JOSÉ ALFREDO</v>
          </cell>
          <cell r="C3314" t="str">
            <v>PEON</v>
          </cell>
          <cell r="D3314">
            <v>307.25</v>
          </cell>
        </row>
        <row r="3315">
          <cell r="A3315">
            <v>4775</v>
          </cell>
          <cell r="B3315" t="str">
            <v>MORA JIMÉNEZ JOSUÉ</v>
          </cell>
          <cell r="C3315" t="str">
            <v>PEON</v>
          </cell>
          <cell r="D3315">
            <v>307.25</v>
          </cell>
        </row>
        <row r="3316">
          <cell r="A3316">
            <v>4776</v>
          </cell>
          <cell r="B3316" t="str">
            <v>PÉREZ MARES JONATAN GUSTAVO</v>
          </cell>
          <cell r="C3316" t="str">
            <v>PEON</v>
          </cell>
          <cell r="D3316">
            <v>307.25</v>
          </cell>
        </row>
        <row r="3317">
          <cell r="A3317">
            <v>4777</v>
          </cell>
          <cell r="B3317" t="str">
            <v>MEJÍA NAVARRO EMMANUEL</v>
          </cell>
          <cell r="C3317" t="str">
            <v>PEON</v>
          </cell>
          <cell r="D3317">
            <v>307.25</v>
          </cell>
        </row>
        <row r="3318">
          <cell r="A3318">
            <v>4778</v>
          </cell>
          <cell r="B3318" t="str">
            <v>RODRÍGUEZ AYALA FERNANDO DE JESÚS</v>
          </cell>
          <cell r="C3318" t="str">
            <v>PEON</v>
          </cell>
          <cell r="D3318">
            <v>307.25</v>
          </cell>
        </row>
        <row r="3319">
          <cell r="A3319">
            <v>4779</v>
          </cell>
          <cell r="B3319" t="str">
            <v>HERNÁNDEZ HUERTA LUIS ÁNGEL</v>
          </cell>
          <cell r="C3319" t="str">
            <v>PEON</v>
          </cell>
          <cell r="D3319">
            <v>307.25</v>
          </cell>
        </row>
        <row r="3320">
          <cell r="A3320">
            <v>4780</v>
          </cell>
          <cell r="B3320" t="str">
            <v>VÁZQUEZ MARTÍNEZ CRISTOFER DE JESÚS</v>
          </cell>
          <cell r="C3320" t="str">
            <v>PEON</v>
          </cell>
          <cell r="D3320">
            <v>307.25</v>
          </cell>
        </row>
        <row r="3321">
          <cell r="A3321">
            <v>4781</v>
          </cell>
          <cell r="B3321" t="str">
            <v>VEGA AGUIRRE ABRAHAM</v>
          </cell>
          <cell r="C3321" t="str">
            <v>PEON</v>
          </cell>
          <cell r="D3321">
            <v>307.25</v>
          </cell>
        </row>
        <row r="3322">
          <cell r="A3322">
            <v>4782</v>
          </cell>
          <cell r="B3322" t="str">
            <v>RAMÍREZ VILLA FRANCISCO JAVIER</v>
          </cell>
          <cell r="C3322" t="str">
            <v>PEON</v>
          </cell>
          <cell r="D3322">
            <v>307.25</v>
          </cell>
        </row>
        <row r="3323">
          <cell r="A3323">
            <v>4783</v>
          </cell>
          <cell r="B3323" t="str">
            <v>GONZÁLEZ CAMPOS ÓSCAR IVÁN</v>
          </cell>
          <cell r="C3323" t="str">
            <v>PEON</v>
          </cell>
          <cell r="D3323">
            <v>307.25</v>
          </cell>
        </row>
        <row r="3324">
          <cell r="A3324">
            <v>4784</v>
          </cell>
          <cell r="B3324" t="str">
            <v>RODRÍGUEZ HERNÁNDEZ CARLOS OMAR</v>
          </cell>
          <cell r="C3324" t="str">
            <v>PEON</v>
          </cell>
          <cell r="D3324">
            <v>307.25</v>
          </cell>
        </row>
        <row r="3325">
          <cell r="A3325">
            <v>4785</v>
          </cell>
          <cell r="B3325" t="str">
            <v>GARCÍA GARCÍA ELVIS RAUL</v>
          </cell>
          <cell r="C3325" t="str">
            <v>PEON</v>
          </cell>
          <cell r="D3325">
            <v>307.25</v>
          </cell>
        </row>
        <row r="3326">
          <cell r="A3326">
            <v>4786</v>
          </cell>
          <cell r="B3326" t="str">
            <v>CRUZ SOTO MAXIMINO MARTÍN</v>
          </cell>
          <cell r="C3326" t="str">
            <v>PEON</v>
          </cell>
          <cell r="D3326">
            <v>307.25</v>
          </cell>
        </row>
        <row r="3327">
          <cell r="A3327">
            <v>4787</v>
          </cell>
          <cell r="B3327" t="str">
            <v>ESPINOZA LÓPEZ JONATHAN ARATH</v>
          </cell>
          <cell r="C3327" t="str">
            <v>PEON</v>
          </cell>
          <cell r="D3327">
            <v>307.25</v>
          </cell>
        </row>
        <row r="3328">
          <cell r="A3328">
            <v>4788</v>
          </cell>
          <cell r="B3328" t="str">
            <v>SAUCEDO FLORES LUIS ENRIQUE</v>
          </cell>
          <cell r="C3328" t="str">
            <v>OF</v>
          </cell>
          <cell r="D3328">
            <v>553.07</v>
          </cell>
        </row>
        <row r="3329">
          <cell r="A3329">
            <v>4789</v>
          </cell>
          <cell r="B3329" t="str">
            <v>MEJÍA ARÍAS HUGO ALONSO</v>
          </cell>
          <cell r="C3329" t="str">
            <v>PEON</v>
          </cell>
          <cell r="D3329">
            <v>307.25</v>
          </cell>
        </row>
        <row r="3330">
          <cell r="A3330">
            <v>4790</v>
          </cell>
          <cell r="B3330" t="str">
            <v>CASTILLO OCHOA JESÚS ALONSO</v>
          </cell>
          <cell r="C3330" t="str">
            <v>PEON</v>
          </cell>
          <cell r="D3330">
            <v>307.25</v>
          </cell>
        </row>
        <row r="3331">
          <cell r="A3331">
            <v>4791</v>
          </cell>
          <cell r="B3331" t="str">
            <v>MORA CUEVAS JUAN MANUEL</v>
          </cell>
          <cell r="C3331" t="str">
            <v>PEON</v>
          </cell>
          <cell r="D3331">
            <v>307.25</v>
          </cell>
        </row>
        <row r="3332">
          <cell r="A3332">
            <v>4792</v>
          </cell>
          <cell r="B3332" t="str">
            <v>RUIZ RICO FRANCISCO JAVIER</v>
          </cell>
          <cell r="C3332" t="str">
            <v>PEON</v>
          </cell>
          <cell r="D3332">
            <v>307.25</v>
          </cell>
        </row>
        <row r="3333">
          <cell r="A3333">
            <v>4793</v>
          </cell>
          <cell r="B3333" t="str">
            <v>ROBLES GODÍNEZ LUIS JAVIER</v>
          </cell>
          <cell r="C3333" t="str">
            <v>PEON</v>
          </cell>
          <cell r="D3333">
            <v>307.25</v>
          </cell>
        </row>
        <row r="3334">
          <cell r="A3334">
            <v>4794</v>
          </cell>
          <cell r="B3334" t="str">
            <v>CARBAJAL GALLARDO FRANCISCO</v>
          </cell>
          <cell r="C3334" t="str">
            <v>PEON</v>
          </cell>
          <cell r="D3334">
            <v>307.25</v>
          </cell>
        </row>
        <row r="3335">
          <cell r="A3335">
            <v>4795</v>
          </cell>
          <cell r="B3335" t="str">
            <v>MORA RAMÍREZ CÉSAR ALEJANDRO</v>
          </cell>
          <cell r="C3335" t="str">
            <v>PEON</v>
          </cell>
          <cell r="D3335">
            <v>307.25</v>
          </cell>
        </row>
        <row r="3336">
          <cell r="A3336">
            <v>4796</v>
          </cell>
          <cell r="B3336" t="str">
            <v>PRECIADO PARRA HÉCTOR</v>
          </cell>
          <cell r="C3336" t="str">
            <v>PEON</v>
          </cell>
          <cell r="D3336">
            <v>307.25</v>
          </cell>
        </row>
        <row r="3337">
          <cell r="A3337">
            <v>4797</v>
          </cell>
          <cell r="B3337" t="str">
            <v>ALCALÁ BERNAL JONATHAN OMAR</v>
          </cell>
          <cell r="C3337" t="str">
            <v>PEON</v>
          </cell>
          <cell r="D3337">
            <v>307.25</v>
          </cell>
        </row>
        <row r="3338">
          <cell r="A3338">
            <v>4798</v>
          </cell>
          <cell r="B3338" t="str">
            <v>LÓPEZ DÍAZ HELIOS YAEL</v>
          </cell>
          <cell r="C3338" t="str">
            <v>PEON</v>
          </cell>
          <cell r="D3338">
            <v>307.25</v>
          </cell>
        </row>
        <row r="3339">
          <cell r="A3339">
            <v>4799</v>
          </cell>
          <cell r="B3339" t="str">
            <v>BARROZO ALBA ALFREDO</v>
          </cell>
          <cell r="C3339" t="str">
            <v>PEON</v>
          </cell>
          <cell r="D3339">
            <v>355</v>
          </cell>
        </row>
        <row r="3340">
          <cell r="A3340">
            <v>4800</v>
          </cell>
          <cell r="B3340" t="str">
            <v>LÓPEZ MATA KEVIN EDUARDO</v>
          </cell>
          <cell r="C3340" t="str">
            <v>PEON</v>
          </cell>
          <cell r="D3340">
            <v>192.77</v>
          </cell>
        </row>
        <row r="3341">
          <cell r="A3341">
            <v>4801</v>
          </cell>
          <cell r="B3341" t="str">
            <v>ZAMORA MARTÍNEZ MIGUEL IGNACIO</v>
          </cell>
          <cell r="C3341" t="str">
            <v>PEON</v>
          </cell>
          <cell r="D3341">
            <v>307.25</v>
          </cell>
        </row>
        <row r="3342">
          <cell r="A3342">
            <v>4802</v>
          </cell>
          <cell r="B3342" t="str">
            <v>VILLA JAVIER</v>
          </cell>
          <cell r="C3342" t="str">
            <v>PEON</v>
          </cell>
          <cell r="D3342">
            <v>307.25</v>
          </cell>
        </row>
        <row r="3343">
          <cell r="A3343">
            <v>4803</v>
          </cell>
          <cell r="B3343" t="str">
            <v>GÓMEZ GARCÍA JUAN PABLO</v>
          </cell>
          <cell r="C3343" t="str">
            <v>PEON</v>
          </cell>
          <cell r="D3343">
            <v>307.25</v>
          </cell>
        </row>
        <row r="3344">
          <cell r="A3344">
            <v>4804</v>
          </cell>
          <cell r="B3344" t="str">
            <v>SAUCEDO FLORES JUAN MANUEL</v>
          </cell>
          <cell r="C3344" t="str">
            <v>OF</v>
          </cell>
          <cell r="D3344">
            <v>553.07</v>
          </cell>
        </row>
        <row r="3345">
          <cell r="A3345">
            <v>4805</v>
          </cell>
          <cell r="B3345" t="str">
            <v>LOMELÍ MADRIGAL MARCO ANTONIO</v>
          </cell>
          <cell r="C3345" t="str">
            <v>PEON</v>
          </cell>
          <cell r="D3345">
            <v>307.25</v>
          </cell>
        </row>
        <row r="3346">
          <cell r="A3346">
            <v>4806</v>
          </cell>
          <cell r="B3346" t="str">
            <v>CAMPOS LÓPEZ JESÚS</v>
          </cell>
          <cell r="C3346" t="str">
            <v>PEON</v>
          </cell>
          <cell r="D3346">
            <v>307.25</v>
          </cell>
        </row>
        <row r="3347">
          <cell r="A3347">
            <v>4807</v>
          </cell>
          <cell r="B3347" t="str">
            <v>RAMÍREZ ROSALES EMILIO</v>
          </cell>
          <cell r="C3347" t="str">
            <v>PEON</v>
          </cell>
          <cell r="D3347">
            <v>307.25</v>
          </cell>
        </row>
        <row r="3348">
          <cell r="A3348">
            <v>4808</v>
          </cell>
          <cell r="B3348" t="str">
            <v>FLORES MORENO HÉCTOR MANUEL</v>
          </cell>
          <cell r="C3348" t="str">
            <v>PEON</v>
          </cell>
          <cell r="D3348">
            <v>307.25</v>
          </cell>
        </row>
        <row r="3349">
          <cell r="A3349">
            <v>4809</v>
          </cell>
          <cell r="B3349" t="str">
            <v>SÁNCHEZ MALDONADO JOSÉ LUIS</v>
          </cell>
          <cell r="C3349" t="str">
            <v>PEON</v>
          </cell>
          <cell r="D3349">
            <v>307.25</v>
          </cell>
        </row>
        <row r="3350">
          <cell r="A3350">
            <v>4810</v>
          </cell>
          <cell r="B3350" t="str">
            <v>FÉLIX LÓPEZ FRANCISCO ALEJANDRO</v>
          </cell>
          <cell r="C3350" t="str">
            <v>PEON</v>
          </cell>
          <cell r="D3350">
            <v>307.25</v>
          </cell>
        </row>
        <row r="3351">
          <cell r="A3351">
            <v>4811</v>
          </cell>
          <cell r="B3351" t="str">
            <v>RUVALCABA HERNÁNDEZ JESÚS</v>
          </cell>
          <cell r="C3351" t="str">
            <v>OF</v>
          </cell>
          <cell r="D3351">
            <v>553.07</v>
          </cell>
        </row>
        <row r="3352">
          <cell r="A3352">
            <v>4812</v>
          </cell>
          <cell r="B3352" t="str">
            <v>DÁVALOS FRAGA ÓSCAR ALEJANDRO</v>
          </cell>
          <cell r="C3352" t="str">
            <v>OF</v>
          </cell>
          <cell r="D3352">
            <v>553.07</v>
          </cell>
        </row>
        <row r="3353">
          <cell r="A3353">
            <v>4813</v>
          </cell>
          <cell r="B3353" t="str">
            <v>DÁVALOS ÁVILA JOSÉ ÁNGEL</v>
          </cell>
          <cell r="C3353" t="str">
            <v>OF</v>
          </cell>
          <cell r="D3353">
            <v>553.07</v>
          </cell>
        </row>
        <row r="3354">
          <cell r="A3354">
            <v>4814</v>
          </cell>
          <cell r="B3354" t="str">
            <v>CUESTAS RAMÍREZ JOSÉ JESÚS</v>
          </cell>
          <cell r="C3354" t="str">
            <v>OF</v>
          </cell>
          <cell r="D3354">
            <v>553.07</v>
          </cell>
        </row>
        <row r="3355">
          <cell r="A3355">
            <v>4815</v>
          </cell>
          <cell r="B3355" t="str">
            <v>NÚÑEZ MUÑOZ ESTIVEN RAUDEL</v>
          </cell>
          <cell r="C3355" t="str">
            <v>PEON</v>
          </cell>
          <cell r="D3355">
            <v>307.25</v>
          </cell>
        </row>
        <row r="3356">
          <cell r="A3356">
            <v>4816</v>
          </cell>
          <cell r="B3356" t="str">
            <v>XILONZÓCHITL SALDAÑA EDUARDO FRANCISCO</v>
          </cell>
          <cell r="C3356" t="str">
            <v>PEON</v>
          </cell>
          <cell r="D3356">
            <v>307.25</v>
          </cell>
        </row>
        <row r="3357">
          <cell r="A3357">
            <v>4817</v>
          </cell>
          <cell r="B3357" t="str">
            <v>MENDOZA OCAMPO LUIS MANUEL</v>
          </cell>
          <cell r="C3357" t="str">
            <v>JARD</v>
          </cell>
          <cell r="D3357">
            <v>500</v>
          </cell>
        </row>
        <row r="3358">
          <cell r="A3358">
            <v>4818</v>
          </cell>
          <cell r="B3358" t="str">
            <v>COVARRUBIAS ROMERO ARNULFO ULISES</v>
          </cell>
          <cell r="C3358" t="str">
            <v>PEON</v>
          </cell>
          <cell r="D3358">
            <v>307.25</v>
          </cell>
        </row>
        <row r="3359">
          <cell r="A3359">
            <v>4819</v>
          </cell>
          <cell r="B3359" t="str">
            <v>SEGURA DÁVALOS CARLOS ALBERTO</v>
          </cell>
          <cell r="C3359" t="str">
            <v>PEON</v>
          </cell>
          <cell r="D3359">
            <v>307.25</v>
          </cell>
        </row>
        <row r="3360">
          <cell r="A3360">
            <v>4820</v>
          </cell>
          <cell r="B3360" t="str">
            <v>RODRÍGUEZ ROJAS ÓSCAR IVÁN</v>
          </cell>
          <cell r="C3360" t="str">
            <v>PEON</v>
          </cell>
          <cell r="D3360">
            <v>307.25</v>
          </cell>
        </row>
        <row r="3361">
          <cell r="A3361">
            <v>4821</v>
          </cell>
          <cell r="B3361" t="str">
            <v>OROPEZA BRIONES DAVID ISRAEL</v>
          </cell>
          <cell r="C3361" t="str">
            <v>PEON</v>
          </cell>
          <cell r="D3361">
            <v>307.25</v>
          </cell>
        </row>
        <row r="3362">
          <cell r="A3362">
            <v>4822</v>
          </cell>
          <cell r="B3362" t="str">
            <v>PÉREZ JIMÉNEZ JUAN ERNESTO</v>
          </cell>
          <cell r="C3362" t="str">
            <v>CHOFER</v>
          </cell>
          <cell r="D3362">
            <v>553.07</v>
          </cell>
        </row>
        <row r="3363">
          <cell r="A3363">
            <v>4823</v>
          </cell>
          <cell r="B3363" t="str">
            <v>BERNAL OCEGUEDA ABRAHAM</v>
          </cell>
          <cell r="C3363" t="str">
            <v>TOPOGRAFIA</v>
          </cell>
          <cell r="D3363">
            <v>690.35</v>
          </cell>
        </row>
        <row r="3364">
          <cell r="A3364">
            <v>4824</v>
          </cell>
          <cell r="B3364" t="str">
            <v>RAUDALES RODRÍGUEZ CRISTIAN BERNARDO</v>
          </cell>
          <cell r="C3364" t="str">
            <v>PEON</v>
          </cell>
          <cell r="D3364">
            <v>307.25</v>
          </cell>
        </row>
        <row r="3365">
          <cell r="A3365">
            <v>4825</v>
          </cell>
          <cell r="B3365" t="str">
            <v>BELTRÁN LÓPEZ HÉCTOR</v>
          </cell>
          <cell r="C3365" t="str">
            <v>PEON</v>
          </cell>
          <cell r="D3365">
            <v>307.25</v>
          </cell>
        </row>
        <row r="3366">
          <cell r="A3366">
            <v>4826</v>
          </cell>
          <cell r="B3366" t="str">
            <v>ROMÁN VÁZQUEZ DAVID EMMANUEL</v>
          </cell>
          <cell r="C3366" t="str">
            <v>OF</v>
          </cell>
          <cell r="D3366">
            <v>553.07</v>
          </cell>
        </row>
        <row r="3367">
          <cell r="A3367">
            <v>4827</v>
          </cell>
          <cell r="B3367" t="str">
            <v>SÁNCHEZ DÍAZ ALEJANDRO</v>
          </cell>
          <cell r="C3367" t="str">
            <v>OF</v>
          </cell>
          <cell r="D3367">
            <v>553.07</v>
          </cell>
        </row>
        <row r="3368">
          <cell r="A3368">
            <v>4828</v>
          </cell>
          <cell r="B3368" t="str">
            <v>ENRÍQUEZ CARRETERO ÁNGEL EDUARDO</v>
          </cell>
          <cell r="C3368" t="str">
            <v>PEON</v>
          </cell>
          <cell r="D3368">
            <v>307.25</v>
          </cell>
        </row>
        <row r="3369">
          <cell r="A3369">
            <v>4829</v>
          </cell>
          <cell r="B3369" t="str">
            <v>HURTADO REAL DARIÉN JEAN CARLO</v>
          </cell>
          <cell r="C3369" t="str">
            <v>PEON</v>
          </cell>
          <cell r="D3369">
            <v>307.25</v>
          </cell>
        </row>
        <row r="3370">
          <cell r="A3370">
            <v>4830</v>
          </cell>
          <cell r="B3370" t="str">
            <v>ENRÍQUEZ DE LOS SANTOS SERGIO</v>
          </cell>
          <cell r="C3370" t="str">
            <v>OF</v>
          </cell>
          <cell r="D3370">
            <v>553.07</v>
          </cell>
        </row>
        <row r="3371">
          <cell r="A3371">
            <v>4831</v>
          </cell>
          <cell r="B3371" t="str">
            <v>RODRÍGUEZ BRIONES JUAN LUIS</v>
          </cell>
          <cell r="C3371" t="str">
            <v>OF</v>
          </cell>
          <cell r="D3371">
            <v>553.07</v>
          </cell>
        </row>
        <row r="3372">
          <cell r="A3372">
            <v>4832</v>
          </cell>
          <cell r="B3372" t="str">
            <v>FLORES GARCÍA SERGIO </v>
          </cell>
          <cell r="C3372" t="str">
            <v>OF</v>
          </cell>
          <cell r="D3372">
            <v>553.07</v>
          </cell>
        </row>
        <row r="3373">
          <cell r="A3373">
            <v>4833</v>
          </cell>
          <cell r="B3373" t="str">
            <v>ELVIRA DE LOS SANTOS JUAN FELIPE</v>
          </cell>
          <cell r="C3373" t="str">
            <v>OF</v>
          </cell>
          <cell r="D3373">
            <v>553.07</v>
          </cell>
        </row>
        <row r="3374">
          <cell r="A3374">
            <v>4834</v>
          </cell>
          <cell r="B3374" t="str">
            <v>HERNÁNDEZ FRAIDES JULIÁN</v>
          </cell>
          <cell r="C3374" t="str">
            <v>PEON</v>
          </cell>
          <cell r="D3374">
            <v>355</v>
          </cell>
        </row>
        <row r="3375">
          <cell r="A3375">
            <v>4835</v>
          </cell>
          <cell r="B3375" t="str">
            <v>BARRIOS JIMÉNEZ LORENZO</v>
          </cell>
          <cell r="C3375" t="str">
            <v>PEON</v>
          </cell>
          <cell r="D3375">
            <v>307.25</v>
          </cell>
        </row>
        <row r="3376">
          <cell r="A3376">
            <v>4836</v>
          </cell>
          <cell r="B3376" t="str">
            <v>DE LA TORRE ROSAS ÓSCAR EDUARDO</v>
          </cell>
          <cell r="C3376" t="str">
            <v>PEON</v>
          </cell>
          <cell r="D3376">
            <v>307.25</v>
          </cell>
        </row>
        <row r="3377">
          <cell r="A3377">
            <v>4837</v>
          </cell>
          <cell r="B3377" t="str">
            <v>ECHEVERRÍA MENDOZA JESÚS OSWALDO </v>
          </cell>
          <cell r="C3377" t="str">
            <v>PEON</v>
          </cell>
          <cell r="D3377">
            <v>307.25</v>
          </cell>
        </row>
        <row r="3378">
          <cell r="A3378">
            <v>4838</v>
          </cell>
          <cell r="B3378" t="str">
            <v>TRINIDAD TRINIDAD JOSÉ OMAR</v>
          </cell>
          <cell r="C3378" t="str">
            <v>OF</v>
          </cell>
          <cell r="D3378">
            <v>553.07</v>
          </cell>
        </row>
        <row r="3379">
          <cell r="A3379">
            <v>4839</v>
          </cell>
          <cell r="B3379" t="str">
            <v>GARCÍA HERNÁNDEZ LUIS FERNANDO</v>
          </cell>
          <cell r="C3379" t="str">
            <v>PEON</v>
          </cell>
          <cell r="D3379">
            <v>307.25</v>
          </cell>
        </row>
        <row r="3380">
          <cell r="A3380">
            <v>4840</v>
          </cell>
          <cell r="B3380" t="str">
            <v>VÁZQUEZ HERNÁNDEZ FRANCISCO SERVANDO</v>
          </cell>
          <cell r="C3380" t="str">
            <v>PEON</v>
          </cell>
          <cell r="D3380">
            <v>355</v>
          </cell>
        </row>
        <row r="3381">
          <cell r="A3381">
            <v>4841</v>
          </cell>
          <cell r="B3381" t="str">
            <v>LÓPEZ HERNÁNDEZ GABRIEL</v>
          </cell>
          <cell r="C3381" t="str">
            <v>OF</v>
          </cell>
          <cell r="D3381">
            <v>553.07</v>
          </cell>
        </row>
        <row r="3382">
          <cell r="A3382">
            <v>4842</v>
          </cell>
          <cell r="B3382" t="str">
            <v>SOTO SANDOVAL JAIME</v>
          </cell>
          <cell r="C3382" t="str">
            <v>OF</v>
          </cell>
          <cell r="D3382">
            <v>553.07</v>
          </cell>
        </row>
        <row r="3383">
          <cell r="A3383">
            <v>4843</v>
          </cell>
          <cell r="B3383" t="str">
            <v>VELAZCO SOTO JOSÉ ALFREDO</v>
          </cell>
          <cell r="C3383" t="str">
            <v>PEON</v>
          </cell>
          <cell r="D3383">
            <v>307.25</v>
          </cell>
        </row>
        <row r="3384">
          <cell r="A3384">
            <v>4844</v>
          </cell>
          <cell r="B3384" t="str">
            <v>HERNÁNDEZ GARCÍA BRANDON MISAEL</v>
          </cell>
          <cell r="C3384" t="str">
            <v>PEON</v>
          </cell>
          <cell r="D3384">
            <v>307.25</v>
          </cell>
        </row>
        <row r="3385">
          <cell r="A3385">
            <v>4845</v>
          </cell>
          <cell r="B3385" t="str">
            <v>TRINIDAD RODRÍGUEZ JULIO CÉSAR</v>
          </cell>
          <cell r="C3385" t="str">
            <v>OF</v>
          </cell>
          <cell r="D3385">
            <v>553.07</v>
          </cell>
        </row>
        <row r="3386">
          <cell r="A3386">
            <v>4846</v>
          </cell>
          <cell r="B3386" t="str">
            <v>DE LOS SANTOS GENTIL LUIS ALEJANDRO</v>
          </cell>
          <cell r="C3386" t="str">
            <v>PEON</v>
          </cell>
          <cell r="D3386">
            <v>307.25</v>
          </cell>
        </row>
        <row r="3387">
          <cell r="A3387">
            <v>4847</v>
          </cell>
          <cell r="B3387" t="str">
            <v>OCHOA AGUILAR JOSÉ LUIS</v>
          </cell>
          <cell r="C3387" t="str">
            <v>PEON</v>
          </cell>
          <cell r="D3387">
            <v>307.25</v>
          </cell>
        </row>
        <row r="3388">
          <cell r="A3388">
            <v>4848</v>
          </cell>
          <cell r="B3388" t="str">
            <v>CERVANTES GARCÍA JUAN DANIEL</v>
          </cell>
          <cell r="C3388" t="str">
            <v>PEON</v>
          </cell>
          <cell r="D3388">
            <v>307.25</v>
          </cell>
        </row>
        <row r="3389">
          <cell r="A3389">
            <v>4849</v>
          </cell>
          <cell r="B3389" t="str">
            <v>SÁNCHEZ VÁZQUEZ DANIEL ALEJANDRO</v>
          </cell>
          <cell r="C3389" t="str">
            <v>PEON</v>
          </cell>
          <cell r="D3389">
            <v>307.25</v>
          </cell>
        </row>
        <row r="3390">
          <cell r="A3390">
            <v>4850</v>
          </cell>
          <cell r="B3390" t="str">
            <v>SUÁREZ TOVAR ÓSCAR IVÁN</v>
          </cell>
          <cell r="C3390" t="str">
            <v>PEON</v>
          </cell>
          <cell r="D3390">
            <v>355</v>
          </cell>
        </row>
        <row r="3391">
          <cell r="A3391">
            <v>4851</v>
          </cell>
          <cell r="B3391" t="str">
            <v>XILONZOCHITL AGUILAR SERGIO ADRIÁN</v>
          </cell>
          <cell r="C3391" t="str">
            <v>OF</v>
          </cell>
          <cell r="D3391">
            <v>553.07</v>
          </cell>
        </row>
        <row r="3392">
          <cell r="A3392">
            <v>4852</v>
          </cell>
          <cell r="B3392" t="str">
            <v>BÁLBER MARTÍNEZ JORGE HUMBERTO</v>
          </cell>
          <cell r="C3392" t="str">
            <v>PEON</v>
          </cell>
          <cell r="D3392">
            <v>355</v>
          </cell>
        </row>
        <row r="3393">
          <cell r="A3393">
            <v>4853</v>
          </cell>
          <cell r="B3393" t="str">
            <v>PAREDES SÁNCHEZ IVÁN</v>
          </cell>
          <cell r="C3393" t="str">
            <v>PEON</v>
          </cell>
          <cell r="D3393">
            <v>307.25</v>
          </cell>
        </row>
        <row r="3394">
          <cell r="A3394">
            <v>4854</v>
          </cell>
          <cell r="B3394" t="str">
            <v>CERVANTES GARCÍA MIGUEL ÁNGEL</v>
          </cell>
          <cell r="C3394" t="str">
            <v>PEON</v>
          </cell>
          <cell r="D3394">
            <v>307.25</v>
          </cell>
        </row>
        <row r="3395">
          <cell r="A3395">
            <v>4855</v>
          </cell>
          <cell r="B3395" t="str">
            <v>GUTIÉRREZ CONTRERAS ERIK EDOARDO</v>
          </cell>
          <cell r="C3395" t="str">
            <v>PEON</v>
          </cell>
          <cell r="D3395">
            <v>307.25</v>
          </cell>
        </row>
        <row r="3396">
          <cell r="A3396">
            <v>4856</v>
          </cell>
          <cell r="B3396" t="str">
            <v>XILONZOCHITL MORA JESÚS CARLOS</v>
          </cell>
          <cell r="C3396" t="str">
            <v>PEON</v>
          </cell>
          <cell r="D3396">
            <v>307.25</v>
          </cell>
        </row>
        <row r="3397">
          <cell r="A3397">
            <v>4857</v>
          </cell>
          <cell r="B3397" t="str">
            <v>GUTIÉRREZ FLORES EMMANUEL</v>
          </cell>
          <cell r="C3397" t="str">
            <v>PEON</v>
          </cell>
          <cell r="D3397">
            <v>355</v>
          </cell>
        </row>
        <row r="3398">
          <cell r="A3398">
            <v>4858</v>
          </cell>
          <cell r="B3398" t="str">
            <v>TEJEDA SALCIDO JUAN ANTONIO</v>
          </cell>
          <cell r="C3398" t="str">
            <v>PEON</v>
          </cell>
          <cell r="D3398">
            <v>355</v>
          </cell>
        </row>
        <row r="3399">
          <cell r="A3399">
            <v>4859</v>
          </cell>
          <cell r="B3399" t="str">
            <v>MONTALVO HERNANDEZ JUAN LUIS </v>
          </cell>
          <cell r="C3399" t="str">
            <v>PEÓN</v>
          </cell>
          <cell r="D3399">
            <v>307.25</v>
          </cell>
        </row>
        <row r="3400">
          <cell r="A3400">
            <v>4860</v>
          </cell>
          <cell r="B3400" t="str">
            <v>GUARDADO REYES MARTÍN</v>
          </cell>
          <cell r="C3400" t="str">
            <v>PEON</v>
          </cell>
          <cell r="D3400">
            <v>307.25</v>
          </cell>
        </row>
        <row r="3401">
          <cell r="A3401">
            <v>4861</v>
          </cell>
          <cell r="B3401" t="str">
            <v>GÓMEZ SIMÓN CÉSAR EFRAÍN</v>
          </cell>
          <cell r="C3401" t="str">
            <v>OF</v>
          </cell>
          <cell r="D3401">
            <v>553.07</v>
          </cell>
        </row>
        <row r="3402">
          <cell r="A3402">
            <v>4862</v>
          </cell>
          <cell r="B3402" t="str">
            <v>GUILLÉN ROMERO EMMANUEL JOSUÉ</v>
          </cell>
          <cell r="C3402" t="str">
            <v>OF</v>
          </cell>
          <cell r="D3402">
            <v>553.07</v>
          </cell>
        </row>
        <row r="3403">
          <cell r="A3403">
            <v>4863</v>
          </cell>
          <cell r="B3403" t="str">
            <v>RODRÍGUEZ RODRÍGUEZ JUAN LUIS</v>
          </cell>
          <cell r="C3403" t="str">
            <v>OF</v>
          </cell>
          <cell r="D3403">
            <v>553.07</v>
          </cell>
        </row>
        <row r="3404">
          <cell r="A3404">
            <v>4864</v>
          </cell>
          <cell r="B3404" t="str">
            <v>ALDANA SÁNCHEZ JAIME RODOLFO</v>
          </cell>
          <cell r="C3404" t="str">
            <v>PEON</v>
          </cell>
          <cell r="D3404">
            <v>307.25</v>
          </cell>
        </row>
        <row r="3405">
          <cell r="A3405">
            <v>4865</v>
          </cell>
          <cell r="B3405" t="str">
            <v>CERVANTES MEDINA JOSÉ FRANCISCO</v>
          </cell>
          <cell r="C3405" t="str">
            <v>PEON</v>
          </cell>
          <cell r="D3405">
            <v>355</v>
          </cell>
        </row>
        <row r="3406">
          <cell r="A3406">
            <v>4866</v>
          </cell>
        </row>
        <row r="3407">
          <cell r="A3407">
            <v>4867</v>
          </cell>
        </row>
        <row r="3408">
          <cell r="A3408">
            <v>4868</v>
          </cell>
        </row>
        <row r="3409">
          <cell r="A3409">
            <v>4869</v>
          </cell>
        </row>
        <row r="3410">
          <cell r="A3410">
            <v>4870</v>
          </cell>
        </row>
        <row r="3411">
          <cell r="A3411">
            <v>4871</v>
          </cell>
        </row>
        <row r="3412">
          <cell r="A3412">
            <v>4872</v>
          </cell>
        </row>
        <row r="3413">
          <cell r="A3413">
            <v>4873</v>
          </cell>
        </row>
        <row r="3414">
          <cell r="A3414">
            <v>4874</v>
          </cell>
        </row>
        <row r="3427">
          <cell r="A3427" t="str">
            <v>LISTA DE PRECIOS UNITARIOS</v>
          </cell>
        </row>
        <row r="3429">
          <cell r="A3429" t="str">
            <v>CVE</v>
          </cell>
          <cell r="B3429" t="str">
            <v>CONCEPTO</v>
          </cell>
          <cell r="C3429" t="str">
            <v>UNIDAD</v>
          </cell>
          <cell r="D3429" t="str">
            <v>P.UNIT.</v>
          </cell>
          <cell r="E3429" t="str">
            <v>M</v>
          </cell>
          <cell r="F3429" t="str">
            <v>SJA</v>
          </cell>
        </row>
        <row r="3431">
          <cell r="A3431" t="str">
            <v>ABB01</v>
          </cell>
          <cell r="B3431" t="str">
            <v>Abrir caja para amarre en boveda</v>
          </cell>
          <cell r="C3431" t="str">
            <v>ML</v>
          </cell>
          <cell r="D3431">
            <v>87.015</v>
          </cell>
        </row>
        <row r="3431">
          <cell r="F3431">
            <v>100.06725</v>
          </cell>
        </row>
        <row r="3432">
          <cell r="A3432" t="str">
            <v>ABB02</v>
          </cell>
          <cell r="B3432" t="str">
            <v>Abrir caja para amarre en muro</v>
          </cell>
          <cell r="C3432" t="str">
            <v>ML</v>
          </cell>
          <cell r="D3432">
            <v>69.612</v>
          </cell>
        </row>
        <row r="3432">
          <cell r="F3432">
            <v>80.0538</v>
          </cell>
        </row>
        <row r="3433">
          <cell r="A3433" t="str">
            <v>ABB03</v>
          </cell>
          <cell r="B3433" t="str">
            <v>Abrir caja para amarre en piso concreto y firme</v>
          </cell>
          <cell r="C3433" t="str">
            <v>ML</v>
          </cell>
          <cell r="D3433">
            <v>174.03</v>
          </cell>
        </row>
        <row r="3433">
          <cell r="F3433">
            <v>200.1345</v>
          </cell>
        </row>
        <row r="3434">
          <cell r="A3434" t="str">
            <v>ABB04</v>
          </cell>
          <cell r="B3434" t="str">
            <v>Abrir hueco en concreto para anclado de castillo</v>
          </cell>
          <cell r="C3434" t="str">
            <v>PZA</v>
          </cell>
          <cell r="D3434">
            <v>77.7167464114833</v>
          </cell>
        </row>
        <row r="3434">
          <cell r="F3434">
            <v>89.3742583732057</v>
          </cell>
        </row>
        <row r="3435">
          <cell r="A3435" t="str">
            <v>ABB05</v>
          </cell>
          <cell r="B3435" t="str">
            <v>Abrir hueco en muro para amarre dalas</v>
          </cell>
          <cell r="C3435" t="str">
            <v>PZA</v>
          </cell>
          <cell r="D3435">
            <v>46.408</v>
          </cell>
        </row>
        <row r="3435">
          <cell r="F3435">
            <v>53.3692</v>
          </cell>
        </row>
        <row r="3436">
          <cell r="A3436" t="str">
            <v>ABB06</v>
          </cell>
          <cell r="B3436" t="str">
            <v>Abrir ranura esp. 5 cms. p/poliducto,cobre</v>
          </cell>
          <cell r="C3436" t="str">
            <v>ML</v>
          </cell>
          <cell r="D3436">
            <v>18.3189473684211</v>
          </cell>
        </row>
        <row r="3436">
          <cell r="F3436">
            <v>21.0667894736842</v>
          </cell>
        </row>
        <row r="3437">
          <cell r="A3437" t="str">
            <v>ABB06RT</v>
          </cell>
          <cell r="B3437" t="str">
            <v>Abrir ranura esp. 5 cms. p/poliducto,cobre</v>
          </cell>
          <cell r="C3437" t="str">
            <v>ML</v>
          </cell>
          <cell r="D3437">
            <v>11.602</v>
          </cell>
        </row>
        <row r="3437">
          <cell r="F3437">
            <v>13.3423</v>
          </cell>
        </row>
        <row r="3438">
          <cell r="A3438" t="str">
            <v>ABB07</v>
          </cell>
          <cell r="B3438" t="str">
            <v>Abrir caja de luz</v>
          </cell>
          <cell r="C3438" t="str">
            <v>PZA</v>
          </cell>
          <cell r="D3438">
            <v>17.403</v>
          </cell>
        </row>
        <row r="3438">
          <cell r="F3438">
            <v>20.01345</v>
          </cell>
        </row>
        <row r="3439">
          <cell r="A3439" t="str">
            <v>ABB08</v>
          </cell>
          <cell r="B3439" t="str">
            <v>Abrir hueco en concreto p/ pata proteccion 20 x 20 x 30 rotomartillo</v>
          </cell>
          <cell r="C3439" t="str">
            <v>PZA</v>
          </cell>
          <cell r="D3439">
            <v>49.7228571428571</v>
          </cell>
        </row>
        <row r="3439">
          <cell r="F3439">
            <v>57.1812857142857</v>
          </cell>
        </row>
        <row r="3440">
          <cell r="A3440" t="str">
            <v>ACCE</v>
          </cell>
          <cell r="B3440" t="str">
            <v>Accesorios de baño, colocacion</v>
          </cell>
          <cell r="C3440" t="str">
            <v>PZA</v>
          </cell>
          <cell r="D3440">
            <v>34.806</v>
          </cell>
        </row>
        <row r="3440">
          <cell r="F3440">
            <v>40.0269</v>
          </cell>
        </row>
        <row r="3441">
          <cell r="A3441" t="str">
            <v>ACU20</v>
          </cell>
          <cell r="B3441" t="str">
            <v>Acuñado de muro 20</v>
          </cell>
          <cell r="C3441" t="str">
            <v>ML</v>
          </cell>
          <cell r="D3441">
            <v>58.01</v>
          </cell>
          <cell r="E3441">
            <v>1</v>
          </cell>
          <cell r="F3441">
            <v>66.7115</v>
          </cell>
        </row>
        <row r="3442">
          <cell r="A3442" t="str">
            <v>ACUCA</v>
          </cell>
          <cell r="B3442" t="str">
            <v>Acuñado de muro capuchino</v>
          </cell>
          <cell r="C3442" t="str">
            <v>ML</v>
          </cell>
          <cell r="D3442">
            <v>46.408</v>
          </cell>
          <cell r="E3442">
            <v>1</v>
          </cell>
          <cell r="F3442">
            <v>53.3692</v>
          </cell>
        </row>
        <row r="3443">
          <cell r="A3443" t="str">
            <v>ACUDE</v>
          </cell>
          <cell r="B3443" t="str">
            <v>Acuñado de muro bajo decklosa</v>
          </cell>
          <cell r="C3443" t="str">
            <v>ML</v>
          </cell>
          <cell r="D3443">
            <v>27.8448</v>
          </cell>
          <cell r="E3443">
            <v>1</v>
          </cell>
          <cell r="F3443">
            <v>32.02152</v>
          </cell>
        </row>
        <row r="3444">
          <cell r="A3444" t="str">
            <v>ACUSO</v>
          </cell>
          <cell r="B3444" t="str">
            <v>Acuñado de muro soga</v>
          </cell>
          <cell r="C3444" t="str">
            <v>ML</v>
          </cell>
          <cell r="D3444">
            <v>58.01</v>
          </cell>
          <cell r="E3444">
            <v>1</v>
          </cell>
          <cell r="F3444">
            <v>66.7115</v>
          </cell>
        </row>
        <row r="3445">
          <cell r="A3445" t="str">
            <v>ACUTE</v>
          </cell>
          <cell r="B3445" t="str">
            <v>Acuñado de muro tezon</v>
          </cell>
          <cell r="C3445" t="str">
            <v>ML</v>
          </cell>
          <cell r="D3445">
            <v>69.612</v>
          </cell>
          <cell r="E3445">
            <v>1</v>
          </cell>
          <cell r="F3445">
            <v>80.0538</v>
          </cell>
        </row>
        <row r="3446">
          <cell r="A3446" t="str">
            <v>ADOBE</v>
          </cell>
          <cell r="B3446" t="str">
            <v>Muro de adobe asentado con lodo y rajueleado</v>
          </cell>
          <cell r="C3446" t="str">
            <v>M2</v>
          </cell>
          <cell r="D3446">
            <v>122.126315789474</v>
          </cell>
          <cell r="E3446">
            <v>1</v>
          </cell>
          <cell r="F3446">
            <v>140.445263157895</v>
          </cell>
        </row>
        <row r="3447">
          <cell r="A3447" t="str">
            <v>ADOBE2R</v>
          </cell>
          <cell r="B3447" t="str">
            <v>Pegado de muro de adobe a 2 rostros con varillas</v>
          </cell>
          <cell r="C3447" t="str">
            <v>M2</v>
          </cell>
          <cell r="D3447">
            <v>232.04</v>
          </cell>
          <cell r="E3447">
            <v>1</v>
          </cell>
          <cell r="F3447">
            <v>266.846</v>
          </cell>
        </row>
        <row r="3448">
          <cell r="A3448" t="str">
            <v>ADORE</v>
          </cell>
          <cell r="B3448" t="str">
            <v>Recorte de pza de adobe para resaque vigas y castillos</v>
          </cell>
          <cell r="C3448" t="str">
            <v>PZA</v>
          </cell>
          <cell r="D3448">
            <v>53.5476923076923</v>
          </cell>
        </row>
        <row r="3448">
          <cell r="F3448">
            <v>61.5798461538462</v>
          </cell>
        </row>
        <row r="3449">
          <cell r="A3449" t="str">
            <v>AFI01</v>
          </cell>
          <cell r="B3449" t="str">
            <v>Afine de enjarre en boquillas</v>
          </cell>
          <cell r="C3449" t="str">
            <v>ML</v>
          </cell>
          <cell r="D3449">
            <v>8.7015</v>
          </cell>
          <cell r="E3449">
            <v>1</v>
          </cell>
          <cell r="F3449">
            <v>10.006725</v>
          </cell>
        </row>
        <row r="3450">
          <cell r="A3450" t="str">
            <v>AFI02</v>
          </cell>
          <cell r="B3450" t="str">
            <v>Afine de enjarre en boveda</v>
          </cell>
          <cell r="C3450" t="str">
            <v>M2</v>
          </cell>
          <cell r="D3450">
            <v>31.6418181818182</v>
          </cell>
          <cell r="E3450">
            <v>1</v>
          </cell>
          <cell r="F3450">
            <v>36.3880909090909</v>
          </cell>
        </row>
        <row r="3451">
          <cell r="A3451" t="str">
            <v>AFI02JP</v>
          </cell>
          <cell r="B3451" t="str">
            <v>Afine de enjarre en boveda PUERTA PLATA</v>
          </cell>
          <cell r="C3451" t="str">
            <v>M2</v>
          </cell>
          <cell r="D3451">
            <v>42.8381538461538</v>
          </cell>
          <cell r="E3451">
            <v>1</v>
          </cell>
          <cell r="F3451">
            <v>49.2638769230769</v>
          </cell>
        </row>
        <row r="3452">
          <cell r="A3452" t="str">
            <v>AFI03</v>
          </cell>
          <cell r="B3452" t="str">
            <v>Afine de enjarre en muro</v>
          </cell>
          <cell r="C3452" t="str">
            <v>M2</v>
          </cell>
          <cell r="D3452">
            <v>14.5025</v>
          </cell>
          <cell r="E3452">
            <v>1</v>
          </cell>
          <cell r="F3452">
            <v>16.677875</v>
          </cell>
        </row>
        <row r="3453">
          <cell r="A3453" t="str">
            <v>AFI03JP</v>
          </cell>
          <cell r="B3453" t="str">
            <v>Afine de enjarre en muro PUERTA PLATA</v>
          </cell>
          <cell r="C3453" t="str">
            <v>M2</v>
          </cell>
          <cell r="D3453">
            <v>25.6870848708487</v>
          </cell>
          <cell r="E3453">
            <v>1</v>
          </cell>
          <cell r="F3453">
            <v>29.540147601476</v>
          </cell>
        </row>
        <row r="3454">
          <cell r="A3454" t="str">
            <v>AFIEX</v>
          </cell>
          <cell r="B3454" t="str">
            <v>Afinado de excavacion en cepas</v>
          </cell>
          <cell r="C3454" t="str">
            <v>M3</v>
          </cell>
          <cell r="D3454">
            <v>116.02</v>
          </cell>
        </row>
        <row r="3454">
          <cell r="F3454">
            <v>133.423</v>
          </cell>
        </row>
        <row r="3455">
          <cell r="A3455" t="str">
            <v>AFIEXS</v>
          </cell>
          <cell r="B3455" t="str">
            <v>Afinado de excavacion de maquina en sucio</v>
          </cell>
          <cell r="C3455" t="str">
            <v>M3</v>
          </cell>
          <cell r="D3455">
            <v>37.1264</v>
          </cell>
        </row>
        <row r="3455">
          <cell r="F3455">
            <v>42.69536</v>
          </cell>
        </row>
        <row r="3456">
          <cell r="A3456" t="str">
            <v>AJUCCASO</v>
          </cell>
          <cell r="B3456" t="str">
            <v>Ajuste de castillo de soga en muro de nivelacion</v>
          </cell>
          <cell r="C3456" t="str">
            <v>PZA</v>
          </cell>
          <cell r="D3456">
            <v>40.9482352941176</v>
          </cell>
          <cell r="E3456">
            <v>1</v>
          </cell>
          <cell r="F3456">
            <v>47.0904705882353</v>
          </cell>
        </row>
        <row r="3457">
          <cell r="A3457" t="str">
            <v>ANC01</v>
          </cell>
          <cell r="B3457" t="str">
            <v>Anclado de castillo en hueco de piso y colado</v>
          </cell>
          <cell r="C3457" t="str">
            <v>PZA</v>
          </cell>
          <cell r="D3457">
            <v>58.01</v>
          </cell>
          <cell r="E3457">
            <v>1</v>
          </cell>
          <cell r="F3457">
            <v>66.7115</v>
          </cell>
        </row>
        <row r="3458">
          <cell r="A3458" t="str">
            <v>ANC02</v>
          </cell>
          <cell r="B3458" t="str">
            <v>Anclado y colado de castillo en mamposteo de 40 x40 x 50</v>
          </cell>
          <cell r="C3458" t="str">
            <v>PZA</v>
          </cell>
          <cell r="D3458">
            <v>99.4457142857143</v>
          </cell>
          <cell r="E3458">
            <v>1</v>
          </cell>
          <cell r="F3458">
            <v>114.362571428571</v>
          </cell>
        </row>
        <row r="3459">
          <cell r="A3459" t="str">
            <v>ANC03</v>
          </cell>
          <cell r="B3459" t="str">
            <v>Anclado de castillo en armados</v>
          </cell>
          <cell r="C3459" t="str">
            <v>PZA</v>
          </cell>
          <cell r="D3459">
            <v>46.408</v>
          </cell>
        </row>
        <row r="3459">
          <cell r="F3459">
            <v>53.3692</v>
          </cell>
        </row>
        <row r="3460">
          <cell r="A3460" t="str">
            <v>ANC04</v>
          </cell>
          <cell r="B3460" t="str">
            <v>Anclaje de pata de proteccion con colado y parche 20 x 20</v>
          </cell>
          <cell r="C3460" t="str">
            <v>PZA</v>
          </cell>
          <cell r="D3460">
            <v>40.9482352941176</v>
          </cell>
          <cell r="E3460">
            <v>1</v>
          </cell>
          <cell r="F3460">
            <v>47.0904705882353</v>
          </cell>
        </row>
        <row r="3461">
          <cell r="A3461" t="str">
            <v>ANC05</v>
          </cell>
          <cell r="B3461" t="str">
            <v>anclaje y colado de pata de polin para cruceta</v>
          </cell>
          <cell r="C3461" t="str">
            <v>PZA</v>
          </cell>
          <cell r="D3461">
            <v>28.182995951417</v>
          </cell>
          <cell r="E3461">
            <v>1</v>
          </cell>
          <cell r="F3461">
            <v>32.4104453441296</v>
          </cell>
        </row>
        <row r="3462">
          <cell r="A3462" t="str">
            <v>AND01</v>
          </cell>
          <cell r="B3462" t="str">
            <v>Andamio, torres, cuerpo de 2 crucetas armado</v>
          </cell>
          <cell r="C3462" t="str">
            <v>PZA</v>
          </cell>
          <cell r="D3462">
            <v>38.6733333333333</v>
          </cell>
        </row>
        <row r="3462">
          <cell r="F3462">
            <v>44.4743333333333</v>
          </cell>
        </row>
        <row r="3463">
          <cell r="A3463" t="str">
            <v>AND02</v>
          </cell>
          <cell r="B3463" t="str">
            <v>Andamios</v>
          </cell>
          <cell r="C3463" t="str">
            <v>ML</v>
          </cell>
          <cell r="D3463">
            <v>13.9224</v>
          </cell>
        </row>
        <row r="3463">
          <cell r="F3463">
            <v>16.01076</v>
          </cell>
        </row>
        <row r="3464">
          <cell r="A3464" t="str">
            <v>APA01</v>
          </cell>
          <cell r="B3464" t="str">
            <v>Apalillado de hormigon, piso o concreto</v>
          </cell>
          <cell r="C3464" t="str">
            <v>M2</v>
          </cell>
          <cell r="D3464">
            <v>34.806</v>
          </cell>
        </row>
        <row r="3464">
          <cell r="F3464">
            <v>40.0269</v>
          </cell>
        </row>
        <row r="3465">
          <cell r="A3465" t="str">
            <v>APAC</v>
          </cell>
          <cell r="B3465" t="str">
            <v>Aparentado de dala o castillo hiladas de ladrillo</v>
          </cell>
          <cell r="C3465" t="str">
            <v>ML</v>
          </cell>
          <cell r="D3465">
            <v>66.6143540669857</v>
          </cell>
        </row>
        <row r="3465">
          <cell r="F3465">
            <v>76.6065071770335</v>
          </cell>
        </row>
        <row r="3466">
          <cell r="A3466" t="str">
            <v>APU01</v>
          </cell>
          <cell r="B3466" t="str">
            <v>Apuntalamiento de decklosa</v>
          </cell>
          <cell r="C3466" t="str">
            <v>M2</v>
          </cell>
          <cell r="D3466">
            <v>7.32757894736842</v>
          </cell>
        </row>
        <row r="3466">
          <cell r="F3466">
            <v>8.42671578947368</v>
          </cell>
        </row>
        <row r="3467">
          <cell r="A3467" t="str">
            <v>APU02</v>
          </cell>
          <cell r="B3467" t="str">
            <v>Apuntalar boveda, losa o cerramientos</v>
          </cell>
          <cell r="C3467" t="str">
            <v>M2</v>
          </cell>
          <cell r="D3467">
            <v>34.806</v>
          </cell>
        </row>
        <row r="3467">
          <cell r="F3467">
            <v>40.0269</v>
          </cell>
        </row>
        <row r="3468">
          <cell r="A3468" t="str">
            <v>ARC01</v>
          </cell>
          <cell r="B3468" t="str">
            <v>Forjado de arco,incluye cimbra,cercha m.20</v>
          </cell>
          <cell r="C3468" t="str">
            <v>ML</v>
          </cell>
          <cell r="D3468">
            <v>348.06</v>
          </cell>
          <cell r="E3468">
            <v>1</v>
          </cell>
          <cell r="F3468">
            <v>400.269</v>
          </cell>
        </row>
        <row r="3469">
          <cell r="A3469" t="str">
            <v>ARC02</v>
          </cell>
          <cell r="B3469" t="str">
            <v>Forjado de arco,incluye cimbra,cercha m.capuchino</v>
          </cell>
          <cell r="C3469" t="str">
            <v>ML</v>
          </cell>
          <cell r="D3469">
            <v>116.02</v>
          </cell>
          <cell r="E3469">
            <v>1</v>
          </cell>
          <cell r="F3469">
            <v>133.423</v>
          </cell>
        </row>
        <row r="3470">
          <cell r="A3470" t="str">
            <v>ARC03</v>
          </cell>
          <cell r="B3470" t="str">
            <v>Forjado de arco,incluye cimbra,cercha m.soga</v>
          </cell>
          <cell r="C3470" t="str">
            <v>ML</v>
          </cell>
          <cell r="D3470">
            <v>174.03</v>
          </cell>
          <cell r="E3470">
            <v>1</v>
          </cell>
          <cell r="F3470">
            <v>200.1345</v>
          </cell>
        </row>
        <row r="3471">
          <cell r="A3471" t="str">
            <v>ARC04</v>
          </cell>
          <cell r="B3471" t="str">
            <v>Forjado de arco,incluye cimbra,cercha m.tezon</v>
          </cell>
          <cell r="C3471" t="str">
            <v>ML</v>
          </cell>
          <cell r="D3471">
            <v>331.485714285714</v>
          </cell>
          <cell r="E3471">
            <v>1</v>
          </cell>
          <cell r="F3471">
            <v>381.208571428571</v>
          </cell>
        </row>
        <row r="3472">
          <cell r="A3472" t="str">
            <v>ARM01</v>
          </cell>
          <cell r="B3472" t="str">
            <v>Armado de castillos</v>
          </cell>
          <cell r="C3472" t="str">
            <v>KG</v>
          </cell>
          <cell r="D3472">
            <v>4.54980392156863</v>
          </cell>
        </row>
        <row r="3472">
          <cell r="F3472">
            <v>5.23227450980392</v>
          </cell>
        </row>
        <row r="3473">
          <cell r="A3473" t="str">
            <v>ARM02</v>
          </cell>
          <cell r="B3473" t="str">
            <v>Armado de columnas</v>
          </cell>
          <cell r="C3473" t="str">
            <v>KG</v>
          </cell>
          <cell r="D3473">
            <v>4.54980392156863</v>
          </cell>
        </row>
        <row r="3473">
          <cell r="F3473">
            <v>5.23227450980392</v>
          </cell>
        </row>
        <row r="3474">
          <cell r="A3474" t="str">
            <v>ARM03</v>
          </cell>
          <cell r="B3474" t="str">
            <v>Armado de dados</v>
          </cell>
          <cell r="C3474" t="str">
            <v>KG</v>
          </cell>
          <cell r="D3474">
            <v>4.54980392156863</v>
          </cell>
        </row>
        <row r="3474">
          <cell r="F3474">
            <v>5.23227450980392</v>
          </cell>
        </row>
        <row r="3475">
          <cell r="A3475" t="str">
            <v>ARM04</v>
          </cell>
          <cell r="B3475" t="str">
            <v>Armado de dala o castillo lagartija</v>
          </cell>
          <cell r="C3475" t="str">
            <v>ML</v>
          </cell>
          <cell r="D3475">
            <v>23.204</v>
          </cell>
        </row>
        <row r="3475">
          <cell r="F3475">
            <v>26.6846</v>
          </cell>
        </row>
        <row r="3476">
          <cell r="A3476" t="str">
            <v>ARM05</v>
          </cell>
          <cell r="B3476" t="str">
            <v>Armado de dalas diametros varios</v>
          </cell>
          <cell r="C3476" t="str">
            <v>KG</v>
          </cell>
          <cell r="D3476">
            <v>4.54980392156863</v>
          </cell>
        </row>
        <row r="3476">
          <cell r="F3476">
            <v>5.23227450980392</v>
          </cell>
        </row>
        <row r="3477">
          <cell r="A3477" t="str">
            <v>ARM06</v>
          </cell>
          <cell r="B3477" t="str">
            <v>Armado de parrilla para losa de ovalines o closeds</v>
          </cell>
          <cell r="C3477" t="str">
            <v>ML</v>
          </cell>
          <cell r="D3477">
            <v>69.612</v>
          </cell>
        </row>
        <row r="3477">
          <cell r="F3477">
            <v>80.0538</v>
          </cell>
        </row>
        <row r="3478">
          <cell r="A3478" t="str">
            <v>ARM07</v>
          </cell>
          <cell r="B3478" t="str">
            <v>Armado parrilla para losa de concreto</v>
          </cell>
          <cell r="C3478" t="str">
            <v>KG</v>
          </cell>
          <cell r="D3478">
            <v>4.54980392156863</v>
          </cell>
        </row>
        <row r="3478">
          <cell r="F3478">
            <v>5.23227450980392</v>
          </cell>
        </row>
        <row r="3479">
          <cell r="A3479" t="str">
            <v>ARM07g</v>
          </cell>
          <cell r="B3479" t="str">
            <v>Armado parrilla para losa de concreto grandes superficies</v>
          </cell>
          <cell r="C3479" t="str">
            <v>KG</v>
          </cell>
          <cell r="D3479">
            <v>4.09361952366951</v>
          </cell>
        </row>
        <row r="3479">
          <cell r="F3479">
            <v>4.70766245221994</v>
          </cell>
        </row>
        <row r="3480">
          <cell r="A3480" t="str">
            <v>ARM08</v>
          </cell>
          <cell r="B3480" t="str">
            <v>Armado parrilla para zapata</v>
          </cell>
          <cell r="C3480" t="str">
            <v>KG</v>
          </cell>
          <cell r="D3480">
            <v>4.54980392156863</v>
          </cell>
        </row>
        <row r="3480">
          <cell r="F3480">
            <v>5.23227450980392</v>
          </cell>
        </row>
        <row r="3481">
          <cell r="A3481" t="str">
            <v>ARM09</v>
          </cell>
          <cell r="B3481" t="str">
            <v>Armado de dala o castillo 3/8" estribos de alambron 20x20</v>
          </cell>
          <cell r="C3481" t="str">
            <v>ML</v>
          </cell>
          <cell r="D3481">
            <v>36.6378947368421</v>
          </cell>
        </row>
        <row r="3481">
          <cell r="F3481">
            <v>42.1335789473684</v>
          </cell>
        </row>
        <row r="3482">
          <cell r="A3482" t="str">
            <v>ARM09A</v>
          </cell>
          <cell r="B3482" t="str">
            <v>Armado de dala o castillo 3/8" estribos de varillas</v>
          </cell>
          <cell r="C3482" t="str">
            <v>ML</v>
          </cell>
        </row>
        <row r="3482">
          <cell r="F3482">
            <v>0</v>
          </cell>
        </row>
        <row r="3483">
          <cell r="A3483" t="str">
            <v>ARM10</v>
          </cell>
          <cell r="B3483" t="str">
            <v>Armado de zapatas, dados, etc. A granel</v>
          </cell>
          <cell r="C3483" t="str">
            <v>KG</v>
          </cell>
          <cell r="D3483">
            <v>4.0425</v>
          </cell>
        </row>
        <row r="3483">
          <cell r="F3483">
            <v>4.648875</v>
          </cell>
        </row>
        <row r="3484">
          <cell r="A3484" t="str">
            <v>ARMTL</v>
          </cell>
          <cell r="B3484" t="str">
            <v>Armado de trabe de liga</v>
          </cell>
          <cell r="C3484" t="str">
            <v>KG</v>
          </cell>
          <cell r="D3484">
            <v>4.54980392156863</v>
          </cell>
        </row>
        <row r="3484">
          <cell r="F3484">
            <v>5.23227450980392</v>
          </cell>
        </row>
        <row r="3485">
          <cell r="A3485" t="str">
            <v>ARMEX</v>
          </cell>
          <cell r="B3485" t="str">
            <v>Colocar armex incluye cortes y acarreos</v>
          </cell>
          <cell r="C3485" t="str">
            <v>ML</v>
          </cell>
          <cell r="D3485">
            <v>3.4806</v>
          </cell>
        </row>
        <row r="3485">
          <cell r="F3485">
            <v>4.00269</v>
          </cell>
        </row>
        <row r="3486">
          <cell r="A3486" t="str">
            <v>BAJ01</v>
          </cell>
          <cell r="B3486" t="str">
            <v>Bajar parrilla y centrar dado, castillo o columna c/hilos</v>
          </cell>
          <cell r="C3486" t="str">
            <v>PZA</v>
          </cell>
          <cell r="D3486">
            <v>188.140540540541</v>
          </cell>
        </row>
        <row r="3486">
          <cell r="F3486">
            <v>216.361621621622</v>
          </cell>
        </row>
        <row r="3487">
          <cell r="A3487" t="str">
            <v>BANCA</v>
          </cell>
          <cell r="B3487" t="str">
            <v>Forro de banca mampara con azulejo</v>
          </cell>
          <cell r="C3487" t="str">
            <v>PZA</v>
          </cell>
          <cell r="D3487">
            <v>464.08</v>
          </cell>
        </row>
        <row r="3487">
          <cell r="F3487">
            <v>533.692</v>
          </cell>
        </row>
        <row r="3488">
          <cell r="A3488" t="str">
            <v>BAR01</v>
          </cell>
          <cell r="B3488" t="str">
            <v>Barbas en dala lagartija para panel W</v>
          </cell>
          <cell r="C3488" t="str">
            <v>PZA</v>
          </cell>
          <cell r="D3488">
            <v>12.6567272727273</v>
          </cell>
        </row>
        <row r="3488">
          <cell r="F3488">
            <v>14.5552363636364</v>
          </cell>
        </row>
        <row r="3489">
          <cell r="A3489" t="str">
            <v>BARRE</v>
          </cell>
          <cell r="B3489" t="str">
            <v>Barreno en azulejo, rejillas y tubos</v>
          </cell>
          <cell r="C3489" t="str">
            <v>PZA</v>
          </cell>
          <cell r="D3489">
            <v>55.511961722488</v>
          </cell>
        </row>
        <row r="3489">
          <cell r="F3489">
            <v>63.8387559808613</v>
          </cell>
        </row>
        <row r="3490">
          <cell r="A3490" t="str">
            <v>BARREVA</v>
          </cell>
          <cell r="B3490" t="str">
            <v>Barreno en concreto para varillas</v>
          </cell>
          <cell r="C3490" t="str">
            <v>PZA</v>
          </cell>
          <cell r="D3490">
            <v>15.4693333333333</v>
          </cell>
        </row>
        <row r="3490">
          <cell r="F3490">
            <v>17.7897333333333</v>
          </cell>
        </row>
        <row r="3491">
          <cell r="A3491" t="str">
            <v>BAS01</v>
          </cell>
          <cell r="B3491" t="str">
            <v>Bastones para malla lack, panel, armados</v>
          </cell>
          <cell r="C3491" t="str">
            <v>PZA</v>
          </cell>
          <cell r="D3491">
            <v>12.6567272727273</v>
          </cell>
        </row>
        <row r="3491">
          <cell r="F3491">
            <v>14.5552363636364</v>
          </cell>
        </row>
        <row r="3492">
          <cell r="A3492" t="str">
            <v>BASEA</v>
          </cell>
          <cell r="B3492" t="str">
            <v>Base para equipo de aire acondicionado 70 x 70</v>
          </cell>
          <cell r="C3492" t="str">
            <v>PZA</v>
          </cell>
          <cell r="D3492">
            <v>348.06</v>
          </cell>
        </row>
        <row r="3492">
          <cell r="F3492">
            <v>400.269</v>
          </cell>
        </row>
        <row r="3493">
          <cell r="A3493" t="str">
            <v>BASET</v>
          </cell>
          <cell r="B3493" t="str">
            <v>Base de ladrillo para tuberia, perfilada</v>
          </cell>
          <cell r="C3493" t="str">
            <v>PZA</v>
          </cell>
          <cell r="D3493">
            <v>69.612</v>
          </cell>
        </row>
        <row r="3493">
          <cell r="F3493">
            <v>80.0538</v>
          </cell>
        </row>
        <row r="3494">
          <cell r="A3494" t="str">
            <v>BAYO</v>
          </cell>
          <cell r="B3494" t="str">
            <v>Bayoneteo de varillas </v>
          </cell>
          <cell r="C3494" t="str">
            <v>PZA</v>
          </cell>
          <cell r="D3494">
            <v>2.78448</v>
          </cell>
        </row>
        <row r="3494">
          <cell r="F3494">
            <v>3.202152</v>
          </cell>
        </row>
        <row r="3495">
          <cell r="A3495" t="str">
            <v>BOL01</v>
          </cell>
          <cell r="B3495" t="str">
            <v>Boleado apalillado en aristas muros</v>
          </cell>
          <cell r="C3495" t="str">
            <v>ML</v>
          </cell>
          <cell r="D3495">
            <v>27.8448</v>
          </cell>
        </row>
        <row r="3495">
          <cell r="F3495">
            <v>32.02152</v>
          </cell>
        </row>
        <row r="3496">
          <cell r="A3496" t="str">
            <v>BOL02</v>
          </cell>
          <cell r="B3496" t="str">
            <v>Boleado pulido en aristas muros</v>
          </cell>
          <cell r="C3496" t="str">
            <v>ML</v>
          </cell>
          <cell r="D3496">
            <v>34.806</v>
          </cell>
        </row>
        <row r="3496">
          <cell r="F3496">
            <v>40.0269</v>
          </cell>
        </row>
        <row r="3497">
          <cell r="A3497" t="str">
            <v>BOL03</v>
          </cell>
          <cell r="B3497" t="str">
            <v>Boleado rustico en aristas de muros</v>
          </cell>
          <cell r="C3497" t="str">
            <v>ML</v>
          </cell>
          <cell r="D3497">
            <v>23.204</v>
          </cell>
        </row>
        <row r="3497">
          <cell r="F3497">
            <v>26.6846</v>
          </cell>
        </row>
        <row r="3498">
          <cell r="A3498" t="str">
            <v>BOND</v>
          </cell>
          <cell r="B3498" t="str">
            <v>Aplicar festerbond en superficies</v>
          </cell>
          <cell r="C3498" t="str">
            <v>M2</v>
          </cell>
          <cell r="D3498">
            <v>8.7015</v>
          </cell>
        </row>
        <row r="3498">
          <cell r="F3498">
            <v>10.006725</v>
          </cell>
        </row>
        <row r="3499">
          <cell r="A3499" t="str">
            <v>BOQ01</v>
          </cell>
          <cell r="B3499" t="str">
            <v>Boquilla 1 rostro en herreria</v>
          </cell>
          <cell r="C3499" t="str">
            <v>ML</v>
          </cell>
          <cell r="D3499">
            <v>34.806</v>
          </cell>
          <cell r="E3499">
            <v>1</v>
          </cell>
          <cell r="F3499">
            <v>40.0269</v>
          </cell>
        </row>
        <row r="3500">
          <cell r="A3500" t="str">
            <v>BOQ02</v>
          </cell>
          <cell r="B3500" t="str">
            <v>Boquilla boleada</v>
          </cell>
          <cell r="C3500" t="str">
            <v>ML</v>
          </cell>
          <cell r="D3500">
            <v>69.612</v>
          </cell>
          <cell r="E3500">
            <v>1</v>
          </cell>
          <cell r="F3500">
            <v>80.0538</v>
          </cell>
        </row>
        <row r="3501">
          <cell r="A3501" t="str">
            <v>BOQ03</v>
          </cell>
          <cell r="B3501" t="str">
            <v>Boquilla</v>
          </cell>
          <cell r="C3501" t="str">
            <v>ML</v>
          </cell>
          <cell r="D3501">
            <v>46.408</v>
          </cell>
          <cell r="E3501">
            <v>1</v>
          </cell>
          <cell r="F3501">
            <v>53.3692</v>
          </cell>
        </row>
        <row r="3502">
          <cell r="A3502" t="str">
            <v>BOQ04</v>
          </cell>
          <cell r="B3502" t="str">
            <v>Boquillas en azulejo</v>
          </cell>
          <cell r="C3502" t="str">
            <v>ML</v>
          </cell>
          <cell r="D3502">
            <v>87.015</v>
          </cell>
        </row>
        <row r="3502">
          <cell r="F3502">
            <v>100.06725</v>
          </cell>
        </row>
        <row r="3503">
          <cell r="A3503" t="str">
            <v>BOQ05</v>
          </cell>
          <cell r="B3503" t="str">
            <v>Boquilla de arco</v>
          </cell>
          <cell r="C3503" t="str">
            <v>ML</v>
          </cell>
          <cell r="D3503">
            <v>87.015</v>
          </cell>
          <cell r="E3503">
            <v>1</v>
          </cell>
          <cell r="F3503">
            <v>100.06725</v>
          </cell>
        </row>
        <row r="3504">
          <cell r="A3504" t="str">
            <v>BOQ06</v>
          </cell>
          <cell r="B3504" t="str">
            <v>Boquilla terminado rustico</v>
          </cell>
          <cell r="C3504" t="str">
            <v>ML</v>
          </cell>
          <cell r="D3504">
            <v>69.612</v>
          </cell>
          <cell r="E3504">
            <v>1</v>
          </cell>
          <cell r="F3504">
            <v>80.0538</v>
          </cell>
        </row>
        <row r="3505">
          <cell r="A3505" t="str">
            <v>BOQAF</v>
          </cell>
          <cell r="B3505" t="str">
            <v>Boquilla terminado afinado esp max 30 cms</v>
          </cell>
          <cell r="C3505" t="str">
            <v>ML</v>
          </cell>
          <cell r="D3505">
            <v>63.2836363636364</v>
          </cell>
          <cell r="E3505">
            <v>1</v>
          </cell>
          <cell r="F3505">
            <v>72.7761818181818</v>
          </cell>
        </row>
        <row r="3506">
          <cell r="A3506" t="str">
            <v>BOV01</v>
          </cell>
          <cell r="B3506" t="str">
            <v>Boveda de cuña en limpio</v>
          </cell>
          <cell r="C3506" t="str">
            <v>M2</v>
          </cell>
          <cell r="D3506">
            <v>139.224</v>
          </cell>
          <cell r="E3506">
            <v>1</v>
          </cell>
          <cell r="F3506">
            <v>160.1076</v>
          </cell>
        </row>
        <row r="3507">
          <cell r="A3507" t="str">
            <v>BOV02</v>
          </cell>
          <cell r="B3507" t="str">
            <v>Boveda de cuña en limpio 2a h.</v>
          </cell>
          <cell r="C3507" t="str">
            <v>M2</v>
          </cell>
          <cell r="D3507">
            <v>154.693333333333</v>
          </cell>
          <cell r="E3507">
            <v>1</v>
          </cell>
          <cell r="F3507">
            <v>177.897333333333</v>
          </cell>
        </row>
        <row r="3508">
          <cell r="A3508" t="str">
            <v>BOV03</v>
          </cell>
          <cell r="B3508" t="str">
            <v>Boveda de cuña en losa inclinada</v>
          </cell>
          <cell r="C3508" t="str">
            <v>M2</v>
          </cell>
          <cell r="D3508">
            <v>99.4457142857143</v>
          </cell>
          <cell r="E3508">
            <v>1</v>
          </cell>
          <cell r="F3508">
            <v>114.362571428571</v>
          </cell>
        </row>
        <row r="3509">
          <cell r="A3509" t="str">
            <v>BOV04</v>
          </cell>
          <cell r="B3509" t="str">
            <v>Boveda de cuña en losa inclinada 2a h.</v>
          </cell>
          <cell r="C3509" t="str">
            <v>M2</v>
          </cell>
          <cell r="D3509">
            <v>114.362571428571</v>
          </cell>
          <cell r="E3509">
            <v>1</v>
          </cell>
          <cell r="F3509">
            <v>131.516957142857</v>
          </cell>
        </row>
        <row r="3510">
          <cell r="A3510" t="str">
            <v>BOV05</v>
          </cell>
          <cell r="B3510" t="str">
            <v>Boveda de cuña en sucio</v>
          </cell>
          <cell r="C3510" t="str">
            <v>M2</v>
          </cell>
          <cell r="D3510">
            <v>107.095384615385</v>
          </cell>
          <cell r="E3510">
            <v>1</v>
          </cell>
          <cell r="F3510">
            <v>123.159692307692</v>
          </cell>
        </row>
        <row r="3511">
          <cell r="A3511" t="str">
            <v>BOV06</v>
          </cell>
          <cell r="B3511" t="str">
            <v>Boveda de cuña en sucio 2a h.</v>
          </cell>
          <cell r="C3511" t="str">
            <v>M2</v>
          </cell>
          <cell r="D3511">
            <v>123.159692307692</v>
          </cell>
          <cell r="E3511">
            <v>1</v>
          </cell>
          <cell r="F3511">
            <v>141.633646153846</v>
          </cell>
        </row>
        <row r="3512">
          <cell r="A3512" t="str">
            <v>BROC1</v>
          </cell>
          <cell r="B3512" t="str">
            <v>Colocar brocal en pozo de visita</v>
          </cell>
          <cell r="C3512" t="str">
            <v>PZA</v>
          </cell>
          <cell r="D3512">
            <v>139.224</v>
          </cell>
        </row>
        <row r="3512">
          <cell r="F3512">
            <v>160.1076</v>
          </cell>
        </row>
        <row r="3513">
          <cell r="A3513" t="str">
            <v>CAB01</v>
          </cell>
          <cell r="B3513" t="str">
            <v>Caballete en aristas de teja</v>
          </cell>
          <cell r="C3513" t="str">
            <v>ML</v>
          </cell>
          <cell r="D3513">
            <v>99.4457142857143</v>
          </cell>
          <cell r="E3513">
            <v>1</v>
          </cell>
          <cell r="F3513">
            <v>114.362571428571</v>
          </cell>
        </row>
        <row r="3514">
          <cell r="A3514" t="str">
            <v>CAJ01</v>
          </cell>
          <cell r="B3514" t="str">
            <v>Abrir, forjar y terminar caja de luz cortesia</v>
          </cell>
          <cell r="C3514" t="str">
            <v>PZA</v>
          </cell>
          <cell r="D3514">
            <v>610.631578947368</v>
          </cell>
        </row>
        <row r="3514">
          <cell r="F3514">
            <v>702.226315789474</v>
          </cell>
        </row>
        <row r="3515">
          <cell r="A3515" t="str">
            <v>CAL01</v>
          </cell>
          <cell r="B3515" t="str">
            <v>Calavereado muro abultado en mamposteo</v>
          </cell>
          <cell r="C3515" t="str">
            <v>M2</v>
          </cell>
          <cell r="D3515">
            <v>87.015</v>
          </cell>
          <cell r="E3515">
            <v>1</v>
          </cell>
          <cell r="F3515">
            <v>100.06725</v>
          </cell>
        </row>
        <row r="3516">
          <cell r="A3516" t="str">
            <v>CAL02</v>
          </cell>
          <cell r="B3516" t="str">
            <v>Calavereado muro embutido en mamposteo</v>
          </cell>
          <cell r="C3516" t="str">
            <v>M2</v>
          </cell>
          <cell r="D3516">
            <v>61.0631578947368</v>
          </cell>
          <cell r="E3516">
            <v>1</v>
          </cell>
          <cell r="F3516">
            <v>70.2226315789474</v>
          </cell>
        </row>
        <row r="3517">
          <cell r="A3517" t="str">
            <v>CALAF</v>
          </cell>
          <cell r="B3517" t="str">
            <v>Calafateo de junta de dilatacion</v>
          </cell>
          <cell r="C3517" t="str">
            <v>ML</v>
          </cell>
          <cell r="D3517">
            <v>23.204</v>
          </cell>
        </row>
        <row r="3517">
          <cell r="F3517">
            <v>26.6846</v>
          </cell>
        </row>
        <row r="3518">
          <cell r="A3518" t="str">
            <v>CAMI</v>
          </cell>
          <cell r="B3518" t="str">
            <v>Cama individual terminada</v>
          </cell>
          <cell r="C3518" t="str">
            <v>PZA</v>
          </cell>
          <cell r="D3518">
            <v>2320.4</v>
          </cell>
        </row>
        <row r="3518">
          <cell r="F3518">
            <v>2668.46</v>
          </cell>
        </row>
        <row r="3519">
          <cell r="A3519" t="str">
            <v>CAMK</v>
          </cell>
          <cell r="B3519" t="str">
            <v>Cama king size terminada</v>
          </cell>
          <cell r="C3519" t="str">
            <v>PZA</v>
          </cell>
          <cell r="D3519">
            <v>3480.6</v>
          </cell>
        </row>
        <row r="3519">
          <cell r="F3519">
            <v>4002.69</v>
          </cell>
        </row>
        <row r="3520">
          <cell r="A3520" t="str">
            <v>CAMM</v>
          </cell>
          <cell r="B3520" t="str">
            <v>Cama matrimonial terminada</v>
          </cell>
          <cell r="C3520" t="str">
            <v>PZA</v>
          </cell>
          <cell r="D3520">
            <v>2784.48</v>
          </cell>
        </row>
        <row r="3520">
          <cell r="F3520">
            <v>3202.152</v>
          </cell>
        </row>
        <row r="3521">
          <cell r="A3521" t="str">
            <v>CAMQ</v>
          </cell>
          <cell r="B3521" t="str">
            <v>Cama queen size terminada</v>
          </cell>
          <cell r="C3521" t="str">
            <v>PZA</v>
          </cell>
          <cell r="D3521">
            <v>3164.18181818182</v>
          </cell>
        </row>
        <row r="3521">
          <cell r="F3521">
            <v>3638.80909090909</v>
          </cell>
        </row>
        <row r="3522">
          <cell r="A3522" t="str">
            <v>CAMT</v>
          </cell>
          <cell r="B3522" t="str">
            <v>Cama para sentar tuberia</v>
          </cell>
          <cell r="C3522" t="str">
            <v>ML</v>
          </cell>
          <cell r="D3522">
            <v>11.602</v>
          </cell>
        </row>
        <row r="3522">
          <cell r="F3522">
            <v>13.3423</v>
          </cell>
        </row>
        <row r="3523">
          <cell r="A3523" t="str">
            <v>CANES</v>
          </cell>
          <cell r="B3523" t="str">
            <v>Canes de varilla p/sujecion reglas boquillas</v>
          </cell>
          <cell r="C3523" t="str">
            <v>PZA</v>
          </cell>
          <cell r="D3523">
            <v>12.6567272727273</v>
          </cell>
        </row>
        <row r="3523">
          <cell r="F3523">
            <v>14.5552363636364</v>
          </cell>
        </row>
        <row r="3524">
          <cell r="A3524" t="str">
            <v>CARR1</v>
          </cell>
          <cell r="B3524" t="str">
            <v>Carrucha en fachadas para acarreo material</v>
          </cell>
          <cell r="C3524" t="str">
            <v>PZA</v>
          </cell>
          <cell r="D3524">
            <v>99.4457142857143</v>
          </cell>
        </row>
        <row r="3524">
          <cell r="F3524">
            <v>114.362571428571</v>
          </cell>
        </row>
        <row r="3525">
          <cell r="A3525" t="str">
            <v>CCA01</v>
          </cell>
          <cell r="B3525" t="str">
            <v>C.y colar castillo 3 caras p/20</v>
          </cell>
          <cell r="C3525" t="str">
            <v>ML</v>
          </cell>
          <cell r="D3525">
            <v>87.015</v>
          </cell>
          <cell r="E3525">
            <v>1</v>
          </cell>
          <cell r="F3525">
            <v>100.06725</v>
          </cell>
        </row>
        <row r="3526">
          <cell r="A3526" t="str">
            <v>CCA02</v>
          </cell>
          <cell r="B3526" t="str">
            <v>C.y colar castillo 3 caras p/20 2a h.</v>
          </cell>
          <cell r="C3526" t="str">
            <v>ML</v>
          </cell>
          <cell r="D3526">
            <v>100.06725</v>
          </cell>
          <cell r="E3526">
            <v>1</v>
          </cell>
          <cell r="F3526">
            <v>115.0773375</v>
          </cell>
        </row>
        <row r="3527">
          <cell r="A3527" t="str">
            <v>CCA03</v>
          </cell>
          <cell r="B3527" t="str">
            <v>C.y colar castillo 3 caras p/capuchino o lagartija</v>
          </cell>
          <cell r="C3527" t="str">
            <v>ML</v>
          </cell>
          <cell r="D3527">
            <v>63.2836363636364</v>
          </cell>
          <cell r="E3527">
            <v>1</v>
          </cell>
          <cell r="F3527">
            <v>72.7761818181818</v>
          </cell>
        </row>
        <row r="3528">
          <cell r="A3528" t="str">
            <v>CCA04</v>
          </cell>
          <cell r="B3528" t="str">
            <v>C.y colar castillo 3 caras p/capuchino 2a h.</v>
          </cell>
          <cell r="C3528" t="str">
            <v>ML</v>
          </cell>
          <cell r="D3528">
            <v>72.5125</v>
          </cell>
          <cell r="E3528">
            <v>1</v>
          </cell>
          <cell r="F3528">
            <v>83.389375</v>
          </cell>
        </row>
        <row r="3529">
          <cell r="A3529" t="str">
            <v>CCA05</v>
          </cell>
          <cell r="B3529" t="str">
            <v>C.y colar castillo 3 caras p/soga</v>
          </cell>
          <cell r="C3529" t="str">
            <v>ML</v>
          </cell>
          <cell r="D3529">
            <v>69.612</v>
          </cell>
          <cell r="E3529">
            <v>1</v>
          </cell>
          <cell r="F3529">
            <v>80.0538</v>
          </cell>
        </row>
        <row r="3530">
          <cell r="A3530" t="str">
            <v>CCA06</v>
          </cell>
          <cell r="B3530" t="str">
            <v>C.y colar castillo 3 caras p/soga 2a h.</v>
          </cell>
          <cell r="C3530" t="str">
            <v>ML</v>
          </cell>
          <cell r="D3530">
            <v>80.0538</v>
          </cell>
          <cell r="E3530">
            <v>1</v>
          </cell>
          <cell r="F3530">
            <v>92.06187</v>
          </cell>
        </row>
        <row r="3531">
          <cell r="A3531" t="str">
            <v>CCA07</v>
          </cell>
          <cell r="B3531" t="str">
            <v>C.y colar castillo 3 caras p/tezon</v>
          </cell>
          <cell r="C3531" t="str">
            <v>ML</v>
          </cell>
          <cell r="D3531">
            <v>99.4457142857143</v>
          </cell>
          <cell r="E3531">
            <v>1</v>
          </cell>
          <cell r="F3531">
            <v>114.362571428571</v>
          </cell>
        </row>
        <row r="3532">
          <cell r="A3532" t="str">
            <v>CCA08</v>
          </cell>
          <cell r="B3532" t="str">
            <v>C.y colar castillo 3 caras p/tezon 2a h.</v>
          </cell>
          <cell r="C3532" t="str">
            <v>ML</v>
          </cell>
          <cell r="D3532">
            <v>114.362571428571</v>
          </cell>
          <cell r="E3532">
            <v>1</v>
          </cell>
          <cell r="F3532">
            <v>131.516957142857</v>
          </cell>
        </row>
        <row r="3533">
          <cell r="A3533" t="str">
            <v>CCA09</v>
          </cell>
          <cell r="B3533" t="str">
            <v>C.y colar castillo p/20</v>
          </cell>
          <cell r="C3533" t="str">
            <v>ML</v>
          </cell>
          <cell r="D3533">
            <v>73.2757894736842</v>
          </cell>
          <cell r="E3533">
            <v>1</v>
          </cell>
          <cell r="F3533">
            <v>84.2671578947368</v>
          </cell>
        </row>
        <row r="3534">
          <cell r="A3534" t="str">
            <v>CCA10</v>
          </cell>
          <cell r="B3534" t="str">
            <v>C.y colar castillo p/20 2a h.</v>
          </cell>
          <cell r="C3534" t="str">
            <v>ML</v>
          </cell>
          <cell r="D3534">
            <v>84.3781818181818</v>
          </cell>
          <cell r="E3534">
            <v>1</v>
          </cell>
          <cell r="F3534">
            <v>97.0349090909091</v>
          </cell>
        </row>
        <row r="3535">
          <cell r="A3535" t="str">
            <v>CCA11</v>
          </cell>
          <cell r="B3535" t="str">
            <v>C.y colar castillo p/capuchino o lagartija</v>
          </cell>
          <cell r="C3535" t="str">
            <v>ML</v>
          </cell>
          <cell r="D3535">
            <v>55.6896</v>
          </cell>
          <cell r="E3535">
            <v>1</v>
          </cell>
          <cell r="F3535">
            <v>64.04304</v>
          </cell>
        </row>
        <row r="3536">
          <cell r="A3536" t="str">
            <v>CCA12</v>
          </cell>
          <cell r="B3536" t="str">
            <v>C.y colar castillo p/capuchino 2a h.</v>
          </cell>
          <cell r="C3536" t="str">
            <v>ML</v>
          </cell>
          <cell r="D3536">
            <v>63.8642201834862</v>
          </cell>
          <cell r="E3536">
            <v>1</v>
          </cell>
          <cell r="F3536">
            <v>73.4438532110092</v>
          </cell>
        </row>
        <row r="3537">
          <cell r="A3537" t="str">
            <v>CCA13</v>
          </cell>
          <cell r="B3537" t="str">
            <v>C.y colar castillo p/soga</v>
          </cell>
          <cell r="C3537" t="str">
            <v>ML</v>
          </cell>
          <cell r="D3537">
            <v>60.5321739130435</v>
          </cell>
          <cell r="E3537">
            <v>1</v>
          </cell>
          <cell r="F3537">
            <v>69.612</v>
          </cell>
        </row>
        <row r="3538">
          <cell r="A3538" t="str">
            <v>CCA14</v>
          </cell>
          <cell r="B3538" t="str">
            <v>C.y colar castillo p/soga 2a h.</v>
          </cell>
          <cell r="C3538" t="str">
            <v>ML</v>
          </cell>
          <cell r="D3538">
            <v>69.612</v>
          </cell>
          <cell r="E3538">
            <v>1</v>
          </cell>
          <cell r="F3538">
            <v>80.0538</v>
          </cell>
        </row>
        <row r="3539">
          <cell r="A3539" t="str">
            <v>CCA15</v>
          </cell>
          <cell r="B3539" t="str">
            <v>C.y colar castillo p/tezon</v>
          </cell>
          <cell r="C3539" t="str">
            <v>ML</v>
          </cell>
          <cell r="D3539">
            <v>81.8964705882353</v>
          </cell>
          <cell r="E3539">
            <v>1</v>
          </cell>
          <cell r="F3539">
            <v>94.1809411764706</v>
          </cell>
        </row>
        <row r="3540">
          <cell r="A3540" t="str">
            <v>CCA16</v>
          </cell>
          <cell r="B3540" t="str">
            <v>C.y colar castillo p/tezon 2a h.</v>
          </cell>
          <cell r="C3540" t="str">
            <v>ML</v>
          </cell>
          <cell r="D3540">
            <v>94.1809411764706</v>
          </cell>
          <cell r="E3540">
            <v>1</v>
          </cell>
          <cell r="F3540">
            <v>108.308082352941</v>
          </cell>
        </row>
        <row r="3541">
          <cell r="A3541" t="str">
            <v>CCA17</v>
          </cell>
          <cell r="B3541" t="str">
            <v>C y colar castillo 4 caras</v>
          </cell>
          <cell r="C3541" t="str">
            <v>ML</v>
          </cell>
          <cell r="D3541">
            <v>116.02</v>
          </cell>
          <cell r="E3541">
            <v>1</v>
          </cell>
          <cell r="F3541">
            <v>133.423</v>
          </cell>
        </row>
        <row r="3542">
          <cell r="A3542" t="str">
            <v>CCA201</v>
          </cell>
          <cell r="B3542" t="str">
            <v>Cimbrar y colar castillo de 1 rostro muro de 20 c/twinos</v>
          </cell>
          <cell r="C3542" t="str">
            <v>ML</v>
          </cell>
          <cell r="D3542">
            <v>99.4457142857143</v>
          </cell>
          <cell r="E3542">
            <v>1</v>
          </cell>
          <cell r="F3542">
            <v>114.362571428571</v>
          </cell>
        </row>
        <row r="3543">
          <cell r="A3543" t="str">
            <v>CCA202</v>
          </cell>
          <cell r="B3543" t="str">
            <v>Cimbrar y colar castillo de 2 rostros muro de 20 c/twinos</v>
          </cell>
          <cell r="C3543" t="str">
            <v>ML</v>
          </cell>
          <cell r="D3543">
            <v>126.567272727273</v>
          </cell>
          <cell r="E3543">
            <v>1</v>
          </cell>
          <cell r="F3543">
            <v>145.552363636364</v>
          </cell>
        </row>
        <row r="3544">
          <cell r="A3544" t="str">
            <v>CCA203</v>
          </cell>
          <cell r="B3544" t="str">
            <v>Cimbrar y colar castillo de 20 a 3a h</v>
          </cell>
          <cell r="C3544" t="str">
            <v>ML</v>
          </cell>
          <cell r="D3544">
            <v>95.358904109589</v>
          </cell>
          <cell r="E3544">
            <v>1</v>
          </cell>
          <cell r="F3544">
            <v>109.662739726027</v>
          </cell>
        </row>
        <row r="3545">
          <cell r="A3545" t="str">
            <v>CCA25</v>
          </cell>
          <cell r="B3545" t="str">
            <v>C.y colar castillo para muro de 25</v>
          </cell>
          <cell r="C3545" t="str">
            <v>ML</v>
          </cell>
          <cell r="D3545">
            <v>90.9960784313725</v>
          </cell>
          <cell r="E3545">
            <v>1</v>
          </cell>
          <cell r="F3545">
            <v>104.645490196078</v>
          </cell>
        </row>
        <row r="3546">
          <cell r="A3546" t="str">
            <v>CCA252</v>
          </cell>
          <cell r="B3546" t="str">
            <v>C.y colar castillo para muro de 25 2a h</v>
          </cell>
          <cell r="C3546" t="str">
            <v>ML</v>
          </cell>
          <cell r="D3546">
            <v>104.645490196078</v>
          </cell>
          <cell r="E3546">
            <v>1</v>
          </cell>
          <cell r="F3546">
            <v>120.34231372549</v>
          </cell>
        </row>
        <row r="3547">
          <cell r="A3547" t="str">
            <v>CCA253</v>
          </cell>
          <cell r="B3547" t="str">
            <v>C.y colar castillo para muro de 25 3a h</v>
          </cell>
          <cell r="C3547" t="str">
            <v>ML</v>
          </cell>
          <cell r="D3547">
            <v>120.34231372549</v>
          </cell>
          <cell r="E3547">
            <v>1</v>
          </cell>
          <cell r="F3547">
            <v>138.393660784314</v>
          </cell>
        </row>
        <row r="3548">
          <cell r="A3548" t="str">
            <v>CCA253C</v>
          </cell>
          <cell r="B3548" t="str">
            <v>C.y colar castillo 3 caras para muro 25</v>
          </cell>
          <cell r="C3548" t="str">
            <v>ML</v>
          </cell>
          <cell r="D3548">
            <v>108.76875</v>
          </cell>
          <cell r="E3548">
            <v>1</v>
          </cell>
          <cell r="F3548">
            <v>125.0840625</v>
          </cell>
        </row>
        <row r="3549">
          <cell r="A3549" t="str">
            <v>CCA253C2</v>
          </cell>
          <cell r="B3549" t="str">
            <v>C.y colar castillo 3 caras para muro 25 2a h</v>
          </cell>
          <cell r="C3549" t="str">
            <v>ML</v>
          </cell>
          <cell r="D3549">
            <v>125.0840625</v>
          </cell>
          <cell r="E3549">
            <v>1</v>
          </cell>
          <cell r="F3549">
            <v>143.846671875</v>
          </cell>
        </row>
        <row r="3550">
          <cell r="A3550" t="str">
            <v>CCA35</v>
          </cell>
          <cell r="B3550" t="str">
            <v>C.y colar castillo para muro de 35</v>
          </cell>
          <cell r="C3550" t="str">
            <v>ML</v>
          </cell>
          <cell r="D3550">
            <v>181.59652173913</v>
          </cell>
          <cell r="E3550">
            <v>1</v>
          </cell>
          <cell r="F3550">
            <v>208.836</v>
          </cell>
        </row>
        <row r="3551">
          <cell r="A3551" t="str">
            <v>CCASO3</v>
          </cell>
          <cell r="B3551" t="str">
            <v>Cimbrar y colar castillo de soga a 3a h</v>
          </cell>
          <cell r="C3551" t="str">
            <v>ML</v>
          </cell>
          <cell r="D3551">
            <v>75.6652173913044</v>
          </cell>
          <cell r="E3551">
            <v>1</v>
          </cell>
          <cell r="F3551">
            <v>87.015</v>
          </cell>
        </row>
        <row r="3552">
          <cell r="A3552" t="str">
            <v>CCASO4</v>
          </cell>
          <cell r="B3552" t="str">
            <v>Cimbrar y colar castillo de soga a 4a h</v>
          </cell>
          <cell r="C3552" t="str">
            <v>ML</v>
          </cell>
          <cell r="D3552">
            <v>87.015</v>
          </cell>
          <cell r="E3552">
            <v>1</v>
          </cell>
          <cell r="F3552">
            <v>100.06725</v>
          </cell>
        </row>
        <row r="3553">
          <cell r="A3553" t="str">
            <v>CCASO5</v>
          </cell>
          <cell r="B3553" t="str">
            <v>Cimbrar y colar castillo de soga a 5a h</v>
          </cell>
          <cell r="C3553" t="str">
            <v>ML</v>
          </cell>
          <cell r="D3553">
            <v>100.06725</v>
          </cell>
          <cell r="E3553">
            <v>1</v>
          </cell>
          <cell r="F3553">
            <v>115.0773375</v>
          </cell>
        </row>
        <row r="3554">
          <cell r="A3554" t="str">
            <v>CCATE3</v>
          </cell>
          <cell r="B3554" t="str">
            <v>Cimbrar y colar castillo de tezon a 3a h</v>
          </cell>
          <cell r="C3554" t="str">
            <v>ML</v>
          </cell>
          <cell r="D3554">
            <v>113.1195</v>
          </cell>
          <cell r="E3554">
            <v>1</v>
          </cell>
          <cell r="F3554">
            <v>130.087425</v>
          </cell>
        </row>
        <row r="3555">
          <cell r="A3555" t="str">
            <v>CCATE4</v>
          </cell>
          <cell r="B3555" t="str">
            <v>Cimbrar y colar castillo de tezon a 4a h</v>
          </cell>
          <cell r="C3555" t="str">
            <v>ML</v>
          </cell>
          <cell r="D3555">
            <v>130.087425</v>
          </cell>
          <cell r="E3555">
            <v>1</v>
          </cell>
          <cell r="F3555">
            <v>149.60053875</v>
          </cell>
        </row>
        <row r="3556">
          <cell r="A3556" t="str">
            <v>CCATE5</v>
          </cell>
          <cell r="B3556" t="str">
            <v>Cimbrar y colar castillo de tezon a 5a h</v>
          </cell>
          <cell r="C3556" t="str">
            <v>ML</v>
          </cell>
          <cell r="D3556">
            <v>149.60053875</v>
          </cell>
          <cell r="E3556">
            <v>1</v>
          </cell>
          <cell r="F3556">
            <v>172.0406195625</v>
          </cell>
        </row>
        <row r="3557">
          <cell r="A3557" t="str">
            <v>CCATE1R</v>
          </cell>
          <cell r="B3557" t="str">
            <v>Cimbrar y colar castillo de 1 rostro muro tezon c/twinos</v>
          </cell>
          <cell r="C3557" t="str">
            <v>ML</v>
          </cell>
          <cell r="D3557">
            <v>105.313161875946</v>
          </cell>
          <cell r="E3557">
            <v>1</v>
          </cell>
          <cell r="F3557">
            <v>121.110136157337</v>
          </cell>
        </row>
        <row r="3558">
          <cell r="A3558" t="str">
            <v>CCE20</v>
          </cell>
          <cell r="B3558" t="str">
            <v>C. y colar cerramiento muro 20</v>
          </cell>
          <cell r="C3558" t="str">
            <v>ML</v>
          </cell>
          <cell r="D3558">
            <v>116.02</v>
          </cell>
          <cell r="E3558">
            <v>1</v>
          </cell>
          <cell r="F3558">
            <v>133.423</v>
          </cell>
        </row>
        <row r="3559">
          <cell r="A3559" t="str">
            <v>CCE25</v>
          </cell>
          <cell r="B3559" t="str">
            <v>C. y colar cerramiento muro de 25</v>
          </cell>
          <cell r="C3559" t="str">
            <v>ML</v>
          </cell>
          <cell r="D3559">
            <v>148.110638297872</v>
          </cell>
          <cell r="E3559">
            <v>1</v>
          </cell>
          <cell r="F3559">
            <v>170.327234042553</v>
          </cell>
        </row>
        <row r="3560">
          <cell r="A3560" t="str">
            <v>CCE35</v>
          </cell>
          <cell r="B3560" t="str">
            <v>C. y colar cerramiento muro de 35</v>
          </cell>
          <cell r="C3560" t="str">
            <v>ML</v>
          </cell>
          <cell r="D3560">
            <v>296.221276595745</v>
          </cell>
          <cell r="E3560">
            <v>1</v>
          </cell>
          <cell r="F3560">
            <v>340.654468085106</v>
          </cell>
        </row>
        <row r="3561">
          <cell r="A3561" t="str">
            <v>CCECA</v>
          </cell>
          <cell r="B3561" t="str">
            <v>C. y colar cerramiento muro capuchino o lagartija</v>
          </cell>
          <cell r="C3561" t="str">
            <v>ML</v>
          </cell>
          <cell r="D3561">
            <v>63.2836363636364</v>
          </cell>
          <cell r="E3561">
            <v>1</v>
          </cell>
          <cell r="F3561">
            <v>72.7761818181818</v>
          </cell>
        </row>
        <row r="3562">
          <cell r="A3562" t="str">
            <v>CCESO</v>
          </cell>
          <cell r="B3562" t="str">
            <v>C. y colar cerramiento muro soga</v>
          </cell>
          <cell r="C3562" t="str">
            <v>ML</v>
          </cell>
          <cell r="D3562">
            <v>77.3466666666667</v>
          </cell>
          <cell r="E3562">
            <v>1</v>
          </cell>
          <cell r="F3562">
            <v>88.9486666666667</v>
          </cell>
        </row>
        <row r="3563">
          <cell r="A3563" t="str">
            <v>CCETE</v>
          </cell>
          <cell r="B3563" t="str">
            <v>C. y colar cerramiento muro tezon</v>
          </cell>
          <cell r="C3563" t="str">
            <v>ML</v>
          </cell>
          <cell r="D3563">
            <v>139.224</v>
          </cell>
          <cell r="E3563">
            <v>1</v>
          </cell>
          <cell r="F3563">
            <v>160.1076</v>
          </cell>
        </row>
        <row r="3564">
          <cell r="A3564" t="str">
            <v>CDA01</v>
          </cell>
          <cell r="B3564" t="str">
            <v>C. y colar dala corona 20</v>
          </cell>
          <cell r="C3564" t="str">
            <v>ML</v>
          </cell>
          <cell r="D3564">
            <v>81.8964705882353</v>
          </cell>
          <cell r="E3564">
            <v>1</v>
          </cell>
          <cell r="F3564">
            <v>94.1809411764706</v>
          </cell>
        </row>
        <row r="3565">
          <cell r="A3565" t="str">
            <v>CDA02</v>
          </cell>
          <cell r="B3565" t="str">
            <v>C. y colar dala corona capuchino</v>
          </cell>
          <cell r="C3565" t="str">
            <v>ML</v>
          </cell>
          <cell r="D3565">
            <v>63.2836363636364</v>
          </cell>
          <cell r="E3565">
            <v>1</v>
          </cell>
          <cell r="F3565">
            <v>72.7761818181818</v>
          </cell>
        </row>
        <row r="3566">
          <cell r="A3566" t="str">
            <v>CDA03</v>
          </cell>
          <cell r="B3566" t="str">
            <v>C. y colar dala corona soga</v>
          </cell>
          <cell r="C3566" t="str">
            <v>ML</v>
          </cell>
          <cell r="D3566">
            <v>69.612</v>
          </cell>
          <cell r="E3566">
            <v>1</v>
          </cell>
          <cell r="F3566">
            <v>80.0538</v>
          </cell>
        </row>
        <row r="3567">
          <cell r="A3567" t="str">
            <v>CDA04</v>
          </cell>
          <cell r="B3567" t="str">
            <v>C. y colar dala corona tezon</v>
          </cell>
          <cell r="C3567" t="str">
            <v>ML</v>
          </cell>
          <cell r="D3567">
            <v>87.015</v>
          </cell>
          <cell r="E3567">
            <v>1</v>
          </cell>
          <cell r="F3567">
            <v>100.06725</v>
          </cell>
        </row>
        <row r="3568">
          <cell r="A3568" t="str">
            <v>CDA05</v>
          </cell>
          <cell r="B3568" t="str">
            <v>C. y colar dala desplante 20</v>
          </cell>
          <cell r="C3568" t="str">
            <v>ML</v>
          </cell>
          <cell r="D3568">
            <v>73.2757894736842</v>
          </cell>
          <cell r="E3568">
            <v>1</v>
          </cell>
          <cell r="F3568">
            <v>84.2671578947368</v>
          </cell>
        </row>
        <row r="3569">
          <cell r="A3569" t="str">
            <v>CDA06</v>
          </cell>
          <cell r="B3569" t="str">
            <v>C. y colar dala desplante capuchino o lagartija</v>
          </cell>
          <cell r="C3569" t="str">
            <v>ML</v>
          </cell>
          <cell r="D3569">
            <v>58.01</v>
          </cell>
          <cell r="E3569">
            <v>1</v>
          </cell>
          <cell r="F3569">
            <v>66.7115</v>
          </cell>
        </row>
        <row r="3570">
          <cell r="A3570" t="str">
            <v>CDA07</v>
          </cell>
          <cell r="B3570" t="str">
            <v>C. y colar dala desplante soga</v>
          </cell>
          <cell r="C3570" t="str">
            <v>ML</v>
          </cell>
          <cell r="D3570">
            <v>58.01</v>
          </cell>
          <cell r="E3570">
            <v>1</v>
          </cell>
          <cell r="F3570">
            <v>66.7115</v>
          </cell>
        </row>
        <row r="3571">
          <cell r="A3571" t="str">
            <v>CDA08</v>
          </cell>
          <cell r="B3571" t="str">
            <v>C. y colar dala desplante tezon</v>
          </cell>
          <cell r="C3571" t="str">
            <v>ML</v>
          </cell>
          <cell r="D3571">
            <v>77.3466666666667</v>
          </cell>
          <cell r="E3571">
            <v>1</v>
          </cell>
          <cell r="F3571">
            <v>88.9486666666667</v>
          </cell>
        </row>
        <row r="3572">
          <cell r="A3572" t="str">
            <v>CDA09</v>
          </cell>
          <cell r="B3572" t="str">
            <v>C. y colar dala intermedia 20</v>
          </cell>
          <cell r="C3572" t="str">
            <v>ML</v>
          </cell>
          <cell r="D3572">
            <v>77.3466666666667</v>
          </cell>
          <cell r="E3572">
            <v>1</v>
          </cell>
          <cell r="F3572">
            <v>88.9486666666667</v>
          </cell>
        </row>
        <row r="3573">
          <cell r="A3573" t="str">
            <v>CDA10</v>
          </cell>
          <cell r="B3573" t="str">
            <v>C. y colar dala intermedia capuchino</v>
          </cell>
          <cell r="C3573" t="str">
            <v>ML</v>
          </cell>
          <cell r="D3573">
            <v>66.2971428571429</v>
          </cell>
          <cell r="E3573">
            <v>1</v>
          </cell>
          <cell r="F3573">
            <v>76.2417142857143</v>
          </cell>
        </row>
        <row r="3574">
          <cell r="A3574" t="str">
            <v>CDA11</v>
          </cell>
          <cell r="B3574" t="str">
            <v>C. y colar dala intermedia soga</v>
          </cell>
          <cell r="C3574" t="str">
            <v>ML</v>
          </cell>
          <cell r="D3574">
            <v>66.2971428571429</v>
          </cell>
          <cell r="E3574">
            <v>1</v>
          </cell>
          <cell r="F3574">
            <v>76.2417142857143</v>
          </cell>
        </row>
        <row r="3575">
          <cell r="A3575" t="str">
            <v>CDA12</v>
          </cell>
          <cell r="B3575" t="str">
            <v>C. y colar dala intermedia tezon</v>
          </cell>
          <cell r="C3575" t="str">
            <v>ML</v>
          </cell>
          <cell r="D3575">
            <v>81.8964705882353</v>
          </cell>
          <cell r="E3575">
            <v>1</v>
          </cell>
          <cell r="F3575">
            <v>94.1809411764706</v>
          </cell>
        </row>
        <row r="3576">
          <cell r="A3576" t="str">
            <v>CDA201</v>
          </cell>
          <cell r="B3576" t="str">
            <v>Cimbrar y colar dala de 1 rostro muro de 20 c/twinos</v>
          </cell>
          <cell r="C3576" t="str">
            <v>ML</v>
          </cell>
          <cell r="D3576">
            <v>99.4457142857143</v>
          </cell>
          <cell r="E3576">
            <v>1</v>
          </cell>
          <cell r="F3576">
            <v>114.362571428571</v>
          </cell>
        </row>
        <row r="3577">
          <cell r="A3577" t="str">
            <v>CDA202</v>
          </cell>
          <cell r="B3577" t="str">
            <v>Cimbrar y colar dala de 2 rostro muro de 20 c/twinos</v>
          </cell>
          <cell r="C3577" t="str">
            <v>ML</v>
          </cell>
          <cell r="D3577">
            <v>126.567272727273</v>
          </cell>
          <cell r="E3577">
            <v>1</v>
          </cell>
          <cell r="F3577">
            <v>145.552363636364</v>
          </cell>
        </row>
        <row r="3578">
          <cell r="A3578" t="str">
            <v>CDA25D</v>
          </cell>
          <cell r="B3578" t="str">
            <v>C. y colar dala desplante muro de 25</v>
          </cell>
          <cell r="C3578" t="str">
            <v>ML</v>
          </cell>
          <cell r="D3578">
            <v>85.9407407407408</v>
          </cell>
          <cell r="E3578">
            <v>1</v>
          </cell>
          <cell r="F3578">
            <v>98.8318518518519</v>
          </cell>
        </row>
        <row r="3579">
          <cell r="A3579" t="str">
            <v>CDA25I</v>
          </cell>
          <cell r="B3579" t="str">
            <v>C. y colar dala intermedia muro de 25</v>
          </cell>
          <cell r="C3579" t="str">
            <v>ML</v>
          </cell>
          <cell r="D3579">
            <v>98.8318518518519</v>
          </cell>
          <cell r="E3579">
            <v>1</v>
          </cell>
          <cell r="F3579">
            <v>113.65662962963</v>
          </cell>
        </row>
        <row r="3580">
          <cell r="A3580" t="str">
            <v>CDA25C</v>
          </cell>
          <cell r="B3580" t="str">
            <v>C. y colar dala corona muro de 25</v>
          </cell>
          <cell r="C3580" t="str">
            <v>ML</v>
          </cell>
          <cell r="D3580">
            <v>105.472727272727</v>
          </cell>
          <cell r="E3580">
            <v>1</v>
          </cell>
          <cell r="F3580">
            <v>121.293636363636</v>
          </cell>
        </row>
        <row r="3581">
          <cell r="A3581" t="str">
            <v>CDA301</v>
          </cell>
          <cell r="B3581" t="str">
            <v>Cimbrar y colar dala de 1 rostro muro de 30 c/twinos</v>
          </cell>
          <cell r="C3581" t="str">
            <v>ML</v>
          </cell>
          <cell r="D3581">
            <v>139.224</v>
          </cell>
          <cell r="E3581">
            <v>1</v>
          </cell>
          <cell r="F3581">
            <v>160.1076</v>
          </cell>
        </row>
        <row r="3582">
          <cell r="A3582" t="str">
            <v>CDATE1</v>
          </cell>
          <cell r="B3582" t="str">
            <v>Cimbrar y colar dala de 1 rostro muro tezon c/twinos</v>
          </cell>
          <cell r="C3582" t="str">
            <v>ML</v>
          </cell>
          <cell r="D3582">
            <v>105.313161875946</v>
          </cell>
          <cell r="E3582">
            <v>1</v>
          </cell>
          <cell r="F3582">
            <v>121.110136157337</v>
          </cell>
        </row>
        <row r="3583">
          <cell r="A3583" t="str">
            <v>CDATE2</v>
          </cell>
          <cell r="B3583" t="str">
            <v>Cimbrar y colar dala de 2 rostros muro tezon c/twinos</v>
          </cell>
          <cell r="C3583" t="str">
            <v>ML</v>
          </cell>
          <cell r="D3583">
            <v>121.110136157337</v>
          </cell>
          <cell r="E3583">
            <v>1</v>
          </cell>
          <cell r="F3583">
            <v>139.276656580938</v>
          </cell>
        </row>
        <row r="3584">
          <cell r="A3584" t="str">
            <v>CDA20X40</v>
          </cell>
          <cell r="B3584" t="str">
            <v>Cimbrar y colar dala 20x40 con trompo</v>
          </cell>
          <cell r="C3584" t="str">
            <v>ML</v>
          </cell>
          <cell r="D3584">
            <v>80</v>
          </cell>
        </row>
        <row r="3585">
          <cell r="A3585" t="str">
            <v>CEL01</v>
          </cell>
          <cell r="B3585" t="str">
            <v>Celosia, instalacion</v>
          </cell>
          <cell r="C3585" t="str">
            <v>M2</v>
          </cell>
          <cell r="D3585">
            <v>232.04</v>
          </cell>
        </row>
        <row r="3585">
          <cell r="F3585">
            <v>266.846</v>
          </cell>
        </row>
        <row r="3586">
          <cell r="A3586" t="str">
            <v>CELOT</v>
          </cell>
          <cell r="B3586" t="str">
            <v>Celotex, colocacion</v>
          </cell>
          <cell r="C3586" t="str">
            <v>ML</v>
          </cell>
          <cell r="D3586">
            <v>6.9612</v>
          </cell>
        </row>
        <row r="3586">
          <cell r="F3586">
            <v>8.00538</v>
          </cell>
        </row>
        <row r="3587">
          <cell r="A3587" t="str">
            <v>CESP</v>
          </cell>
          <cell r="B3587" t="str">
            <v>Cesped plantado en rollo incluye acarreos, preparacion</v>
          </cell>
          <cell r="C3587" t="str">
            <v>M2</v>
          </cell>
          <cell r="D3587">
            <v>6.9612</v>
          </cell>
        </row>
        <row r="3587">
          <cell r="F3587">
            <v>8.00538</v>
          </cell>
        </row>
        <row r="3588">
          <cell r="A3588" t="str">
            <v>CIM01</v>
          </cell>
          <cell r="B3588" t="str">
            <v>Cimbra perimetral en losa de concreto o piso</v>
          </cell>
          <cell r="C3588" t="str">
            <v>ML</v>
          </cell>
          <cell r="D3588">
            <v>6.9612</v>
          </cell>
        </row>
        <row r="3588">
          <cell r="F3588">
            <v>8.00538</v>
          </cell>
        </row>
        <row r="3589">
          <cell r="A3589" t="str">
            <v>CIM02</v>
          </cell>
          <cell r="B3589" t="str">
            <v>Cimbra perimetral en piso</v>
          </cell>
          <cell r="C3589" t="str">
            <v>ML</v>
          </cell>
          <cell r="D3589">
            <v>6.9612</v>
          </cell>
        </row>
        <row r="3589">
          <cell r="F3589">
            <v>8.00538</v>
          </cell>
        </row>
        <row r="3590">
          <cell r="A3590" t="str">
            <v>CIM03</v>
          </cell>
          <cell r="B3590" t="str">
            <v>Cimbra y descimbra de castillo</v>
          </cell>
          <cell r="C3590" t="str">
            <v>ML</v>
          </cell>
          <cell r="D3590">
            <v>34.806</v>
          </cell>
        </row>
        <row r="3590">
          <cell r="F3590">
            <v>40.0269</v>
          </cell>
        </row>
        <row r="3591">
          <cell r="A3591" t="str">
            <v>CIM04</v>
          </cell>
          <cell r="B3591" t="str">
            <v>Cimbra y descimbra de columna o dado</v>
          </cell>
          <cell r="C3591" t="str">
            <v>ML</v>
          </cell>
          <cell r="D3591">
            <v>69.612</v>
          </cell>
        </row>
        <row r="3591">
          <cell r="F3591">
            <v>80.0538</v>
          </cell>
        </row>
        <row r="3592">
          <cell r="A3592" t="str">
            <v>CIM05</v>
          </cell>
          <cell r="B3592" t="str">
            <v>Cimbra y descimbra de dala</v>
          </cell>
          <cell r="C3592" t="str">
            <v>ML</v>
          </cell>
          <cell r="D3592">
            <v>34.806</v>
          </cell>
        </row>
        <row r="3592">
          <cell r="F3592">
            <v>40.0269</v>
          </cell>
        </row>
        <row r="3593">
          <cell r="A3593" t="str">
            <v>CIM06</v>
          </cell>
          <cell r="B3593" t="str">
            <v>Cimbra de losa con triplay</v>
          </cell>
          <cell r="C3593" t="str">
            <v>M2</v>
          </cell>
          <cell r="D3593">
            <v>46.408</v>
          </cell>
        </row>
        <row r="3593">
          <cell r="F3593">
            <v>53.3692</v>
          </cell>
        </row>
        <row r="3594">
          <cell r="A3594" t="str">
            <v>CMA01</v>
          </cell>
          <cell r="B3594" t="str">
            <v>C. y colar macizo en muro</v>
          </cell>
          <cell r="C3594" t="str">
            <v>PZA</v>
          </cell>
          <cell r="D3594">
            <v>87.015</v>
          </cell>
          <cell r="E3594">
            <v>1</v>
          </cell>
          <cell r="F3594">
            <v>100.06725</v>
          </cell>
        </row>
        <row r="3595">
          <cell r="A3595" t="str">
            <v>CMA02</v>
          </cell>
          <cell r="B3595" t="str">
            <v>Colado de macizo en acuñados</v>
          </cell>
          <cell r="C3595" t="str">
            <v>PZA</v>
          </cell>
          <cell r="D3595">
            <v>69.612</v>
          </cell>
          <cell r="E3595">
            <v>1</v>
          </cell>
          <cell r="F3595">
            <v>80.0538</v>
          </cell>
        </row>
        <row r="3596">
          <cell r="A3596" t="str">
            <v>COL01</v>
          </cell>
          <cell r="B3596" t="str">
            <v>Columna redonda diametro 50 cms terminada</v>
          </cell>
          <cell r="C3596" t="str">
            <v>ML</v>
          </cell>
          <cell r="D3596">
            <v>464.08</v>
          </cell>
        </row>
        <row r="3596">
          <cell r="F3596">
            <v>533.692</v>
          </cell>
        </row>
        <row r="3597">
          <cell r="A3597" t="str">
            <v>COL02</v>
          </cell>
          <cell r="B3597" t="str">
            <v>Columna cuadrada forjada con ladrillo 50 cms esp.</v>
          </cell>
          <cell r="C3597" t="str">
            <v>ML</v>
          </cell>
          <cell r="D3597">
            <v>278.448</v>
          </cell>
        </row>
        <row r="3597">
          <cell r="F3597">
            <v>320.2152</v>
          </cell>
        </row>
        <row r="3598">
          <cell r="A3598" t="str">
            <v>COM01</v>
          </cell>
          <cell r="B3598" t="str">
            <v>Compactacion de terreno suelto con bailarina</v>
          </cell>
          <cell r="C3598" t="str">
            <v>M2</v>
          </cell>
          <cell r="D3598">
            <v>11.602</v>
          </cell>
        </row>
        <row r="3598">
          <cell r="F3598">
            <v>13.3423</v>
          </cell>
        </row>
        <row r="3599">
          <cell r="A3599" t="str">
            <v>COM02</v>
          </cell>
          <cell r="B3599" t="str">
            <v>Compactacion terreno con pizon en capas de 10-15</v>
          </cell>
          <cell r="C3599" t="str">
            <v>M2</v>
          </cell>
          <cell r="D3599">
            <v>46.408</v>
          </cell>
        </row>
        <row r="3599">
          <cell r="F3599">
            <v>53.3692</v>
          </cell>
        </row>
        <row r="3600">
          <cell r="A3600" t="str">
            <v>CON01</v>
          </cell>
          <cell r="B3600" t="str">
            <v>Colar concreto hecho en obra</v>
          </cell>
          <cell r="C3600" t="str">
            <v>M3</v>
          </cell>
          <cell r="D3600">
            <v>348.06</v>
          </cell>
          <cell r="E3600">
            <v>1</v>
          </cell>
          <cell r="F3600">
            <v>400.269</v>
          </cell>
        </row>
        <row r="3601">
          <cell r="A3601" t="str">
            <v>CON02</v>
          </cell>
          <cell r="B3601" t="str">
            <v>Colar concreto premezclado vaciado con carretilla</v>
          </cell>
          <cell r="C3601" t="str">
            <v>M3</v>
          </cell>
          <cell r="D3601">
            <v>174.03</v>
          </cell>
        </row>
        <row r="3601">
          <cell r="F3601">
            <v>200.1345</v>
          </cell>
        </row>
        <row r="3602">
          <cell r="A3602" t="str">
            <v>CON03</v>
          </cell>
          <cell r="B3602" t="str">
            <v>Colar concreto premezclado vaciado con bomba</v>
          </cell>
          <cell r="C3602" t="str">
            <v>M3</v>
          </cell>
          <cell r="D3602">
            <v>34.806</v>
          </cell>
        </row>
        <row r="3602">
          <cell r="F3602">
            <v>40.0269</v>
          </cell>
        </row>
        <row r="3603">
          <cell r="A3603" t="str">
            <v>CONT1</v>
          </cell>
          <cell r="B3603" t="str">
            <v>Contracimbra de ladrillo p/zapata</v>
          </cell>
          <cell r="C3603" t="str">
            <v>ML</v>
          </cell>
          <cell r="D3603">
            <v>34.806</v>
          </cell>
          <cell r="E3603">
            <v>1</v>
          </cell>
          <cell r="F3603">
            <v>40.0269</v>
          </cell>
        </row>
        <row r="3604">
          <cell r="A3604" t="str">
            <v>COR01</v>
          </cell>
          <cell r="B3604" t="str">
            <v>Corte de piso con maquina losa de 15-20 cms</v>
          </cell>
          <cell r="C3604" t="str">
            <v>ML</v>
          </cell>
          <cell r="D3604">
            <v>17.0976842105263</v>
          </cell>
        </row>
        <row r="3604">
          <cell r="F3604">
            <v>19.6623368421053</v>
          </cell>
        </row>
        <row r="3605">
          <cell r="A3605" t="str">
            <v>COR01a</v>
          </cell>
          <cell r="B3605" t="str">
            <v>Corte de piso de concreto espesor de 5-10 cms</v>
          </cell>
          <cell r="C3605" t="str">
            <v>ML</v>
          </cell>
          <cell r="D3605">
            <v>10.9625196850394</v>
          </cell>
        </row>
        <row r="3605">
          <cell r="F3605">
            <v>12.6068976377953</v>
          </cell>
        </row>
        <row r="3606">
          <cell r="A3606" t="str">
            <v>COR01b</v>
          </cell>
          <cell r="B3606" t="str">
            <v>Corte de losa de concreto de 3 cms para marcar losas</v>
          </cell>
          <cell r="C3606" t="str">
            <v>ML</v>
          </cell>
          <cell r="D3606">
            <v>5.35476923076923</v>
          </cell>
        </row>
        <row r="3606">
          <cell r="F3606">
            <v>6.15798461538461</v>
          </cell>
        </row>
        <row r="3607">
          <cell r="A3607" t="str">
            <v>COR02</v>
          </cell>
          <cell r="B3607" t="str">
            <v>Corte de varilla</v>
          </cell>
          <cell r="C3607" t="str">
            <v>PZA</v>
          </cell>
          <cell r="D3607">
            <v>2.78448</v>
          </cell>
        </row>
        <row r="3607">
          <cell r="F3607">
            <v>3.202152</v>
          </cell>
        </row>
        <row r="3608">
          <cell r="A3608" t="str">
            <v>COR03</v>
          </cell>
          <cell r="B3608" t="str">
            <v>Corte de ladrillo de azotea con cincel y marro</v>
          </cell>
          <cell r="C3608" t="str">
            <v>ML</v>
          </cell>
          <cell r="D3608">
            <v>23.204</v>
          </cell>
        </row>
        <row r="3608">
          <cell r="F3608">
            <v>26.6846</v>
          </cell>
        </row>
        <row r="3609">
          <cell r="A3609" t="str">
            <v>COR04</v>
          </cell>
          <cell r="B3609" t="str">
            <v>Corte de viga de 4 " con segueta</v>
          </cell>
          <cell r="C3609" t="str">
            <v>PZA</v>
          </cell>
          <cell r="D3609">
            <v>139.224</v>
          </cell>
        </row>
        <row r="3609">
          <cell r="F3609">
            <v>160.1076</v>
          </cell>
        </row>
        <row r="3610">
          <cell r="A3610" t="str">
            <v>CRU01</v>
          </cell>
          <cell r="B3610" t="str">
            <v>Crucetas colocacion y habilitado a nivel</v>
          </cell>
          <cell r="C3610" t="str">
            <v>PZA</v>
          </cell>
          <cell r="D3610">
            <v>23.204</v>
          </cell>
        </row>
        <row r="3610">
          <cell r="F3610">
            <v>26.6846</v>
          </cell>
        </row>
        <row r="3611">
          <cell r="A3611" t="str">
            <v>CUAR</v>
          </cell>
          <cell r="B3611" t="str">
            <v>Instalacion de cuarteron en cubiertas, junteado</v>
          </cell>
          <cell r="C3611" t="str">
            <v>M2</v>
          </cell>
          <cell r="D3611">
            <v>610.631578947368</v>
          </cell>
        </row>
        <row r="3611">
          <cell r="F3611">
            <v>702.226315789474</v>
          </cell>
        </row>
        <row r="3612">
          <cell r="A3612" t="str">
            <v>CHA01</v>
          </cell>
          <cell r="B3612" t="str">
            <v>Chaflan en boquilla ( botaguas )</v>
          </cell>
          <cell r="C3612" t="str">
            <v>ML</v>
          </cell>
          <cell r="D3612">
            <v>34.806</v>
          </cell>
          <cell r="E3612">
            <v>1</v>
          </cell>
          <cell r="F3612">
            <v>40.0269</v>
          </cell>
        </row>
        <row r="3613">
          <cell r="A3613" t="str">
            <v>CHA02</v>
          </cell>
          <cell r="B3613" t="str">
            <v>Chaflan en arista de muros corte a 45</v>
          </cell>
          <cell r="C3613" t="str">
            <v>ML</v>
          </cell>
          <cell r="D3613">
            <v>23.204</v>
          </cell>
        </row>
        <row r="3613">
          <cell r="F3613">
            <v>26.6846</v>
          </cell>
        </row>
        <row r="3614">
          <cell r="A3614" t="str">
            <v>DADO</v>
          </cell>
          <cell r="B3614" t="str">
            <v>Cimbra y colado de dado revoltura hecha en obra</v>
          </cell>
          <cell r="C3614" t="str">
            <v>ML</v>
          </cell>
          <cell r="D3614">
            <v>348.06</v>
          </cell>
          <cell r="E3614">
            <v>1</v>
          </cell>
          <cell r="F3614">
            <v>400.269</v>
          </cell>
        </row>
        <row r="3615">
          <cell r="A3615" t="str">
            <v>DADO2</v>
          </cell>
          <cell r="B3615" t="str">
            <v>Colado de dado rev. Premezclada</v>
          </cell>
          <cell r="C3615" t="str">
            <v>M3</v>
          </cell>
          <cell r="D3615">
            <v>232.04</v>
          </cell>
        </row>
        <row r="3615">
          <cell r="F3615">
            <v>266.846</v>
          </cell>
        </row>
        <row r="3616">
          <cell r="A3616" t="str">
            <v>DECK</v>
          </cell>
          <cell r="B3616" t="str">
            <v>Colado de decklosa concreto premezclado incluye aplanado</v>
          </cell>
          <cell r="C3616" t="str">
            <v>M2</v>
          </cell>
          <cell r="D3616">
            <v>43.5075</v>
          </cell>
        </row>
        <row r="3616">
          <cell r="F3616">
            <v>50.033625</v>
          </cell>
        </row>
        <row r="3617">
          <cell r="A3617" t="str">
            <v>DEM01</v>
          </cell>
          <cell r="B3617" t="str">
            <v>Demoler boveda de ladrillo</v>
          </cell>
          <cell r="C3617" t="str">
            <v>M2</v>
          </cell>
          <cell r="D3617">
            <v>56.1781052631579</v>
          </cell>
        </row>
        <row r="3617">
          <cell r="F3617">
            <v>64.6048210526316</v>
          </cell>
        </row>
        <row r="3618">
          <cell r="A3618" t="str">
            <v>DEM02</v>
          </cell>
          <cell r="B3618" t="str">
            <v>Demoler losa armada en piso esp. 10 cms</v>
          </cell>
          <cell r="C3618" t="str">
            <v>M2</v>
          </cell>
          <cell r="D3618">
            <v>139.224</v>
          </cell>
        </row>
        <row r="3618">
          <cell r="F3618">
            <v>160.1076</v>
          </cell>
        </row>
        <row r="3619">
          <cell r="A3619" t="str">
            <v>DEM02R</v>
          </cell>
          <cell r="B3619" t="str">
            <v>Demoler losa armada en piso esp. 10 cms con rotomartillo</v>
          </cell>
          <cell r="C3619" t="str">
            <v>M2</v>
          </cell>
          <cell r="D3619">
            <v>69.612</v>
          </cell>
        </row>
        <row r="3619">
          <cell r="F3619">
            <v>80.0538</v>
          </cell>
        </row>
        <row r="3620">
          <cell r="A3620" t="str">
            <v>DEM03</v>
          </cell>
          <cell r="B3620" t="str">
            <v>Demoler losa armada en piso esp. 15 cms</v>
          </cell>
          <cell r="C3620" t="str">
            <v>M2</v>
          </cell>
          <cell r="D3620">
            <v>208.836</v>
          </cell>
        </row>
        <row r="3620">
          <cell r="F3620">
            <v>240.1614</v>
          </cell>
        </row>
        <row r="3621">
          <cell r="A3621" t="str">
            <v>DEM03R</v>
          </cell>
          <cell r="B3621" t="str">
            <v>Demoler losa armada en piso esp. 15 cms con rotomartillo</v>
          </cell>
          <cell r="C3621" t="str">
            <v>M2</v>
          </cell>
          <cell r="D3621">
            <v>104.418</v>
          </cell>
        </row>
        <row r="3621">
          <cell r="F3621">
            <v>120.0807</v>
          </cell>
        </row>
        <row r="3622">
          <cell r="A3622" t="str">
            <v>DEM04</v>
          </cell>
          <cell r="B3622" t="str">
            <v>Demoler losa armada en piso esp. 20 cms</v>
          </cell>
          <cell r="C3622" t="str">
            <v>M2</v>
          </cell>
          <cell r="D3622">
            <v>278.448</v>
          </cell>
        </row>
        <row r="3622">
          <cell r="F3622">
            <v>320.2152</v>
          </cell>
        </row>
        <row r="3623">
          <cell r="A3623" t="str">
            <v>DEM04R</v>
          </cell>
          <cell r="B3623" t="str">
            <v>Demoler losa armada en piso esp. 20 cms con rotomartillo</v>
          </cell>
          <cell r="C3623" t="str">
            <v>M2</v>
          </cell>
          <cell r="D3623">
            <v>139.224</v>
          </cell>
        </row>
        <row r="3623">
          <cell r="F3623">
            <v>160.1076</v>
          </cell>
        </row>
        <row r="3624">
          <cell r="A3624" t="str">
            <v>DEM05</v>
          </cell>
          <cell r="B3624" t="str">
            <v>Demoler losa armada esp. 10 cms</v>
          </cell>
          <cell r="C3624" t="str">
            <v>M2</v>
          </cell>
          <cell r="D3624">
            <v>99.4457142857143</v>
          </cell>
        </row>
        <row r="3624">
          <cell r="F3624">
            <v>114.362571428571</v>
          </cell>
        </row>
        <row r="3625">
          <cell r="A3625" t="str">
            <v>DEM06</v>
          </cell>
          <cell r="B3625" t="str">
            <v>Demoler media caña</v>
          </cell>
          <cell r="C3625" t="str">
            <v>ML</v>
          </cell>
          <cell r="D3625">
            <v>15.4693333333333</v>
          </cell>
        </row>
        <row r="3625">
          <cell r="F3625">
            <v>17.7897333333333</v>
          </cell>
        </row>
        <row r="3626">
          <cell r="A3626" t="str">
            <v>DEM07</v>
          </cell>
          <cell r="B3626" t="str">
            <v>Demoler muro de tablaroca y canales</v>
          </cell>
          <cell r="C3626" t="str">
            <v>M2</v>
          </cell>
          <cell r="D3626">
            <v>17.403</v>
          </cell>
        </row>
        <row r="3626">
          <cell r="F3626">
            <v>20.01345</v>
          </cell>
        </row>
        <row r="3627">
          <cell r="A3627" t="str">
            <v>DEM08</v>
          </cell>
          <cell r="B3627" t="str">
            <v>Demoler plafond de tablaroca incluye alambres y canales</v>
          </cell>
          <cell r="C3627" t="str">
            <v>M2</v>
          </cell>
          <cell r="D3627">
            <v>19.3366666666667</v>
          </cell>
        </row>
        <row r="3627">
          <cell r="F3627">
            <v>22.2371666666667</v>
          </cell>
        </row>
        <row r="3628">
          <cell r="A3628" t="str">
            <v>DEM09</v>
          </cell>
          <cell r="B3628" t="str">
            <v>Demoler plafond metal desplegado</v>
          </cell>
          <cell r="C3628" t="str">
            <v>M2</v>
          </cell>
          <cell r="D3628">
            <v>38.6733333333333</v>
          </cell>
        </row>
        <row r="3628">
          <cell r="F3628">
            <v>44.4743333333333</v>
          </cell>
        </row>
        <row r="3629">
          <cell r="A3629" t="str">
            <v>DEM10</v>
          </cell>
          <cell r="B3629" t="str">
            <v>Demoler tubo de drenaje 6"</v>
          </cell>
          <cell r="C3629" t="str">
            <v>ML</v>
          </cell>
          <cell r="D3629">
            <v>15.4693333333333</v>
          </cell>
        </row>
        <row r="3629">
          <cell r="F3629">
            <v>17.7897333333333</v>
          </cell>
        </row>
        <row r="3630">
          <cell r="A3630" t="str">
            <v>DEM11</v>
          </cell>
          <cell r="B3630" t="str">
            <v>Demolicion de boquilla</v>
          </cell>
          <cell r="C3630" t="str">
            <v>ML</v>
          </cell>
          <cell r="D3630">
            <v>11.602</v>
          </cell>
        </row>
        <row r="3630">
          <cell r="F3630">
            <v>13.3423</v>
          </cell>
        </row>
        <row r="3631">
          <cell r="A3631" t="str">
            <v>DEM12</v>
          </cell>
          <cell r="B3631" t="str">
            <v>Demolicion de castillo muro de 20</v>
          </cell>
          <cell r="C3631" t="str">
            <v>ML</v>
          </cell>
          <cell r="D3631">
            <v>87.015</v>
          </cell>
        </row>
        <row r="3631">
          <cell r="F3631">
            <v>100.06725</v>
          </cell>
        </row>
        <row r="3632">
          <cell r="A3632" t="str">
            <v>DEM13</v>
          </cell>
          <cell r="B3632" t="str">
            <v>Demolicion de castillo muro de capuchino</v>
          </cell>
          <cell r="C3632" t="str">
            <v>ML</v>
          </cell>
          <cell r="D3632">
            <v>46.408</v>
          </cell>
        </row>
        <row r="3632">
          <cell r="F3632">
            <v>53.3692</v>
          </cell>
        </row>
        <row r="3633">
          <cell r="A3633" t="str">
            <v>DEM14</v>
          </cell>
          <cell r="B3633" t="str">
            <v>Demolicion de castillo muro de soga</v>
          </cell>
          <cell r="C3633" t="str">
            <v>ML</v>
          </cell>
          <cell r="D3633">
            <v>77.3466666666667</v>
          </cell>
        </row>
        <row r="3633">
          <cell r="F3633">
            <v>88.9486666666667</v>
          </cell>
        </row>
        <row r="3634">
          <cell r="A3634" t="str">
            <v>DEM15</v>
          </cell>
          <cell r="B3634" t="str">
            <v>Demolicion de castillo muro de tezon</v>
          </cell>
          <cell r="C3634" t="str">
            <v>ML</v>
          </cell>
          <cell r="D3634">
            <v>87.015</v>
          </cell>
        </row>
        <row r="3634">
          <cell r="F3634">
            <v>100.06725</v>
          </cell>
        </row>
        <row r="3635">
          <cell r="A3635" t="str">
            <v>DEM16</v>
          </cell>
          <cell r="B3635" t="str">
            <v>Demolicion de cerramiento con marro y cincel</v>
          </cell>
          <cell r="C3635" t="str">
            <v>ML</v>
          </cell>
          <cell r="D3635">
            <v>87.015</v>
          </cell>
        </row>
        <row r="3635">
          <cell r="F3635">
            <v>100.06725</v>
          </cell>
        </row>
        <row r="3636">
          <cell r="A3636" t="str">
            <v>DEM17</v>
          </cell>
          <cell r="B3636" t="str">
            <v>Demolicion de cimiento de piedra c/marro</v>
          </cell>
          <cell r="C3636" t="str">
            <v>M3</v>
          </cell>
          <cell r="D3636">
            <v>200.636090225564</v>
          </cell>
        </row>
        <row r="3636">
          <cell r="F3636">
            <v>230.731503759398</v>
          </cell>
        </row>
        <row r="3637">
          <cell r="A3637" t="str">
            <v>DEM18</v>
          </cell>
          <cell r="B3637" t="str">
            <v>Demolicion de dala muro de 20</v>
          </cell>
          <cell r="C3637" t="str">
            <v>ML</v>
          </cell>
          <cell r="D3637">
            <v>87.015</v>
          </cell>
        </row>
        <row r="3637">
          <cell r="F3637">
            <v>100.06725</v>
          </cell>
        </row>
        <row r="3638">
          <cell r="A3638" t="str">
            <v>DEM19</v>
          </cell>
          <cell r="B3638" t="str">
            <v>Demolicion de dala muro de capuchino</v>
          </cell>
          <cell r="C3638" t="str">
            <v>ML</v>
          </cell>
          <cell r="D3638">
            <v>46.408</v>
          </cell>
        </row>
        <row r="3638">
          <cell r="F3638">
            <v>53.3692</v>
          </cell>
        </row>
        <row r="3639">
          <cell r="A3639" t="str">
            <v>DEM20</v>
          </cell>
          <cell r="B3639" t="str">
            <v>Demolicion de dala muro de soga</v>
          </cell>
          <cell r="C3639" t="str">
            <v>ML</v>
          </cell>
          <cell r="D3639">
            <v>77.3466666666667</v>
          </cell>
        </row>
        <row r="3639">
          <cell r="F3639">
            <v>88.9486666666667</v>
          </cell>
        </row>
        <row r="3640">
          <cell r="A3640" t="str">
            <v>DEM21</v>
          </cell>
          <cell r="B3640" t="str">
            <v>Demolicion de dala muro de tezon</v>
          </cell>
          <cell r="C3640" t="str">
            <v>ML</v>
          </cell>
          <cell r="D3640">
            <v>87.015</v>
          </cell>
        </row>
        <row r="3640">
          <cell r="F3640">
            <v>100.06725</v>
          </cell>
        </row>
        <row r="3641">
          <cell r="A3641" t="str">
            <v>DEM22</v>
          </cell>
          <cell r="B3641" t="str">
            <v>Demolicion de enjarre con barra</v>
          </cell>
          <cell r="C3641" t="str">
            <v>M2</v>
          </cell>
          <cell r="D3641">
            <v>27.8448</v>
          </cell>
        </row>
        <row r="3641">
          <cell r="F3641">
            <v>32.02152</v>
          </cell>
        </row>
        <row r="3642">
          <cell r="A3642" t="str">
            <v>DEM23</v>
          </cell>
          <cell r="B3642" t="str">
            <v>Demolicion de firme de hormigon</v>
          </cell>
          <cell r="C3642" t="str">
            <v>M2</v>
          </cell>
          <cell r="D3642">
            <v>24.8614285714286</v>
          </cell>
        </row>
        <row r="3642">
          <cell r="F3642">
            <v>28.5906428571429</v>
          </cell>
        </row>
        <row r="3643">
          <cell r="A3643" t="str">
            <v>DEM24</v>
          </cell>
          <cell r="B3643" t="str">
            <v>Demolicion de firme de ladrillo</v>
          </cell>
          <cell r="C3643" t="str">
            <v>M2</v>
          </cell>
          <cell r="D3643">
            <v>27.8448</v>
          </cell>
        </row>
        <row r="3643">
          <cell r="F3643">
            <v>32.02152</v>
          </cell>
        </row>
        <row r="3644">
          <cell r="A3644" t="str">
            <v>DEM25</v>
          </cell>
          <cell r="B3644" t="str">
            <v>Demolicion de losa de concreto esp. 10 cms</v>
          </cell>
          <cell r="C3644" t="str">
            <v>M2</v>
          </cell>
          <cell r="D3644">
            <v>69.612</v>
          </cell>
        </row>
        <row r="3644">
          <cell r="F3644">
            <v>80.0538</v>
          </cell>
        </row>
        <row r="3645">
          <cell r="A3645" t="str">
            <v>DEM25A</v>
          </cell>
          <cell r="B3645" t="str">
            <v>Demolicion de losa de concreto esp. 15 cms</v>
          </cell>
          <cell r="C3645" t="str">
            <v>M2</v>
          </cell>
          <cell r="D3645">
            <v>104.418</v>
          </cell>
        </row>
        <row r="3645">
          <cell r="F3645">
            <v>120.0807</v>
          </cell>
        </row>
        <row r="3646">
          <cell r="A3646" t="str">
            <v>DEM25R</v>
          </cell>
          <cell r="B3646" t="str">
            <v>Demolicion de losa de concreto esp. 10 cms con rotomartillo</v>
          </cell>
          <cell r="C3646" t="str">
            <v>M2</v>
          </cell>
          <cell r="D3646">
            <v>34.806</v>
          </cell>
        </row>
        <row r="3646">
          <cell r="F3646">
            <v>40.0269</v>
          </cell>
        </row>
        <row r="3647">
          <cell r="A3647" t="str">
            <v>DEM25AR</v>
          </cell>
          <cell r="B3647" t="str">
            <v>Demolicion de losa de concreto esp. 15 cms con rotomartillo</v>
          </cell>
          <cell r="C3647" t="str">
            <v>M2</v>
          </cell>
          <cell r="D3647">
            <v>52.209</v>
          </cell>
        </row>
        <row r="3647">
          <cell r="F3647">
            <v>60.04035</v>
          </cell>
        </row>
        <row r="3648">
          <cell r="A3648" t="str">
            <v>DEM26</v>
          </cell>
          <cell r="B3648" t="str">
            <v>Demolicion de losa de concreto esp. 5 cms </v>
          </cell>
          <cell r="C3648" t="str">
            <v>M2</v>
          </cell>
          <cell r="D3648">
            <v>29.005</v>
          </cell>
        </row>
        <row r="3648">
          <cell r="F3648">
            <v>33.35575</v>
          </cell>
        </row>
        <row r="3649">
          <cell r="A3649" t="str">
            <v>DEM26A</v>
          </cell>
          <cell r="B3649" t="str">
            <v>Demolición de azulejo en muros</v>
          </cell>
          <cell r="C3649" t="str">
            <v>M2</v>
          </cell>
          <cell r="D3649">
            <v>29.005</v>
          </cell>
        </row>
        <row r="3649">
          <cell r="F3649">
            <v>33.35575</v>
          </cell>
        </row>
        <row r="3650">
          <cell r="A3650" t="str">
            <v>DEM27</v>
          </cell>
          <cell r="B3650" t="str">
            <v>Demolicion de losa de concreto esp. 7 cms</v>
          </cell>
          <cell r="C3650" t="str">
            <v>M2</v>
          </cell>
          <cell r="D3650">
            <v>43.5075</v>
          </cell>
        </row>
        <row r="3650">
          <cell r="F3650">
            <v>50.033625</v>
          </cell>
        </row>
        <row r="3651">
          <cell r="A3651" t="str">
            <v>DEM28</v>
          </cell>
          <cell r="B3651" t="str">
            <v>Demolicion de machuelo de concreto</v>
          </cell>
          <cell r="C3651" t="str">
            <v>ML</v>
          </cell>
          <cell r="D3651">
            <v>69.612</v>
          </cell>
        </row>
        <row r="3651">
          <cell r="F3651">
            <v>80.0538</v>
          </cell>
        </row>
        <row r="3652">
          <cell r="A3652" t="str">
            <v>DEM29</v>
          </cell>
          <cell r="B3652" t="str">
            <v>Demolicion de machuelo de ladrillo</v>
          </cell>
          <cell r="C3652" t="str">
            <v>ML</v>
          </cell>
          <cell r="D3652">
            <v>23.204</v>
          </cell>
        </row>
        <row r="3652">
          <cell r="F3652">
            <v>26.6846</v>
          </cell>
        </row>
        <row r="3653">
          <cell r="A3653" t="str">
            <v>DEM30</v>
          </cell>
          <cell r="B3653" t="str">
            <v>Demolicion de muro de 20</v>
          </cell>
          <cell r="C3653" t="str">
            <v>M2</v>
          </cell>
          <cell r="D3653">
            <v>18.8140540540541</v>
          </cell>
        </row>
        <row r="3653">
          <cell r="F3653">
            <v>21.6361621621622</v>
          </cell>
        </row>
        <row r="3654">
          <cell r="A3654" t="str">
            <v>DEM31</v>
          </cell>
          <cell r="B3654" t="str">
            <v>Demolicion de muro de capuchino</v>
          </cell>
          <cell r="C3654" t="str">
            <v>M2</v>
          </cell>
          <cell r="D3654">
            <v>9.36301754385966</v>
          </cell>
        </row>
        <row r="3654">
          <cell r="F3654">
            <v>10.7674701754386</v>
          </cell>
        </row>
        <row r="3655">
          <cell r="A3655" t="str">
            <v>DEM32</v>
          </cell>
          <cell r="B3655" t="str">
            <v>Demolicion de muro de soga</v>
          </cell>
          <cell r="C3655" t="str">
            <v>M2</v>
          </cell>
          <cell r="D3655">
            <v>14.2065306122449</v>
          </cell>
        </row>
        <row r="3655">
          <cell r="F3655">
            <v>16.3375102040816</v>
          </cell>
        </row>
        <row r="3656">
          <cell r="A3656" t="str">
            <v>DEM33</v>
          </cell>
          <cell r="B3656" t="str">
            <v>Demolicion de muro de tezon</v>
          </cell>
          <cell r="C3656" t="str">
            <v>M2</v>
          </cell>
          <cell r="D3656">
            <v>21.75375</v>
          </cell>
        </row>
        <row r="3656">
          <cell r="F3656">
            <v>25.0168125</v>
          </cell>
        </row>
        <row r="3657">
          <cell r="A3657" t="str">
            <v>DEM34</v>
          </cell>
          <cell r="B3657" t="str">
            <v>Demolicion de piso de cemento esp. 10 cms</v>
          </cell>
          <cell r="C3657" t="str">
            <v>M2</v>
          </cell>
          <cell r="D3657">
            <v>49.7228571428571</v>
          </cell>
        </row>
        <row r="3657">
          <cell r="F3657">
            <v>57.1812857142857</v>
          </cell>
        </row>
        <row r="3658">
          <cell r="A3658" t="str">
            <v>DEM35</v>
          </cell>
          <cell r="B3658" t="str">
            <v>Demolicion de piso de cemento esp. 5 cms</v>
          </cell>
          <cell r="C3658" t="str">
            <v>M2</v>
          </cell>
          <cell r="D3658">
            <v>24.8614285714286</v>
          </cell>
        </row>
        <row r="3658">
          <cell r="F3658">
            <v>28.5906428571429</v>
          </cell>
        </row>
        <row r="3659">
          <cell r="A3659" t="str">
            <v>DEM36</v>
          </cell>
          <cell r="B3659" t="str">
            <v>Demolicion de piso de cemento esp. 7 cms</v>
          </cell>
          <cell r="C3659" t="str">
            <v>M2</v>
          </cell>
          <cell r="D3659">
            <v>34.806</v>
          </cell>
        </row>
        <row r="3659">
          <cell r="F3659">
            <v>40.0269</v>
          </cell>
        </row>
        <row r="3660">
          <cell r="A3660" t="str">
            <v>DEM37</v>
          </cell>
          <cell r="B3660" t="str">
            <v>Demolicion de registro sanitario</v>
          </cell>
          <cell r="C3660" t="str">
            <v>PZA</v>
          </cell>
          <cell r="D3660">
            <v>139.224</v>
          </cell>
        </row>
        <row r="3660">
          <cell r="F3660">
            <v>160.1076</v>
          </cell>
        </row>
        <row r="3661">
          <cell r="A3661" t="str">
            <v>DEM38</v>
          </cell>
          <cell r="B3661" t="str">
            <v>Demoler zavaleta</v>
          </cell>
          <cell r="C3661" t="str">
            <v>ML</v>
          </cell>
          <cell r="D3661">
            <v>23.204</v>
          </cell>
        </row>
        <row r="3661">
          <cell r="F3661">
            <v>26.6846</v>
          </cell>
        </row>
        <row r="3662">
          <cell r="A3662" t="str">
            <v>DEM39</v>
          </cell>
          <cell r="B3662" t="str">
            <v>Demoler trabe de concreto</v>
          </cell>
          <cell r="C3662" t="str">
            <v>ML</v>
          </cell>
          <cell r="D3662">
            <v>139.224</v>
          </cell>
        </row>
        <row r="3662">
          <cell r="F3662">
            <v>160.1076</v>
          </cell>
        </row>
        <row r="3663">
          <cell r="A3663" t="str">
            <v>DEM40</v>
          </cell>
          <cell r="B3663" t="str">
            <v>Demolicion de hilada de ladrillo</v>
          </cell>
          <cell r="C3663" t="str">
            <v>ML</v>
          </cell>
          <cell r="D3663">
            <v>9.2816</v>
          </cell>
        </row>
        <row r="3663">
          <cell r="F3663">
            <v>10.67384</v>
          </cell>
        </row>
        <row r="3664">
          <cell r="A3664" t="str">
            <v>DEM41</v>
          </cell>
          <cell r="B3664" t="str">
            <v>Demoler enchape de viga</v>
          </cell>
          <cell r="C3664" t="str">
            <v>ML</v>
          </cell>
          <cell r="D3664">
            <v>19.8891428571429</v>
          </cell>
        </row>
        <row r="3664">
          <cell r="F3664">
            <v>22.8725142857143</v>
          </cell>
        </row>
        <row r="3665">
          <cell r="A3665" t="str">
            <v>DEM42</v>
          </cell>
          <cell r="B3665" t="str">
            <v>Demoler concreto armado en volumen</v>
          </cell>
          <cell r="C3665" t="str">
            <v>M3</v>
          </cell>
          <cell r="D3665">
            <v>696.12</v>
          </cell>
        </row>
        <row r="3665">
          <cell r="F3665">
            <v>800.538</v>
          </cell>
        </row>
        <row r="3666">
          <cell r="A3666" t="str">
            <v>DEM43</v>
          </cell>
          <cell r="B3666" t="str">
            <v>Demolicion de piso de mosaico incluyendo mortero</v>
          </cell>
          <cell r="C3666" t="str">
            <v>M2</v>
          </cell>
          <cell r="D3666">
            <v>14.0445263157895</v>
          </cell>
        </row>
        <row r="3666">
          <cell r="F3666">
            <v>16.1512052631579</v>
          </cell>
        </row>
        <row r="3667">
          <cell r="A3667" t="str">
            <v>DEM44</v>
          </cell>
          <cell r="B3667" t="str">
            <v>Demolicion de enladrillado, relleno y chaflanes de azotea</v>
          </cell>
          <cell r="C3667" t="str">
            <v>M2</v>
          </cell>
          <cell r="D3667">
            <v>15.6050292397661</v>
          </cell>
        </row>
        <row r="3667">
          <cell r="F3667">
            <v>17.945783625731</v>
          </cell>
        </row>
        <row r="3668">
          <cell r="A3668" t="str">
            <v>DENTAR</v>
          </cell>
          <cell r="B3668" t="str">
            <v>Dentado de muro para crecimiento</v>
          </cell>
          <cell r="C3668" t="str">
            <v>ML</v>
          </cell>
          <cell r="D3668">
            <v>27.8448</v>
          </cell>
        </row>
        <row r="3668">
          <cell r="F3668">
            <v>32.02152</v>
          </cell>
        </row>
        <row r="3669">
          <cell r="A3669" t="str">
            <v>DES01</v>
          </cell>
          <cell r="B3669" t="str">
            <v>Descubrir tuberia por recubrimiento</v>
          </cell>
          <cell r="C3669" t="str">
            <v>ML</v>
          </cell>
          <cell r="D3669">
            <v>23.204</v>
          </cell>
        </row>
        <row r="3669">
          <cell r="F3669">
            <v>26.6846</v>
          </cell>
        </row>
        <row r="3670">
          <cell r="A3670" t="str">
            <v>DES02</v>
          </cell>
          <cell r="B3670" t="str">
            <v>Descubrir varilla en dala, castillo o dado</v>
          </cell>
          <cell r="C3670" t="str">
            <v>PZA</v>
          </cell>
          <cell r="D3670">
            <v>23.204</v>
          </cell>
        </row>
        <row r="3670">
          <cell r="F3670">
            <v>26.6846</v>
          </cell>
        </row>
        <row r="3671">
          <cell r="A3671" t="str">
            <v>DES03</v>
          </cell>
          <cell r="B3671" t="str">
            <v>Desmontar cesped con recuperacion</v>
          </cell>
          <cell r="C3671" t="str">
            <v>M2</v>
          </cell>
          <cell r="D3671">
            <v>13.9224</v>
          </cell>
        </row>
        <row r="3671">
          <cell r="F3671">
            <v>16.01076</v>
          </cell>
        </row>
        <row r="3672">
          <cell r="A3672" t="str">
            <v>DES04</v>
          </cell>
          <cell r="B3672" t="str">
            <v>Desmontar cristales con junquillo</v>
          </cell>
          <cell r="C3672" t="str">
            <v>M2</v>
          </cell>
          <cell r="D3672">
            <v>19.3366666666667</v>
          </cell>
        </row>
        <row r="3672">
          <cell r="F3672">
            <v>22.2371666666667</v>
          </cell>
        </row>
        <row r="3673">
          <cell r="A3673" t="str">
            <v>DES05</v>
          </cell>
          <cell r="B3673" t="str">
            <v>Desmontar cristales con mastique</v>
          </cell>
          <cell r="C3673" t="str">
            <v>M2</v>
          </cell>
          <cell r="D3673">
            <v>23.204</v>
          </cell>
        </row>
        <row r="3673">
          <cell r="F3673">
            <v>26.6846</v>
          </cell>
        </row>
        <row r="3674">
          <cell r="A3674" t="str">
            <v>DES06</v>
          </cell>
          <cell r="B3674" t="str">
            <v>Desmontar herreria demoliendo anclas</v>
          </cell>
          <cell r="C3674" t="str">
            <v>M2</v>
          </cell>
          <cell r="D3674">
            <v>34.806</v>
          </cell>
        </row>
        <row r="3674">
          <cell r="F3674">
            <v>40.0269</v>
          </cell>
        </row>
        <row r="3675">
          <cell r="A3675" t="str">
            <v>DES07</v>
          </cell>
          <cell r="B3675" t="str">
            <v>Desmontar puerta de madera o aluminio con todo y marco</v>
          </cell>
          <cell r="C3675" t="str">
            <v>PZA</v>
          </cell>
          <cell r="D3675">
            <v>69.612</v>
          </cell>
        </row>
        <row r="3675">
          <cell r="F3675">
            <v>80.0538</v>
          </cell>
        </row>
        <row r="3676">
          <cell r="A3676" t="str">
            <v>DES08</v>
          </cell>
          <cell r="B3676" t="str">
            <v>Desmontar ladrillo de azotea</v>
          </cell>
          <cell r="C3676" t="str">
            <v>M2</v>
          </cell>
          <cell r="D3676">
            <v>14.0445263157895</v>
          </cell>
        </row>
        <row r="3676">
          <cell r="F3676">
            <v>16.1512052631579</v>
          </cell>
        </row>
        <row r="3677">
          <cell r="A3677" t="str">
            <v>DES09</v>
          </cell>
          <cell r="B3677" t="str">
            <v>Despegar tecata impermeabilizante o mezcla</v>
          </cell>
          <cell r="C3677" t="str">
            <v>M2</v>
          </cell>
          <cell r="D3677">
            <v>13.9224</v>
          </cell>
        </row>
        <row r="3677">
          <cell r="F3677">
            <v>16.01076</v>
          </cell>
        </row>
        <row r="3678">
          <cell r="A3678" t="str">
            <v>DES10</v>
          </cell>
          <cell r="B3678" t="str">
            <v>Descimbrar losa</v>
          </cell>
          <cell r="C3678" t="str">
            <v>M2</v>
          </cell>
          <cell r="D3678">
            <v>13.9224</v>
          </cell>
        </row>
        <row r="3678">
          <cell r="F3678">
            <v>16.01076</v>
          </cell>
        </row>
        <row r="3679">
          <cell r="A3679" t="str">
            <v>DES11</v>
          </cell>
          <cell r="B3679" t="str">
            <v>Desmontar teja colocada en losas, incluye acomodo</v>
          </cell>
          <cell r="C3679" t="str">
            <v>M2</v>
          </cell>
          <cell r="D3679">
            <v>13.9224</v>
          </cell>
        </row>
        <row r="3679">
          <cell r="F3679">
            <v>16.01076</v>
          </cell>
        </row>
        <row r="3680">
          <cell r="A3680" t="str">
            <v>DES12</v>
          </cell>
          <cell r="B3680" t="str">
            <v>Desmontar empedrado </v>
          </cell>
          <cell r="C3680" t="str">
            <v>M2</v>
          </cell>
          <cell r="D3680">
            <v>11.2356210526316</v>
          </cell>
        </row>
        <row r="3680">
          <cell r="F3680">
            <v>12.9209642105263</v>
          </cell>
        </row>
        <row r="3681">
          <cell r="A3681" t="str">
            <v>DES13</v>
          </cell>
          <cell r="B3681" t="str">
            <v>Desmontaje de muebles sanitarios</v>
          </cell>
          <cell r="C3681" t="str">
            <v>PZA</v>
          </cell>
          <cell r="D3681">
            <v>116.02</v>
          </cell>
        </row>
        <row r="3681">
          <cell r="F3681">
            <v>133.423</v>
          </cell>
        </row>
        <row r="3682">
          <cell r="A3682" t="str">
            <v>DES14</v>
          </cell>
          <cell r="B3682" t="str">
            <v>Desapuntalar decklosa</v>
          </cell>
          <cell r="C3682" t="str">
            <v>M2</v>
          </cell>
          <cell r="D3682">
            <v>4.88505263157895</v>
          </cell>
        </row>
        <row r="3682">
          <cell r="F3682">
            <v>5.61781052631579</v>
          </cell>
        </row>
        <row r="3683">
          <cell r="A3683" t="str">
            <v>DESBA</v>
          </cell>
          <cell r="B3683" t="str">
            <v>Desbastar piso con maquina</v>
          </cell>
          <cell r="C3683" t="str">
            <v>M2</v>
          </cell>
          <cell r="D3683">
            <v>44.9109677419355</v>
          </cell>
        </row>
        <row r="3683">
          <cell r="F3683">
            <v>51.6476129032258</v>
          </cell>
        </row>
        <row r="3684">
          <cell r="A3684" t="str">
            <v>DESPA1</v>
          </cell>
          <cell r="B3684" t="str">
            <v>Despatillado de piso o azulejo</v>
          </cell>
          <cell r="C3684" t="str">
            <v>ML</v>
          </cell>
          <cell r="D3684">
            <v>58.01</v>
          </cell>
        </row>
        <row r="3684">
          <cell r="F3684">
            <v>66.7115</v>
          </cell>
        </row>
        <row r="3685">
          <cell r="A3685" t="str">
            <v>DESPA2</v>
          </cell>
          <cell r="B3685" t="str">
            <v>Despatillado de piso o azulejo en cartabon</v>
          </cell>
          <cell r="C3685" t="str">
            <v>ML</v>
          </cell>
          <cell r="D3685">
            <v>58.01</v>
          </cell>
        </row>
        <row r="3685">
          <cell r="F3685">
            <v>66.7115</v>
          </cell>
        </row>
        <row r="3686">
          <cell r="A3686" t="str">
            <v>DESPA3</v>
          </cell>
          <cell r="B3686" t="str">
            <v>Despalme de terreno con pala de 10 a 20 cms prof.</v>
          </cell>
          <cell r="C3686" t="str">
            <v>M2</v>
          </cell>
          <cell r="D3686">
            <v>34.806</v>
          </cell>
        </row>
        <row r="3686">
          <cell r="F3686">
            <v>40.0269</v>
          </cell>
        </row>
        <row r="3687">
          <cell r="A3687" t="str">
            <v>DESTAJ</v>
          </cell>
          <cell r="B3687" t="str">
            <v>Destajos y nominas</v>
          </cell>
          <cell r="C3687" t="str">
            <v>LOTE</v>
          </cell>
          <cell r="D3687">
            <v>100</v>
          </cell>
        </row>
        <row r="3687">
          <cell r="F3687">
            <v>100</v>
          </cell>
        </row>
        <row r="3688">
          <cell r="A3688" t="str">
            <v>DIAFE</v>
          </cell>
          <cell r="B3688" t="str">
            <v>Dia festivo ( 1 oficial + 1 peon )</v>
          </cell>
          <cell r="C3688" t="str">
            <v>JORNAL</v>
          </cell>
          <cell r="D3688">
            <v>696.12</v>
          </cell>
        </row>
        <row r="3689">
          <cell r="A3689" t="str">
            <v>DOM</v>
          </cell>
          <cell r="B3689" t="str">
            <v>Domingo trabajado</v>
          </cell>
          <cell r="C3689" t="str">
            <v>LOTE</v>
          </cell>
          <cell r="D3689">
            <v>100</v>
          </cell>
        </row>
        <row r="3689">
          <cell r="F3689">
            <v>100</v>
          </cell>
        </row>
        <row r="3690">
          <cell r="A3690" t="str">
            <v>DUCTO</v>
          </cell>
          <cell r="B3690" t="str">
            <v>Recibir ducto de aire en muro o boveda colando y resanando</v>
          </cell>
          <cell r="C3690" t="str">
            <v>PZA</v>
          </cell>
          <cell r="D3690">
            <v>232.04</v>
          </cell>
        </row>
        <row r="3690">
          <cell r="F3690">
            <v>266.846</v>
          </cell>
        </row>
        <row r="3691">
          <cell r="A3691" t="str">
            <v>DUELA</v>
          </cell>
          <cell r="B3691" t="str">
            <v>Instalacion de duela aparente lecho bajo de cubierta machihembrada</v>
          </cell>
          <cell r="C3691" t="str">
            <v>M2</v>
          </cell>
          <cell r="D3691">
            <v>44.9399612653325</v>
          </cell>
        </row>
        <row r="3691">
          <cell r="F3691">
            <v>51.6809554551323</v>
          </cell>
        </row>
        <row r="3692">
          <cell r="A3692" t="str">
            <v>DUROCK</v>
          </cell>
          <cell r="B3692" t="str">
            <v>Instalacion de bastidor de metal y hojas de durock a 2 rostros</v>
          </cell>
          <cell r="C3692" t="str">
            <v>M2</v>
          </cell>
          <cell r="D3692">
            <v>193.366666666667</v>
          </cell>
        </row>
        <row r="3692">
          <cell r="F3692">
            <v>193.366666666667</v>
          </cell>
        </row>
        <row r="3693">
          <cell r="A3693" t="str">
            <v>DURM</v>
          </cell>
          <cell r="B3693" t="str">
            <v>Acarreo, nivelacion, fijar y colocar durmiente de madera</v>
          </cell>
          <cell r="C3693" t="str">
            <v>ML</v>
          </cell>
          <cell r="D3693">
            <v>58.01</v>
          </cell>
        </row>
        <row r="3693">
          <cell r="F3693">
            <v>66.7115</v>
          </cell>
        </row>
        <row r="3694">
          <cell r="A3694" t="str">
            <v>EMP01</v>
          </cell>
          <cell r="B3694" t="str">
            <v>Empedrado ( piedra bola 4" a 8 " )</v>
          </cell>
          <cell r="C3694" t="str">
            <v>M2</v>
          </cell>
          <cell r="D3694">
            <v>107.095384615385</v>
          </cell>
        </row>
        <row r="3694">
          <cell r="F3694">
            <v>123.159692307692</v>
          </cell>
        </row>
        <row r="3695">
          <cell r="A3695" t="str">
            <v>EMP02</v>
          </cell>
          <cell r="B3695" t="str">
            <v>Empedrado ( piedra castilla 4" a 8 " )</v>
          </cell>
          <cell r="C3695" t="str">
            <v>M2</v>
          </cell>
          <cell r="D3695">
            <v>107.095384615385</v>
          </cell>
        </row>
        <row r="3695">
          <cell r="F3695">
            <v>123.159692307692</v>
          </cell>
        </row>
        <row r="3696">
          <cell r="A3696" t="str">
            <v>ENC01</v>
          </cell>
          <cell r="B3696" t="str">
            <v>Enchape de bajante</v>
          </cell>
          <cell r="C3696" t="str">
            <v>ML</v>
          </cell>
          <cell r="D3696">
            <v>53.5476923076923</v>
          </cell>
          <cell r="E3696">
            <v>1</v>
          </cell>
          <cell r="F3696">
            <v>61.5798461538462</v>
          </cell>
        </row>
        <row r="3697">
          <cell r="A3697" t="str">
            <v>ENC02</v>
          </cell>
          <cell r="B3697" t="str">
            <v>Enchape de muro </v>
          </cell>
          <cell r="C3697" t="str">
            <v>M2</v>
          </cell>
          <cell r="D3697">
            <v>46.408</v>
          </cell>
          <cell r="E3697">
            <v>1</v>
          </cell>
          <cell r="F3697">
            <v>53.3692</v>
          </cell>
        </row>
        <row r="3698">
          <cell r="A3698" t="str">
            <v>ENC03</v>
          </cell>
          <cell r="B3698" t="str">
            <v>Enchape de viga </v>
          </cell>
          <cell r="C3698" t="str">
            <v>ML</v>
          </cell>
          <cell r="D3698">
            <v>23.204</v>
          </cell>
          <cell r="E3698">
            <v>1</v>
          </cell>
          <cell r="F3698">
            <v>26.6846</v>
          </cell>
        </row>
        <row r="3699">
          <cell r="A3699" t="str">
            <v>ENC04</v>
          </cell>
          <cell r="B3699" t="str">
            <v>Enchape de muro con rajuela de piedra a 1 rostro</v>
          </cell>
          <cell r="C3699" t="str">
            <v>M2</v>
          </cell>
          <cell r="D3699">
            <v>87.015</v>
          </cell>
          <cell r="E3699">
            <v>1</v>
          </cell>
          <cell r="F3699">
            <v>100.06725</v>
          </cell>
        </row>
        <row r="3700">
          <cell r="A3700" t="str">
            <v>ENCAR</v>
          </cell>
          <cell r="B3700" t="str">
            <v>Encartonado de piso</v>
          </cell>
          <cell r="C3700" t="str">
            <v>M2</v>
          </cell>
          <cell r="D3700">
            <v>2.78448</v>
          </cell>
        </row>
        <row r="3700">
          <cell r="F3700">
            <v>3.202152</v>
          </cell>
        </row>
        <row r="3701">
          <cell r="A3701" t="str">
            <v>ENJ01</v>
          </cell>
          <cell r="B3701" t="str">
            <v>Enjarre apalillado</v>
          </cell>
          <cell r="C3701" t="str">
            <v>M2</v>
          </cell>
          <cell r="D3701">
            <v>71.3969230769231</v>
          </cell>
          <cell r="E3701">
            <v>1</v>
          </cell>
          <cell r="F3701">
            <v>82.1064615384615</v>
          </cell>
        </row>
        <row r="3702">
          <cell r="A3702" t="str">
            <v>ENJ02</v>
          </cell>
          <cell r="B3702" t="str">
            <v>Enjarre apalillado 2a h.</v>
          </cell>
          <cell r="C3702" t="str">
            <v>M2</v>
          </cell>
          <cell r="D3702">
            <v>82.1064615384615</v>
          </cell>
          <cell r="E3702">
            <v>1</v>
          </cell>
          <cell r="F3702">
            <v>94.4224307692308</v>
          </cell>
        </row>
        <row r="3703">
          <cell r="A3703" t="str">
            <v>ENJ03</v>
          </cell>
          <cell r="B3703" t="str">
            <v>Enjarre apalillado en boveda</v>
          </cell>
          <cell r="C3703" t="str">
            <v>M2</v>
          </cell>
          <cell r="D3703">
            <v>87.015</v>
          </cell>
          <cell r="E3703">
            <v>1</v>
          </cell>
          <cell r="F3703">
            <v>100.06725</v>
          </cell>
        </row>
        <row r="3704">
          <cell r="A3704" t="str">
            <v>ENJ04</v>
          </cell>
          <cell r="B3704" t="str">
            <v>Enjarre apalillado en boveda 2a h.</v>
          </cell>
          <cell r="C3704" t="str">
            <v>M2</v>
          </cell>
          <cell r="D3704">
            <v>100.06725</v>
          </cell>
          <cell r="E3704">
            <v>1</v>
          </cell>
          <cell r="F3704">
            <v>115.0773375</v>
          </cell>
        </row>
        <row r="3705">
          <cell r="A3705" t="str">
            <v>ENJ05</v>
          </cell>
          <cell r="B3705" t="str">
            <v>Enjarre apalillado en muro curvo</v>
          </cell>
          <cell r="C3705" t="str">
            <v>M2</v>
          </cell>
          <cell r="D3705">
            <v>97.7010526315789</v>
          </cell>
          <cell r="E3705">
            <v>1</v>
          </cell>
          <cell r="F3705">
            <v>112.356210526316</v>
          </cell>
        </row>
        <row r="3706">
          <cell r="A3706" t="str">
            <v>ENJ06</v>
          </cell>
          <cell r="B3706" t="str">
            <v>Enjarre apalillado en muro curvo 2a h.</v>
          </cell>
          <cell r="C3706" t="str">
            <v>M2</v>
          </cell>
          <cell r="D3706">
            <v>112.277419354839</v>
          </cell>
          <cell r="E3706">
            <v>1</v>
          </cell>
          <cell r="F3706">
            <v>129.119032258065</v>
          </cell>
        </row>
        <row r="3707">
          <cell r="A3707" t="str">
            <v>ENJ06-3</v>
          </cell>
          <cell r="B3707" t="str">
            <v>Enjarre apalillado en muro curvo 3a h.</v>
          </cell>
          <cell r="C3707" t="str">
            <v>M2</v>
          </cell>
          <cell r="D3707">
            <v>129.119032258065</v>
          </cell>
          <cell r="E3707">
            <v>1</v>
          </cell>
          <cell r="F3707">
            <v>148.486887096774</v>
          </cell>
        </row>
        <row r="3708">
          <cell r="A3708" t="str">
            <v>ENJ07</v>
          </cell>
          <cell r="B3708" t="str">
            <v>Enjarre de contrahuella escalones</v>
          </cell>
          <cell r="C3708" t="str">
            <v>ML</v>
          </cell>
          <cell r="D3708">
            <v>27.8448</v>
          </cell>
          <cell r="E3708">
            <v>1</v>
          </cell>
          <cell r="F3708">
            <v>32.02152</v>
          </cell>
        </row>
        <row r="3709">
          <cell r="A3709" t="str">
            <v>ENJ08</v>
          </cell>
          <cell r="B3709" t="str">
            <v>Enjarre apalillado en losa inclinada </v>
          </cell>
          <cell r="C3709" t="str">
            <v>M2</v>
          </cell>
          <cell r="D3709">
            <v>97.7010526315789</v>
          </cell>
          <cell r="E3709">
            <v>1</v>
          </cell>
          <cell r="F3709">
            <v>112.356210526316</v>
          </cell>
        </row>
        <row r="3710">
          <cell r="A3710" t="str">
            <v>ENJ09</v>
          </cell>
          <cell r="B3710" t="str">
            <v>Enjarre apalillado en losa inclinada 2a h</v>
          </cell>
          <cell r="C3710" t="str">
            <v>M2</v>
          </cell>
          <cell r="D3710">
            <v>112.277419354839</v>
          </cell>
          <cell r="E3710">
            <v>1</v>
          </cell>
          <cell r="F3710">
            <v>129.119032258065</v>
          </cell>
        </row>
        <row r="3711">
          <cell r="A3711" t="str">
            <v>ENJ10</v>
          </cell>
          <cell r="B3711" t="str">
            <v>Enjarre de losa inclinada pulido</v>
          </cell>
          <cell r="C3711" t="str">
            <v>M2</v>
          </cell>
          <cell r="D3711">
            <v>102.586105263158</v>
          </cell>
          <cell r="E3711">
            <v>1</v>
          </cell>
          <cell r="F3711">
            <v>117.974021052632</v>
          </cell>
        </row>
        <row r="3712">
          <cell r="A3712" t="str">
            <v>ENJ11</v>
          </cell>
          <cell r="B3712" t="str">
            <v>Enjarre de losa inclinada pulido 2a h.</v>
          </cell>
          <cell r="C3712" t="str">
            <v>M2</v>
          </cell>
          <cell r="D3712">
            <v>117.899558173785</v>
          </cell>
          <cell r="E3712">
            <v>1</v>
          </cell>
          <cell r="F3712">
            <v>135.584491899853</v>
          </cell>
        </row>
        <row r="3713">
          <cell r="A3713" t="str">
            <v>ENJ12</v>
          </cell>
          <cell r="B3713" t="str">
            <v>Enjarre de muro mamposteo incluye sarpeado cemento</v>
          </cell>
          <cell r="C3713" t="str">
            <v>M2</v>
          </cell>
          <cell r="D3713">
            <v>99.4457142857143</v>
          </cell>
          <cell r="E3713">
            <v>1</v>
          </cell>
          <cell r="F3713">
            <v>114.362571428571</v>
          </cell>
        </row>
        <row r="3714">
          <cell r="A3714" t="str">
            <v>ENJ13</v>
          </cell>
          <cell r="B3714" t="str">
            <v>Enjarre de pretil</v>
          </cell>
          <cell r="C3714" t="str">
            <v>ML</v>
          </cell>
          <cell r="D3714">
            <v>55.511961722488</v>
          </cell>
          <cell r="E3714">
            <v>1</v>
          </cell>
          <cell r="F3714">
            <v>63.8387559808613</v>
          </cell>
        </row>
        <row r="3715">
          <cell r="A3715" t="str">
            <v>ENJ14</v>
          </cell>
          <cell r="B3715" t="str">
            <v>Enjarre en muro de panel incluye sarpeo</v>
          </cell>
          <cell r="C3715" t="str">
            <v>M2</v>
          </cell>
          <cell r="D3715">
            <v>109.913684210526</v>
          </cell>
          <cell r="E3715">
            <v>1</v>
          </cell>
          <cell r="F3715">
            <v>126.400736842105</v>
          </cell>
        </row>
        <row r="3716">
          <cell r="A3716" t="str">
            <v>ENJ15</v>
          </cell>
          <cell r="B3716" t="str">
            <v>Enjarre en boveda de panel incluye sarpeo</v>
          </cell>
          <cell r="C3716" t="str">
            <v>M2</v>
          </cell>
          <cell r="D3716">
            <v>126.467298578199</v>
          </cell>
          <cell r="E3716">
            <v>1</v>
          </cell>
          <cell r="F3716">
            <v>145.437393364929</v>
          </cell>
        </row>
        <row r="3717">
          <cell r="A3717" t="str">
            <v>ENJ16</v>
          </cell>
          <cell r="B3717" t="str">
            <v>Enjarre pulido </v>
          </cell>
          <cell r="C3717" t="str">
            <v>M2</v>
          </cell>
          <cell r="D3717">
            <v>85.4884210526316</v>
          </cell>
          <cell r="E3717">
            <v>1</v>
          </cell>
          <cell r="F3717">
            <v>98.3116842105263</v>
          </cell>
        </row>
        <row r="3718">
          <cell r="A3718" t="str">
            <v>ENJ17</v>
          </cell>
          <cell r="B3718" t="str">
            <v>Enjarre pulido 2a h.</v>
          </cell>
          <cell r="C3718" t="str">
            <v>M2</v>
          </cell>
          <cell r="D3718">
            <v>97.7010526315789</v>
          </cell>
          <cell r="E3718">
            <v>1</v>
          </cell>
          <cell r="F3718">
            <v>112.356210526316</v>
          </cell>
        </row>
        <row r="3719">
          <cell r="A3719" t="str">
            <v>ENJ18</v>
          </cell>
          <cell r="B3719" t="str">
            <v>Enjarre pulido en boveda</v>
          </cell>
          <cell r="C3719" t="str">
            <v>M2</v>
          </cell>
          <cell r="D3719">
            <v>87.015</v>
          </cell>
          <cell r="E3719">
            <v>1</v>
          </cell>
          <cell r="F3719">
            <v>100.06725</v>
          </cell>
        </row>
        <row r="3720">
          <cell r="A3720" t="str">
            <v>ENJ19</v>
          </cell>
          <cell r="B3720" t="str">
            <v>Enjarre pulido en boveda 2a h.</v>
          </cell>
          <cell r="C3720" t="str">
            <v>M2</v>
          </cell>
          <cell r="D3720">
            <v>100.06725</v>
          </cell>
          <cell r="E3720">
            <v>1</v>
          </cell>
          <cell r="F3720">
            <v>115.0773375</v>
          </cell>
        </row>
        <row r="3721">
          <cell r="A3721" t="str">
            <v>ENJ20</v>
          </cell>
          <cell r="B3721" t="str">
            <v>Enjarre pulido en muro curvo</v>
          </cell>
          <cell r="C3721" t="str">
            <v>M2</v>
          </cell>
          <cell r="D3721">
            <v>99.9215311004785</v>
          </cell>
          <cell r="E3721">
            <v>1</v>
          </cell>
          <cell r="F3721">
            <v>114.90976076555</v>
          </cell>
        </row>
        <row r="3722">
          <cell r="A3722" t="str">
            <v>ENJ21</v>
          </cell>
          <cell r="B3722" t="str">
            <v>Enjarre pulido en muro curvo 2a h.</v>
          </cell>
          <cell r="C3722" t="str">
            <v>M2</v>
          </cell>
          <cell r="D3722">
            <v>114.854806312769</v>
          </cell>
          <cell r="E3722">
            <v>1</v>
          </cell>
          <cell r="F3722">
            <v>132.083027259684</v>
          </cell>
        </row>
        <row r="3723">
          <cell r="A3723" t="str">
            <v>ENJ22</v>
          </cell>
          <cell r="B3723" t="str">
            <v>Enjarre rustico</v>
          </cell>
          <cell r="C3723" t="str">
            <v>M2</v>
          </cell>
          <cell r="D3723">
            <v>99.9215311004785</v>
          </cell>
          <cell r="E3723">
            <v>1</v>
          </cell>
          <cell r="F3723">
            <v>114.90976076555</v>
          </cell>
        </row>
        <row r="3724">
          <cell r="A3724" t="str">
            <v>ENJ23</v>
          </cell>
          <cell r="B3724" t="str">
            <v>Enjarre rustico 2a h.</v>
          </cell>
          <cell r="C3724" t="str">
            <v>M2</v>
          </cell>
          <cell r="D3724">
            <v>114.854806312769</v>
          </cell>
          <cell r="E3724">
            <v>1</v>
          </cell>
          <cell r="F3724">
            <v>132.083027259684</v>
          </cell>
        </row>
        <row r="3725">
          <cell r="A3725" t="str">
            <v>ENJ24</v>
          </cell>
          <cell r="B3725" t="str">
            <v>Enjarre apalillado a 15 mts altura</v>
          </cell>
          <cell r="C3725" t="str">
            <v>M2</v>
          </cell>
          <cell r="D3725">
            <v>154.693333333333</v>
          </cell>
          <cell r="E3725">
            <v>1</v>
          </cell>
          <cell r="F3725">
            <v>177.897333333333</v>
          </cell>
        </row>
        <row r="3726">
          <cell r="A3726" t="str">
            <v>ENJ25</v>
          </cell>
          <cell r="B3726" t="str">
            <v>Enjarre repellado en muro con terminado pendiente</v>
          </cell>
          <cell r="C3726" t="str">
            <v>M2</v>
          </cell>
          <cell r="D3726">
            <v>71.0326530612245</v>
          </cell>
          <cell r="E3726">
            <v>1</v>
          </cell>
          <cell r="F3726">
            <v>81.6875510204082</v>
          </cell>
        </row>
        <row r="3727">
          <cell r="A3727" t="str">
            <v>ENJ252</v>
          </cell>
          <cell r="B3727" t="str">
            <v>Enjarre repellado en muro con terminado pendiente 2a h</v>
          </cell>
          <cell r="C3727" t="str">
            <v>M2</v>
          </cell>
          <cell r="D3727">
            <v>81.6875510204082</v>
          </cell>
          <cell r="E3727">
            <v>1</v>
          </cell>
          <cell r="F3727">
            <v>93.9406836734694</v>
          </cell>
        </row>
        <row r="3728">
          <cell r="A3728" t="str">
            <v>ENJ253</v>
          </cell>
          <cell r="B3728" t="str">
            <v>Enjarre repellado en muro con terminado pendiente 3a h</v>
          </cell>
          <cell r="C3728" t="str">
            <v>M2</v>
          </cell>
          <cell r="D3728">
            <v>92.3424489795918</v>
          </cell>
          <cell r="E3728">
            <v>1</v>
          </cell>
          <cell r="F3728">
            <v>106.193816326531</v>
          </cell>
        </row>
        <row r="3729">
          <cell r="A3729" t="str">
            <v>ENJ254</v>
          </cell>
          <cell r="B3729" t="str">
            <v>Enjarre repellado en muro con terminado pendiente 4a h</v>
          </cell>
          <cell r="C3729" t="str">
            <v>M2</v>
          </cell>
          <cell r="D3729">
            <v>102.997346938776</v>
          </cell>
          <cell r="E3729">
            <v>1</v>
          </cell>
          <cell r="F3729">
            <v>118.446948979592</v>
          </cell>
        </row>
        <row r="3730">
          <cell r="A3730" t="str">
            <v>ENJ26</v>
          </cell>
          <cell r="B3730" t="str">
            <v>Enjarre repellado en boveda con terminado pendiente</v>
          </cell>
          <cell r="C3730" t="str">
            <v>M2</v>
          </cell>
          <cell r="D3730">
            <v>85.4134969325153</v>
          </cell>
          <cell r="E3730">
            <v>1</v>
          </cell>
          <cell r="F3730">
            <v>98.2255214723926</v>
          </cell>
        </row>
        <row r="3731">
          <cell r="A3731" t="str">
            <v>ENJ262</v>
          </cell>
          <cell r="B3731" t="str">
            <v>Enjarre repellado en boveda con terminado pendiente 2a h</v>
          </cell>
          <cell r="C3731" t="str">
            <v>M2</v>
          </cell>
          <cell r="D3731">
            <v>98.2255214723926</v>
          </cell>
          <cell r="E3731">
            <v>1</v>
          </cell>
          <cell r="F3731">
            <v>112.959349693252</v>
          </cell>
        </row>
        <row r="3732">
          <cell r="A3732" t="str">
            <v>ENJ3AH</v>
          </cell>
          <cell r="B3732" t="str">
            <v>Enjarre apalillado a 3a h</v>
          </cell>
          <cell r="C3732" t="str">
            <v>M2</v>
          </cell>
          <cell r="D3732">
            <v>102.747622767857</v>
          </cell>
          <cell r="E3732">
            <v>1</v>
          </cell>
          <cell r="F3732">
            <v>118.159766183036</v>
          </cell>
        </row>
        <row r="3733">
          <cell r="A3733" t="str">
            <v>ENJ4AH</v>
          </cell>
          <cell r="B3733" t="str">
            <v>Enjarre apalillado 4a h.</v>
          </cell>
          <cell r="C3733" t="str">
            <v>M2</v>
          </cell>
          <cell r="D3733">
            <v>118.159766183036</v>
          </cell>
          <cell r="E3733">
            <v>1</v>
          </cell>
          <cell r="F3733">
            <v>135.883731110491</v>
          </cell>
        </row>
        <row r="3734">
          <cell r="A3734" t="str">
            <v>ENJ5AH</v>
          </cell>
          <cell r="B3734" t="str">
            <v>Enjarre apalillado 5a h.</v>
          </cell>
          <cell r="C3734" t="str">
            <v>M2</v>
          </cell>
          <cell r="D3734">
            <v>135.883731110491</v>
          </cell>
          <cell r="E3734">
            <v>1</v>
          </cell>
          <cell r="F3734">
            <v>156.266290777065</v>
          </cell>
        </row>
        <row r="3735">
          <cell r="A3735" t="str">
            <v>ENJAFB</v>
          </cell>
          <cell r="B3735" t="str">
            <v>Enjarre de boveda terminado afinado con esponja</v>
          </cell>
          <cell r="C3735" t="str">
            <v>M2</v>
          </cell>
          <cell r="D3735">
            <v>95.4805741626794</v>
          </cell>
          <cell r="E3735">
            <v>1</v>
          </cell>
          <cell r="F3735">
            <v>109.802660287081</v>
          </cell>
        </row>
        <row r="3736">
          <cell r="A3736" t="str">
            <v>ENJAFB2</v>
          </cell>
          <cell r="B3736" t="str">
            <v>Enjarre de boveda terminado afinado con esponja 2a h</v>
          </cell>
          <cell r="C3736" t="str">
            <v>M2</v>
          </cell>
          <cell r="D3736">
            <v>109.81316872428</v>
          </cell>
          <cell r="E3736">
            <v>1</v>
          </cell>
          <cell r="F3736">
            <v>126.285144032922</v>
          </cell>
        </row>
        <row r="3737">
          <cell r="A3737" t="str">
            <v>ENJAFB3</v>
          </cell>
          <cell r="B3737" t="str">
            <v>Enjarre de boveda terminado afinado con esponja 3a h</v>
          </cell>
          <cell r="C3737" t="str">
            <v>M2</v>
          </cell>
          <cell r="D3737">
            <v>126.267823343849</v>
          </cell>
          <cell r="E3737">
            <v>1</v>
          </cell>
          <cell r="F3737">
            <v>145.207996845426</v>
          </cell>
        </row>
        <row r="3738">
          <cell r="A3738" t="str">
            <v>ENJAFM</v>
          </cell>
          <cell r="B3738" t="str">
            <v>Enjarre de muro terminado afinado con esponja</v>
          </cell>
          <cell r="C3738" t="str">
            <v>M2</v>
          </cell>
          <cell r="D3738">
            <v>85.4884210526316</v>
          </cell>
          <cell r="E3738">
            <v>1</v>
          </cell>
          <cell r="F3738">
            <v>98.3116842105263</v>
          </cell>
        </row>
        <row r="3739">
          <cell r="A3739" t="str">
            <v>ENJAFM2</v>
          </cell>
          <cell r="B3739" t="str">
            <v>Enjarre de muro terminado afinado con esponja 2a h</v>
          </cell>
          <cell r="C3739" t="str">
            <v>M2</v>
          </cell>
          <cell r="D3739">
            <v>97.7010526315789</v>
          </cell>
          <cell r="E3739">
            <v>1</v>
          </cell>
          <cell r="F3739">
            <v>112.356210526316</v>
          </cell>
        </row>
        <row r="3740">
          <cell r="A3740" t="str">
            <v>ENJAFM3</v>
          </cell>
          <cell r="B3740" t="str">
            <v>Enjarre de muro terminado afinado con esponja 3a h</v>
          </cell>
          <cell r="C3740" t="str">
            <v>M2</v>
          </cell>
          <cell r="D3740">
            <v>109.913684210526</v>
          </cell>
          <cell r="E3740">
            <v>1</v>
          </cell>
          <cell r="F3740">
            <v>126.400736842105</v>
          </cell>
        </row>
        <row r="3741">
          <cell r="A3741" t="str">
            <v>ENJAFM4</v>
          </cell>
          <cell r="B3741" t="str">
            <v>Enjarre de muro terminado afinado con esponja 4a h</v>
          </cell>
          <cell r="C3741" t="str">
            <v>M2</v>
          </cell>
          <cell r="D3741">
            <v>126.401402112643</v>
          </cell>
          <cell r="E3741">
            <v>1</v>
          </cell>
          <cell r="F3741">
            <v>145.361612429539</v>
          </cell>
        </row>
        <row r="3742">
          <cell r="A3742" t="str">
            <v>ENJAFM5</v>
          </cell>
          <cell r="B3742" t="str">
            <v>Enjarre de muro terminado afinado con esponja 5a h</v>
          </cell>
          <cell r="C3742" t="str">
            <v>M2</v>
          </cell>
          <cell r="D3742">
            <v>145.361612429539</v>
          </cell>
          <cell r="E3742">
            <v>1</v>
          </cell>
          <cell r="F3742">
            <v>167.16585429397</v>
          </cell>
        </row>
        <row r="3743">
          <cell r="A3743" t="str">
            <v>ENJAFMJP</v>
          </cell>
          <cell r="B3743" t="str">
            <v>Enjarre de muro terminado afinado con esponja PUERTA PLATA</v>
          </cell>
          <cell r="C3743" t="str">
            <v>M2</v>
          </cell>
          <cell r="D3743">
            <v>96.6833333333333</v>
          </cell>
          <cell r="E3743">
            <v>1</v>
          </cell>
          <cell r="F3743">
            <v>111.185833333333</v>
          </cell>
        </row>
        <row r="3744">
          <cell r="A3744" t="str">
            <v>ENJAFM2JP</v>
          </cell>
          <cell r="B3744" t="str">
            <v>Enjarre de muro terminado afinado con esponja 2a h PUERTA PLATA</v>
          </cell>
          <cell r="C3744" t="str">
            <v>M2</v>
          </cell>
          <cell r="D3744">
            <v>111.185833333333</v>
          </cell>
          <cell r="E3744">
            <v>1</v>
          </cell>
          <cell r="F3744">
            <v>127.863708333333</v>
          </cell>
        </row>
        <row r="3745">
          <cell r="A3745" t="str">
            <v>ENJRYF</v>
          </cell>
          <cell r="B3745" t="str">
            <v>Enjarre de fachadas terminado rayado</v>
          </cell>
          <cell r="C3745" t="str">
            <v>M2</v>
          </cell>
          <cell r="D3745">
            <v>94.7102040816327</v>
          </cell>
          <cell r="E3745">
            <v>1</v>
          </cell>
          <cell r="F3745">
            <v>108.916734693878</v>
          </cell>
        </row>
        <row r="3746">
          <cell r="A3746" t="str">
            <v>ENJRYF2</v>
          </cell>
          <cell r="B3746" t="str">
            <v>Enjarre de fachadas terminado rayado 2do nivel</v>
          </cell>
          <cell r="C3746" t="str">
            <v>M2</v>
          </cell>
          <cell r="D3746">
            <v>108.916734693878</v>
          </cell>
          <cell r="E3746">
            <v>1</v>
          </cell>
          <cell r="F3746">
            <v>125.254244897959</v>
          </cell>
        </row>
        <row r="3747">
          <cell r="A3747" t="str">
            <v>ENJRYF3</v>
          </cell>
          <cell r="B3747" t="str">
            <v>Enjarre de fachadas terminado rayado 3er nivel</v>
          </cell>
          <cell r="C3747" t="str">
            <v>M2</v>
          </cell>
          <cell r="D3747">
            <v>125.254244897959</v>
          </cell>
          <cell r="E3747">
            <v>1</v>
          </cell>
          <cell r="F3747">
            <v>144.042381632653</v>
          </cell>
        </row>
        <row r="3748">
          <cell r="A3748" t="str">
            <v>ENJRYF4</v>
          </cell>
          <cell r="B3748" t="str">
            <v>Enjarre de fachadas terminado rayado 4to nivel</v>
          </cell>
          <cell r="C3748" t="str">
            <v>M2</v>
          </cell>
          <cell r="D3748">
            <v>144.042381632653</v>
          </cell>
          <cell r="E3748">
            <v>1</v>
          </cell>
          <cell r="F3748">
            <v>165.648738877551</v>
          </cell>
        </row>
        <row r="3749">
          <cell r="A3749" t="str">
            <v>ENJ25JP</v>
          </cell>
          <cell r="B3749" t="str">
            <v>Enjarre repellado en muro con terminado pendiente PUERTA PLATA</v>
          </cell>
          <cell r="C3749" t="str">
            <v>M2</v>
          </cell>
          <cell r="D3749">
            <v>82.2836879432624</v>
          </cell>
          <cell r="E3749">
            <v>1</v>
          </cell>
          <cell r="F3749">
            <v>94.6262411347518</v>
          </cell>
        </row>
        <row r="3750">
          <cell r="A3750" t="str">
            <v>ENJ252JP</v>
          </cell>
          <cell r="B3750" t="str">
            <v>Enjarre repellado en muro con terminado pendiente 2ha alt PUERTA PLATA</v>
          </cell>
          <cell r="C3750" t="str">
            <v>M2</v>
          </cell>
          <cell r="D3750">
            <v>94.6262411347518</v>
          </cell>
          <cell r="E3750">
            <v>1</v>
          </cell>
          <cell r="F3750">
            <v>108.820177304965</v>
          </cell>
        </row>
        <row r="3751">
          <cell r="A3751" t="str">
            <v>ENJ253JP</v>
          </cell>
          <cell r="B3751" t="str">
            <v>Enjarre repellado en muro con terminado pendiente 3ha alt PUERTA PLATA</v>
          </cell>
          <cell r="C3751" t="str">
            <v>M2</v>
          </cell>
          <cell r="D3751">
            <v>108.820177304965</v>
          </cell>
          <cell r="E3751">
            <v>1</v>
          </cell>
          <cell r="F3751">
            <v>125.143203900709</v>
          </cell>
        </row>
        <row r="3752">
          <cell r="A3752" t="str">
            <v>ENJ26JP</v>
          </cell>
          <cell r="B3752" t="str">
            <v>Enjarre repellado en boveda con terminado pendiente PUERTA PLATA</v>
          </cell>
          <cell r="C3752" t="str">
            <v>M2</v>
          </cell>
          <cell r="D3752">
            <v>96.6833333333333</v>
          </cell>
          <cell r="E3752">
            <v>1</v>
          </cell>
          <cell r="F3752">
            <v>111.185833333333</v>
          </cell>
        </row>
        <row r="3753">
          <cell r="A3753" t="str">
            <v>ENJ262JP</v>
          </cell>
          <cell r="B3753" t="str">
            <v>Enjarre repellado en boveda con terminado pendiente 2a h PUERTA PLATA</v>
          </cell>
          <cell r="C3753" t="str">
            <v>M2</v>
          </cell>
          <cell r="D3753">
            <v>111.185833333333</v>
          </cell>
          <cell r="E3753">
            <v>1</v>
          </cell>
          <cell r="F3753">
            <v>127.863708333333</v>
          </cell>
        </row>
        <row r="3754">
          <cell r="A3754" t="str">
            <v>ENL01</v>
          </cell>
          <cell r="B3754" t="str">
            <v>Enladrillado de azotea ordinario</v>
          </cell>
          <cell r="C3754" t="str">
            <v>M2</v>
          </cell>
          <cell r="D3754">
            <v>68.2470588235294</v>
          </cell>
          <cell r="E3754">
            <v>1</v>
          </cell>
          <cell r="F3754">
            <v>78.4841176470588</v>
          </cell>
        </row>
        <row r="3755">
          <cell r="A3755" t="str">
            <v>ENL02</v>
          </cell>
          <cell r="B3755" t="str">
            <v>Enladrillado de azotea con crest</v>
          </cell>
          <cell r="C3755" t="str">
            <v>M2</v>
          </cell>
          <cell r="D3755">
            <v>75.0129310344828</v>
          </cell>
          <cell r="E3755">
            <v>1</v>
          </cell>
          <cell r="F3755">
            <v>86.2648706896552</v>
          </cell>
        </row>
        <row r="3756">
          <cell r="A3756" t="str">
            <v>ESC01</v>
          </cell>
          <cell r="B3756" t="str">
            <v>Escalon colado con revoltura de concreto</v>
          </cell>
          <cell r="C3756" t="str">
            <v>ML</v>
          </cell>
          <cell r="D3756">
            <v>87.015</v>
          </cell>
          <cell r="E3756">
            <v>1</v>
          </cell>
          <cell r="F3756">
            <v>100.06725</v>
          </cell>
        </row>
        <row r="3757">
          <cell r="A3757" t="str">
            <v>ESC02</v>
          </cell>
          <cell r="B3757" t="str">
            <v>Escalon curvo forjado con ladrillo</v>
          </cell>
          <cell r="C3757" t="str">
            <v>ML</v>
          </cell>
          <cell r="D3757">
            <v>87.015</v>
          </cell>
          <cell r="E3757">
            <v>1</v>
          </cell>
          <cell r="F3757">
            <v>100.06725</v>
          </cell>
        </row>
        <row r="3758">
          <cell r="A3758" t="str">
            <v>ESC03</v>
          </cell>
          <cell r="B3758" t="str">
            <v>Escalon forjado con ladrillo</v>
          </cell>
          <cell r="C3758" t="str">
            <v>ML</v>
          </cell>
          <cell r="D3758">
            <v>77.3466666666667</v>
          </cell>
          <cell r="E3758">
            <v>1</v>
          </cell>
          <cell r="F3758">
            <v>88.9486666666667</v>
          </cell>
        </row>
        <row r="3759">
          <cell r="A3759" t="str">
            <v>ESC04</v>
          </cell>
          <cell r="B3759" t="str">
            <v>Escuadras de varilla</v>
          </cell>
          <cell r="C3759" t="str">
            <v>PZA</v>
          </cell>
          <cell r="D3759">
            <v>9.2816</v>
          </cell>
        </row>
        <row r="3759">
          <cell r="F3759">
            <v>10.67384</v>
          </cell>
        </row>
        <row r="3760">
          <cell r="A3760" t="str">
            <v>ESC05</v>
          </cell>
          <cell r="B3760" t="str">
            <v>Escalon forjado con piedra en huella y peralte</v>
          </cell>
          <cell r="C3760" t="str">
            <v>ML</v>
          </cell>
          <cell r="D3760">
            <v>232.04</v>
          </cell>
          <cell r="E3760">
            <v>1</v>
          </cell>
          <cell r="F3760">
            <v>266.846</v>
          </cell>
        </row>
        <row r="3761">
          <cell r="A3761" t="str">
            <v>ESQ01</v>
          </cell>
          <cell r="B3761" t="str">
            <v>Esquina con muro de piedra</v>
          </cell>
          <cell r="C3761" t="str">
            <v>ML</v>
          </cell>
          <cell r="D3761">
            <v>232.04</v>
          </cell>
        </row>
        <row r="3761">
          <cell r="F3761">
            <v>266.846</v>
          </cell>
        </row>
        <row r="3762">
          <cell r="A3762" t="str">
            <v>ESQ02</v>
          </cell>
          <cell r="B3762" t="str">
            <v>Esquina de muro de piedra RV</v>
          </cell>
          <cell r="C3762" t="str">
            <v>ML</v>
          </cell>
          <cell r="D3762">
            <v>250</v>
          </cell>
        </row>
        <row r="3763">
          <cell r="A3763" t="str">
            <v>EST01</v>
          </cell>
          <cell r="B3763" t="str">
            <v>Estrias en enjarre</v>
          </cell>
          <cell r="C3763" t="str">
            <v>ML</v>
          </cell>
          <cell r="D3763">
            <v>38.6733333333333</v>
          </cell>
        </row>
        <row r="3763">
          <cell r="F3763">
            <v>44.4743333333333</v>
          </cell>
        </row>
        <row r="3764">
          <cell r="A3764" t="str">
            <v>EST02</v>
          </cell>
          <cell r="B3764" t="str">
            <v>Estrias en piso</v>
          </cell>
          <cell r="C3764" t="str">
            <v>ML</v>
          </cell>
          <cell r="D3764">
            <v>9.73594405594406</v>
          </cell>
        </row>
        <row r="3764">
          <cell r="F3764">
            <v>11.1963356643357</v>
          </cell>
        </row>
        <row r="3765">
          <cell r="A3765" t="str">
            <v>EST03</v>
          </cell>
          <cell r="B3765" t="str">
            <v>Estriado de piso en losa colada para rampa</v>
          </cell>
          <cell r="C3765" t="str">
            <v>M2</v>
          </cell>
          <cell r="D3765">
            <v>177.638277511962</v>
          </cell>
        </row>
        <row r="3765">
          <cell r="F3765">
            <v>204.284019138756</v>
          </cell>
        </row>
        <row r="3766">
          <cell r="A3766" t="str">
            <v>EXC01</v>
          </cell>
          <cell r="B3766" t="str">
            <v>Excavacion de cepa para drenaje/cimiento</v>
          </cell>
          <cell r="C3766" t="str">
            <v>M3</v>
          </cell>
          <cell r="D3766">
            <v>166.535885167464</v>
          </cell>
        </row>
        <row r="3766">
          <cell r="F3766">
            <v>191.516267942584</v>
          </cell>
        </row>
        <row r="3767">
          <cell r="A3767" t="str">
            <v>EXC02</v>
          </cell>
          <cell r="B3767" t="str">
            <v>Excavacion para zapata o registro</v>
          </cell>
          <cell r="C3767" t="str">
            <v>M3</v>
          </cell>
          <cell r="D3767">
            <v>166.535885167464</v>
          </cell>
        </row>
        <row r="3767">
          <cell r="F3767">
            <v>191.516267942584</v>
          </cell>
        </row>
        <row r="3768">
          <cell r="A3768" t="str">
            <v>EXC03</v>
          </cell>
          <cell r="B3768" t="str">
            <v>Excavacion terreno A 0.00-1.50 prof.</v>
          </cell>
          <cell r="C3768" t="str">
            <v>M3</v>
          </cell>
          <cell r="D3768">
            <v>166.535885167464</v>
          </cell>
        </row>
        <row r="3768">
          <cell r="F3768">
            <v>191.516267942584</v>
          </cell>
        </row>
        <row r="3769">
          <cell r="A3769" t="str">
            <v>EXC04</v>
          </cell>
          <cell r="B3769" t="str">
            <v>Excavacion terreno A1.50- 3.00 prof.</v>
          </cell>
          <cell r="C3769" t="str">
            <v>M3</v>
          </cell>
          <cell r="D3769">
            <v>191.516267942584</v>
          </cell>
        </row>
        <row r="3769">
          <cell r="F3769">
            <v>220.243708133971</v>
          </cell>
        </row>
        <row r="3770">
          <cell r="A3770" t="str">
            <v>EXC05</v>
          </cell>
          <cell r="B3770" t="str">
            <v>Excavacion terreno B 0.00-1.50 prof.</v>
          </cell>
          <cell r="C3770" t="str">
            <v>M3</v>
          </cell>
          <cell r="D3770">
            <v>278.448</v>
          </cell>
        </row>
        <row r="3770">
          <cell r="F3770">
            <v>320.2152</v>
          </cell>
        </row>
        <row r="3771">
          <cell r="A3771" t="str">
            <v>EXC06</v>
          </cell>
          <cell r="B3771" t="str">
            <v>Excavacion terreno B 1.50- 3.00 prof.</v>
          </cell>
          <cell r="C3771" t="str">
            <v>M3</v>
          </cell>
          <cell r="D3771">
            <v>320.2152</v>
          </cell>
        </row>
        <row r="3771">
          <cell r="F3771">
            <v>368.24748</v>
          </cell>
        </row>
        <row r="3772">
          <cell r="A3772" t="str">
            <v>EXC07</v>
          </cell>
          <cell r="B3772" t="str">
            <v>Excavacion terreno C 0.00-1.50  prof.</v>
          </cell>
          <cell r="C3772" t="str">
            <v>M3</v>
          </cell>
          <cell r="D3772">
            <v>333.071770334928</v>
          </cell>
        </row>
        <row r="3772">
          <cell r="F3772">
            <v>383.032535885167</v>
          </cell>
        </row>
        <row r="3773">
          <cell r="A3773" t="str">
            <v>EXC08</v>
          </cell>
          <cell r="B3773" t="str">
            <v>Excavacion terreno C 1.50-3.00 prof.</v>
          </cell>
          <cell r="C3773" t="str">
            <v>M3</v>
          </cell>
          <cell r="D3773">
            <v>383.032535885167</v>
          </cell>
        </row>
        <row r="3773">
          <cell r="F3773">
            <v>440.487416267943</v>
          </cell>
        </row>
        <row r="3774">
          <cell r="A3774" t="str">
            <v>EXC09</v>
          </cell>
          <cell r="B3774" t="str">
            <v>Excavacion superficial de terrenos</v>
          </cell>
          <cell r="C3774" t="str">
            <v>M3</v>
          </cell>
          <cell r="D3774">
            <v>128.911111111111</v>
          </cell>
        </row>
        <row r="3774">
          <cell r="F3774">
            <v>148.247777777778</v>
          </cell>
        </row>
        <row r="3775">
          <cell r="A3775" t="str">
            <v>EXC10</v>
          </cell>
          <cell r="B3775" t="str">
            <v>Excavacion de terreno con piedra</v>
          </cell>
          <cell r="C3775" t="str">
            <v>M3</v>
          </cell>
          <cell r="D3775">
            <v>333.071770334928</v>
          </cell>
        </row>
        <row r="3775">
          <cell r="F3775">
            <v>383.032535885167</v>
          </cell>
        </row>
        <row r="3776">
          <cell r="A3776" t="str">
            <v>FIR01</v>
          </cell>
          <cell r="B3776" t="str">
            <v>Firme de hormigon en entrepiso espesor promedio 7 cms</v>
          </cell>
          <cell r="C3776" t="str">
            <v>M2</v>
          </cell>
          <cell r="D3776">
            <v>40.0068965517241</v>
          </cell>
          <cell r="E3776">
            <v>1</v>
          </cell>
          <cell r="F3776">
            <v>46.0079310344828</v>
          </cell>
        </row>
        <row r="3777">
          <cell r="A3777" t="str">
            <v>FIR02</v>
          </cell>
          <cell r="B3777" t="str">
            <v>Firme de hormigon en piso espesor promedio 7 cms</v>
          </cell>
          <cell r="C3777" t="str">
            <v>M2</v>
          </cell>
          <cell r="D3777">
            <v>34.806</v>
          </cell>
          <cell r="E3777">
            <v>1</v>
          </cell>
          <cell r="F3777">
            <v>40.0269</v>
          </cell>
        </row>
        <row r="3778">
          <cell r="A3778" t="str">
            <v>FIR03</v>
          </cell>
          <cell r="B3778" t="str">
            <v>Firme de ladrillo</v>
          </cell>
          <cell r="C3778" t="str">
            <v>M2</v>
          </cell>
          <cell r="D3778">
            <v>44.6230769230769</v>
          </cell>
          <cell r="E3778">
            <v>1</v>
          </cell>
          <cell r="F3778">
            <v>51.3165384615385</v>
          </cell>
        </row>
        <row r="3779">
          <cell r="A3779" t="str">
            <v>FLECHA</v>
          </cell>
          <cell r="B3779" t="str">
            <v>Flecha de estacionamiento pintada</v>
          </cell>
          <cell r="C3779" t="str">
            <v>PZA</v>
          </cell>
          <cell r="D3779">
            <v>116.02</v>
          </cell>
        </row>
        <row r="3779">
          <cell r="F3779">
            <v>133.423</v>
          </cell>
        </row>
        <row r="3780">
          <cell r="A3780" t="str">
            <v>FLETE</v>
          </cell>
          <cell r="B3780" t="str">
            <v>Flete de escombro, basura o material</v>
          </cell>
          <cell r="C3780" t="str">
            <v>VIAJE</v>
          </cell>
          <cell r="D3780">
            <v>5</v>
          </cell>
        </row>
        <row r="3780">
          <cell r="F3780">
            <v>5.75</v>
          </cell>
        </row>
        <row r="3781">
          <cell r="A3781" t="str">
            <v>FLOR</v>
          </cell>
          <cell r="B3781" t="str">
            <v>Flor de teja en esquina incluye cortes y figurado en curva</v>
          </cell>
          <cell r="C3781" t="str">
            <v>PZA</v>
          </cell>
          <cell r="D3781">
            <v>150</v>
          </cell>
        </row>
        <row r="3781">
          <cell r="F3781">
            <v>172.5</v>
          </cell>
        </row>
        <row r="3782">
          <cell r="A3782" t="str">
            <v>FONDEO</v>
          </cell>
          <cell r="B3782" t="str">
            <v>Fondeo de muro aparente de ladrillo</v>
          </cell>
          <cell r="C3782" t="str">
            <v>M2</v>
          </cell>
          <cell r="D3782">
            <v>16.6535885167464</v>
          </cell>
        </row>
        <row r="3782">
          <cell r="F3782">
            <v>19.1516267942584</v>
          </cell>
        </row>
        <row r="3783">
          <cell r="A3783" t="str">
            <v>FUERA</v>
          </cell>
          <cell r="B3783" t="str">
            <v>Labores fuera de turno</v>
          </cell>
          <cell r="C3783" t="str">
            <v>LOTE</v>
          </cell>
          <cell r="D3783">
            <v>100</v>
          </cell>
        </row>
        <row r="3783">
          <cell r="F3783">
            <v>100</v>
          </cell>
        </row>
        <row r="3784">
          <cell r="A3784" t="str">
            <v>GALL1</v>
          </cell>
          <cell r="B3784" t="str">
            <v>Gallada de material o escombro </v>
          </cell>
          <cell r="C3784" t="str">
            <v>VIAJE</v>
          </cell>
          <cell r="D3784">
            <v>386.733333333333</v>
          </cell>
        </row>
        <row r="3784">
          <cell r="F3784">
            <v>444.743333333333</v>
          </cell>
        </row>
        <row r="3785">
          <cell r="A3785" t="str">
            <v>GAR01</v>
          </cell>
          <cell r="B3785" t="str">
            <v>Gargola hecha en obra</v>
          </cell>
          <cell r="C3785" t="str">
            <v>PZA</v>
          </cell>
          <cell r="D3785">
            <v>348.06</v>
          </cell>
        </row>
        <row r="3785">
          <cell r="F3785">
            <v>400.269</v>
          </cell>
        </row>
        <row r="3786">
          <cell r="A3786" t="str">
            <v>GAR02</v>
          </cell>
          <cell r="B3786" t="str">
            <v>Gargola instalar prefabricada</v>
          </cell>
          <cell r="C3786" t="str">
            <v>PZA</v>
          </cell>
          <cell r="D3786">
            <v>116.02</v>
          </cell>
        </row>
        <row r="3786">
          <cell r="F3786">
            <v>133.423</v>
          </cell>
        </row>
        <row r="3787">
          <cell r="A3787" t="str">
            <v>GOT01</v>
          </cell>
          <cell r="B3787" t="str">
            <v>Gotero abultado</v>
          </cell>
          <cell r="C3787" t="str">
            <v>ML</v>
          </cell>
          <cell r="D3787">
            <v>87.015</v>
          </cell>
          <cell r="E3787">
            <v>1</v>
          </cell>
          <cell r="F3787">
            <v>100.06725</v>
          </cell>
        </row>
        <row r="3788">
          <cell r="A3788" t="str">
            <v>GOT02</v>
          </cell>
          <cell r="B3788" t="str">
            <v>Gotero embutido</v>
          </cell>
          <cell r="C3788" t="str">
            <v>ML</v>
          </cell>
          <cell r="D3788">
            <v>69.612</v>
          </cell>
        </row>
        <row r="3788">
          <cell r="F3788">
            <v>80.0538</v>
          </cell>
        </row>
        <row r="3789">
          <cell r="A3789" t="str">
            <v>GOT03</v>
          </cell>
          <cell r="B3789" t="str">
            <v>Gotero teja de barro</v>
          </cell>
          <cell r="C3789" t="str">
            <v>ML</v>
          </cell>
          <cell r="D3789">
            <v>46.408</v>
          </cell>
        </row>
        <row r="3789">
          <cell r="F3789">
            <v>53.3692</v>
          </cell>
        </row>
        <row r="3790">
          <cell r="A3790" t="str">
            <v>GRA01</v>
          </cell>
          <cell r="B3790" t="str">
            <v>Gradinado de piso de cantera</v>
          </cell>
          <cell r="C3790" t="str">
            <v>M2</v>
          </cell>
          <cell r="D3790">
            <v>139.224</v>
          </cell>
        </row>
        <row r="3790">
          <cell r="F3790">
            <v>160.1076</v>
          </cell>
        </row>
        <row r="3791">
          <cell r="A3791" t="str">
            <v>GRAP1</v>
          </cell>
          <cell r="B3791" t="str">
            <v>Grapas en columnas metalicas o vigueria</v>
          </cell>
          <cell r="C3791" t="str">
            <v>PZA</v>
          </cell>
          <cell r="D3791">
            <v>9.2816</v>
          </cell>
        </row>
        <row r="3791">
          <cell r="F3791">
            <v>10.67384</v>
          </cell>
        </row>
        <row r="3792">
          <cell r="A3792" t="str">
            <v>GROUT</v>
          </cell>
          <cell r="B3792" t="str">
            <v>Cimbrar y colar placa y dado con festergrout</v>
          </cell>
          <cell r="C3792" t="str">
            <v>PZA</v>
          </cell>
          <cell r="D3792">
            <v>170.976842105263</v>
          </cell>
        </row>
        <row r="3792">
          <cell r="F3792">
            <v>196.623368421053</v>
          </cell>
        </row>
        <row r="3793">
          <cell r="A3793" t="str">
            <v>HAB01</v>
          </cell>
          <cell r="B3793" t="str">
            <v>Habilitar cimbra para castillo o dala</v>
          </cell>
          <cell r="C3793" t="str">
            <v>ML</v>
          </cell>
          <cell r="D3793">
            <v>27.8448</v>
          </cell>
        </row>
        <row r="3793">
          <cell r="F3793">
            <v>32.02152</v>
          </cell>
        </row>
        <row r="3794">
          <cell r="A3794" t="str">
            <v>HAB02</v>
          </cell>
          <cell r="B3794" t="str">
            <v>Habilitar cimbra para columna o dado </v>
          </cell>
          <cell r="C3794" t="str">
            <v>ML</v>
          </cell>
          <cell r="D3794">
            <v>46.408</v>
          </cell>
        </row>
        <row r="3794">
          <cell r="F3794">
            <v>53.3692</v>
          </cell>
        </row>
        <row r="3795">
          <cell r="A3795" t="str">
            <v>HAB03</v>
          </cell>
          <cell r="B3795" t="str">
            <v>Habilitar cimbra para losa</v>
          </cell>
          <cell r="C3795" t="str">
            <v>M2</v>
          </cell>
          <cell r="D3795">
            <v>34.806</v>
          </cell>
        </row>
        <row r="3795">
          <cell r="F3795">
            <v>40.0269</v>
          </cell>
        </row>
        <row r="3796">
          <cell r="A3796" t="str">
            <v>HEC01</v>
          </cell>
          <cell r="B3796" t="str">
            <v>Hechura de mezcla y revoltura</v>
          </cell>
          <cell r="C3796" t="str">
            <v>%</v>
          </cell>
          <cell r="D3796">
            <v>0</v>
          </cell>
        </row>
        <row r="3796">
          <cell r="F3796">
            <v>0</v>
          </cell>
        </row>
        <row r="3797">
          <cell r="A3797" t="str">
            <v>HEDO</v>
          </cell>
          <cell r="B3797" t="str">
            <v>Horas extras dobles oficial</v>
          </cell>
          <cell r="C3797" t="str">
            <v>HE</v>
          </cell>
          <cell r="D3797">
            <v>138.2675</v>
          </cell>
        </row>
        <row r="3797">
          <cell r="F3797">
            <v>0</v>
          </cell>
        </row>
        <row r="3798">
          <cell r="A3798" t="str">
            <v>HEDP</v>
          </cell>
          <cell r="B3798" t="str">
            <v>Horas extras dobles peon</v>
          </cell>
          <cell r="C3798" t="str">
            <v>HE</v>
          </cell>
          <cell r="D3798">
            <v>76.8125</v>
          </cell>
        </row>
        <row r="3798">
          <cell r="F3798">
            <v>62.2</v>
          </cell>
        </row>
        <row r="3799">
          <cell r="A3799" t="str">
            <v>HEDPA</v>
          </cell>
          <cell r="B3799" t="str">
            <v>Horas extras dobles oficial y peon</v>
          </cell>
          <cell r="C3799" t="str">
            <v>HE</v>
          </cell>
          <cell r="D3799">
            <v>174.03</v>
          </cell>
        </row>
        <row r="3799">
          <cell r="F3799">
            <v>0</v>
          </cell>
        </row>
        <row r="3800">
          <cell r="A3800" t="str">
            <v>HERRE</v>
          </cell>
          <cell r="B3800" t="str">
            <v>Recibir herreria ventanas o puertas</v>
          </cell>
          <cell r="C3800" t="str">
            <v>M2</v>
          </cell>
          <cell r="D3800">
            <v>174.03</v>
          </cell>
        </row>
        <row r="3800">
          <cell r="F3800">
            <v>200.1345</v>
          </cell>
        </row>
        <row r="3801">
          <cell r="A3801" t="str">
            <v>HETO</v>
          </cell>
          <cell r="B3801" t="str">
            <v>Horas extras triples oficial</v>
          </cell>
          <cell r="C3801" t="str">
            <v>HE</v>
          </cell>
          <cell r="D3801">
            <v>207.40125</v>
          </cell>
        </row>
        <row r="3801">
          <cell r="F3801">
            <v>0</v>
          </cell>
        </row>
        <row r="3802">
          <cell r="A3802" t="str">
            <v>HETP</v>
          </cell>
          <cell r="B3802" t="str">
            <v>Horas extras triples peon</v>
          </cell>
          <cell r="C3802" t="str">
            <v>HE</v>
          </cell>
          <cell r="D3802">
            <v>115.21875</v>
          </cell>
        </row>
        <row r="3802">
          <cell r="F3802">
            <v>93.3</v>
          </cell>
        </row>
        <row r="3803">
          <cell r="A3803" t="str">
            <v>HETPA</v>
          </cell>
          <cell r="B3803" t="str">
            <v>Horas extras triples oficial y peon</v>
          </cell>
          <cell r="C3803" t="str">
            <v>HE</v>
          </cell>
          <cell r="D3803">
            <v>261.045</v>
          </cell>
        </row>
        <row r="3803">
          <cell r="F3803">
            <v>0</v>
          </cell>
        </row>
        <row r="3804">
          <cell r="A3804" t="str">
            <v>HIL20</v>
          </cell>
          <cell r="B3804" t="str">
            <v>Hilada de ladrillo de 20</v>
          </cell>
          <cell r="C3804" t="str">
            <v>ML</v>
          </cell>
          <cell r="D3804">
            <v>34.806</v>
          </cell>
          <cell r="E3804">
            <v>1</v>
          </cell>
          <cell r="F3804">
            <v>40.0269</v>
          </cell>
        </row>
        <row r="3805">
          <cell r="A3805" t="str">
            <v>HILCA</v>
          </cell>
          <cell r="B3805" t="str">
            <v>Hilada de ladrillo de capuchino</v>
          </cell>
          <cell r="C3805" t="str">
            <v>ML</v>
          </cell>
          <cell r="D3805">
            <v>19.8891428571429</v>
          </cell>
          <cell r="E3805">
            <v>1</v>
          </cell>
          <cell r="F3805">
            <v>22.8725142857143</v>
          </cell>
        </row>
        <row r="3806">
          <cell r="A3806" t="str">
            <v>HILSO</v>
          </cell>
          <cell r="B3806" t="str">
            <v>Hilada de ladrillo de soga</v>
          </cell>
          <cell r="C3806" t="str">
            <v>ML</v>
          </cell>
          <cell r="D3806">
            <v>15.4693333333333</v>
          </cell>
          <cell r="E3806">
            <v>1</v>
          </cell>
          <cell r="F3806">
            <v>17.7897333333333</v>
          </cell>
        </row>
        <row r="3807">
          <cell r="A3807" t="str">
            <v>HILTE</v>
          </cell>
          <cell r="B3807" t="str">
            <v>Hilada de ladrillo de tezon</v>
          </cell>
          <cell r="C3807" t="str">
            <v>ML</v>
          </cell>
          <cell r="D3807">
            <v>19.8891428571429</v>
          </cell>
          <cell r="E3807">
            <v>1</v>
          </cell>
          <cell r="F3807">
            <v>22.8725142857143</v>
          </cell>
        </row>
        <row r="3808">
          <cell r="A3808" t="str">
            <v>HILTEJ</v>
          </cell>
          <cell r="B3808" t="str">
            <v>Hilada de teja al inicio losa con mortero</v>
          </cell>
          <cell r="C3808" t="str">
            <v>ML</v>
          </cell>
          <cell r="D3808">
            <v>23.204</v>
          </cell>
          <cell r="E3808">
            <v>1</v>
          </cell>
          <cell r="F3808">
            <v>26.6846</v>
          </cell>
        </row>
        <row r="3809">
          <cell r="A3809" t="str">
            <v>HILLA</v>
          </cell>
          <cell r="B3809" t="str">
            <v>Hilada de ladrillo de azotea</v>
          </cell>
          <cell r="C3809" t="str">
            <v>ML</v>
          </cell>
          <cell r="D3809">
            <v>15.4693333333333</v>
          </cell>
          <cell r="E3809">
            <v>1</v>
          </cell>
          <cell r="F3809">
            <v>17.7897333333333</v>
          </cell>
        </row>
        <row r="3810">
          <cell r="A3810" t="str">
            <v>HOR01</v>
          </cell>
          <cell r="B3810" t="str">
            <v>Hormigon en azotea esp. 15-30 cms. prom.</v>
          </cell>
          <cell r="C3810" t="str">
            <v>M2</v>
          </cell>
          <cell r="D3810">
            <v>69.612</v>
          </cell>
          <cell r="E3810">
            <v>1</v>
          </cell>
          <cell r="F3810">
            <v>80.0538</v>
          </cell>
        </row>
        <row r="3811">
          <cell r="A3811" t="str">
            <v>HOR02</v>
          </cell>
          <cell r="B3811" t="str">
            <v>Hormigon premezclado hasta 20 cms espesor</v>
          </cell>
          <cell r="C3811" t="str">
            <v>M2</v>
          </cell>
          <cell r="D3811">
            <v>27.8448</v>
          </cell>
        </row>
        <row r="3811">
          <cell r="F3811">
            <v>32.02152</v>
          </cell>
        </row>
        <row r="3812">
          <cell r="A3812" t="str">
            <v>HUEMP</v>
          </cell>
          <cell r="B3812" t="str">
            <v>Hueco para micropilote</v>
          </cell>
          <cell r="C3812" t="str">
            <v>ML</v>
          </cell>
          <cell r="D3812">
            <v>76.6651982378855</v>
          </cell>
        </row>
        <row r="3812">
          <cell r="F3812">
            <v>88.1649779735683</v>
          </cell>
        </row>
        <row r="3813">
          <cell r="A3813" t="str">
            <v>HUPOL</v>
          </cell>
          <cell r="B3813" t="str">
            <v>Hueco para anclaje de polines de crucetas</v>
          </cell>
          <cell r="C3813" t="str">
            <v>PZA</v>
          </cell>
          <cell r="D3813">
            <v>22.4554838709677</v>
          </cell>
        </row>
        <row r="3813">
          <cell r="F3813">
            <v>25.8238064516129</v>
          </cell>
        </row>
        <row r="3814">
          <cell r="A3814" t="str">
            <v>IMP01</v>
          </cell>
          <cell r="B3814" t="str">
            <v>Impermeabilizar azotea, 2 capas membrana</v>
          </cell>
          <cell r="C3814" t="str">
            <v>M2</v>
          </cell>
          <cell r="D3814">
            <v>36.6378947368421</v>
          </cell>
        </row>
        <row r="3814">
          <cell r="F3814">
            <v>42.1335789473684</v>
          </cell>
        </row>
        <row r="3815">
          <cell r="A3815" t="str">
            <v>IMP02</v>
          </cell>
          <cell r="B3815" t="str">
            <v>Impermeabilizar dala</v>
          </cell>
          <cell r="C3815" t="str">
            <v>ML</v>
          </cell>
          <cell r="D3815">
            <v>13.9224</v>
          </cell>
        </row>
        <row r="3815">
          <cell r="F3815">
            <v>16.01076</v>
          </cell>
        </row>
        <row r="3816">
          <cell r="A3816" t="str">
            <v>IMP03</v>
          </cell>
          <cell r="B3816" t="str">
            <v>Impermeabilizar muro de enrase o divisorio</v>
          </cell>
          <cell r="C3816" t="str">
            <v>M2</v>
          </cell>
          <cell r="D3816">
            <v>17.403</v>
          </cell>
        </row>
        <row r="3816">
          <cell r="F3816">
            <v>20.01345</v>
          </cell>
        </row>
        <row r="3817">
          <cell r="A3817" t="str">
            <v>IMP04</v>
          </cell>
          <cell r="B3817" t="str">
            <v>Impermeabilizar piso, 2 capas membrana</v>
          </cell>
          <cell r="C3817" t="str">
            <v>M2</v>
          </cell>
          <cell r="D3817">
            <v>34.806</v>
          </cell>
        </row>
        <row r="3817">
          <cell r="F3817">
            <v>40.0269</v>
          </cell>
        </row>
        <row r="3818">
          <cell r="A3818" t="str">
            <v>INSADO</v>
          </cell>
          <cell r="B3818" t="str">
            <v>Instalacion de adocreto junteado con color</v>
          </cell>
          <cell r="C3818" t="str">
            <v>M2</v>
          </cell>
          <cell r="D3818">
            <v>81.8964705882353</v>
          </cell>
        </row>
        <row r="3818">
          <cell r="F3818">
            <v>94.1809411764706</v>
          </cell>
        </row>
        <row r="3819">
          <cell r="A3819" t="str">
            <v>INS01</v>
          </cell>
          <cell r="B3819" t="str">
            <v>Instalacion de azulejo</v>
          </cell>
          <cell r="C3819" t="str">
            <v>M2</v>
          </cell>
          <cell r="D3819">
            <v>106.766871165644</v>
          </cell>
        </row>
        <row r="3819">
          <cell r="F3819">
            <v>122.781901840491</v>
          </cell>
        </row>
        <row r="3820">
          <cell r="A3820" t="str">
            <v>INS02</v>
          </cell>
          <cell r="B3820" t="str">
            <v>Instalacion de keralita</v>
          </cell>
          <cell r="C3820" t="str">
            <v>M2</v>
          </cell>
          <cell r="D3820">
            <v>87.015</v>
          </cell>
        </row>
        <row r="3820">
          <cell r="F3820">
            <v>100.06725</v>
          </cell>
        </row>
        <row r="3821">
          <cell r="A3821" t="str">
            <v>INS03</v>
          </cell>
          <cell r="B3821" t="str">
            <v>Instalacion de lavadero</v>
          </cell>
          <cell r="C3821" t="str">
            <v>PZA</v>
          </cell>
          <cell r="D3821">
            <v>409.482352941177</v>
          </cell>
        </row>
        <row r="3821">
          <cell r="F3821">
            <v>470.904705882353</v>
          </cell>
        </row>
        <row r="3822">
          <cell r="A3822" t="str">
            <v>INS04</v>
          </cell>
          <cell r="B3822" t="str">
            <v>Instalacion de teja</v>
          </cell>
          <cell r="C3822" t="str">
            <v>M2</v>
          </cell>
          <cell r="D3822">
            <v>63.2836363636364</v>
          </cell>
        </row>
        <row r="3822">
          <cell r="F3822">
            <v>72.7761818181818</v>
          </cell>
        </row>
        <row r="3823">
          <cell r="A3823" t="str">
            <v>INS04A</v>
          </cell>
          <cell r="B3823" t="str">
            <v>Instalacion de teja con cama inferior pegada con crest</v>
          </cell>
          <cell r="C3823" t="str">
            <v>M2</v>
          </cell>
          <cell r="D3823">
            <v>78.6576271186441</v>
          </cell>
        </row>
        <row r="3823">
          <cell r="F3823">
            <v>90.4562711864407</v>
          </cell>
        </row>
        <row r="3824">
          <cell r="A3824" t="str">
            <v>INS05</v>
          </cell>
          <cell r="B3824" t="str">
            <v>Instalacion de tiratrim</v>
          </cell>
          <cell r="C3824" t="str">
            <v>ML</v>
          </cell>
          <cell r="D3824">
            <v>21</v>
          </cell>
        </row>
        <row r="3824">
          <cell r="F3824">
            <v>24.15</v>
          </cell>
        </row>
        <row r="3825">
          <cell r="A3825" t="str">
            <v>INS06</v>
          </cell>
          <cell r="B3825" t="str">
            <v>Instalacion de tubo drenaje de 4,6 y 8 "</v>
          </cell>
          <cell r="C3825" t="str">
            <v>ML</v>
          </cell>
          <cell r="D3825">
            <v>34.806</v>
          </cell>
        </row>
        <row r="3825">
          <cell r="F3825">
            <v>40.0269</v>
          </cell>
        </row>
        <row r="3826">
          <cell r="A3826" t="str">
            <v>INS07</v>
          </cell>
          <cell r="B3826" t="str">
            <v>Instalacion de vitropiso</v>
          </cell>
          <cell r="C3826" t="str">
            <v>M2</v>
          </cell>
          <cell r="D3826">
            <v>87.015</v>
          </cell>
        </row>
        <row r="3826">
          <cell r="F3826">
            <v>100.06725</v>
          </cell>
        </row>
        <row r="3827">
          <cell r="A3827" t="str">
            <v>INS07C</v>
          </cell>
          <cell r="B3827" t="str">
            <v>Instalaciones de vitropiso en casa habitacion</v>
          </cell>
          <cell r="C3827" t="str">
            <v>M2</v>
          </cell>
          <cell r="D3827">
            <v>45</v>
          </cell>
        </row>
        <row r="3827">
          <cell r="F3827">
            <v>51.75</v>
          </cell>
        </row>
        <row r="3828">
          <cell r="A3828" t="str">
            <v>INS0750</v>
          </cell>
          <cell r="B3828" t="str">
            <v>Instalacion de piso de 50 x 50</v>
          </cell>
          <cell r="C3828" t="str">
            <v>M2</v>
          </cell>
          <cell r="D3828">
            <v>111.3792</v>
          </cell>
        </row>
        <row r="3828">
          <cell r="F3828">
            <v>128.08608</v>
          </cell>
        </row>
        <row r="3829">
          <cell r="A3829" t="str">
            <v>INS08</v>
          </cell>
          <cell r="B3829" t="str">
            <v>Instalar adoquin en piso, incluye cama y acarreos</v>
          </cell>
          <cell r="C3829" t="str">
            <v>M2</v>
          </cell>
          <cell r="D3829">
            <v>99.4457142857143</v>
          </cell>
        </row>
        <row r="3829">
          <cell r="F3829">
            <v>114.362571428571</v>
          </cell>
        </row>
        <row r="3830">
          <cell r="A3830" t="str">
            <v>INS09</v>
          </cell>
          <cell r="B3830" t="str">
            <v>Instalar azulejo de alberca</v>
          </cell>
          <cell r="C3830" t="str">
            <v>M2</v>
          </cell>
          <cell r="D3830">
            <v>69.612</v>
          </cell>
        </row>
        <row r="3830">
          <cell r="F3830">
            <v>80.0538</v>
          </cell>
        </row>
        <row r="3831">
          <cell r="A3831" t="str">
            <v>INS10</v>
          </cell>
          <cell r="B3831" t="str">
            <v>Instalar cantera blanco limon junteada</v>
          </cell>
          <cell r="C3831" t="str">
            <v>M2</v>
          </cell>
          <cell r="D3831">
            <v>174.03</v>
          </cell>
        </row>
        <row r="3831">
          <cell r="F3831">
            <v>200.1345</v>
          </cell>
        </row>
        <row r="3832">
          <cell r="A3832" t="str">
            <v>INS11</v>
          </cell>
          <cell r="B3832" t="str">
            <v>Instalar cantera sangre de pichón junteada</v>
          </cell>
          <cell r="C3832" t="str">
            <v>M2</v>
          </cell>
          <cell r="D3832">
            <v>174.03</v>
          </cell>
        </row>
        <row r="3832">
          <cell r="F3832">
            <v>200.1345</v>
          </cell>
        </row>
        <row r="3833">
          <cell r="A3833" t="str">
            <v>INS12</v>
          </cell>
          <cell r="B3833" t="str">
            <v>Instalar marmol 30 x 30</v>
          </cell>
          <cell r="C3833" t="str">
            <v>M2</v>
          </cell>
          <cell r="D3833">
            <v>116.02</v>
          </cell>
        </row>
        <row r="3833">
          <cell r="F3833">
            <v>133.423</v>
          </cell>
        </row>
        <row r="3834">
          <cell r="A3834" t="str">
            <v>INS13</v>
          </cell>
          <cell r="B3834" t="str">
            <v>Instalar panel W en bovedas</v>
          </cell>
          <cell r="C3834" t="str">
            <v>M2</v>
          </cell>
          <cell r="D3834">
            <v>53.5476923076923</v>
          </cell>
        </row>
        <row r="3834">
          <cell r="F3834">
            <v>61.5798461538462</v>
          </cell>
        </row>
        <row r="3835">
          <cell r="A3835" t="str">
            <v>INS14</v>
          </cell>
          <cell r="B3835" t="str">
            <v>Instalar panel W en muro</v>
          </cell>
          <cell r="C3835" t="str">
            <v>M2</v>
          </cell>
          <cell r="D3835">
            <v>46.408</v>
          </cell>
        </row>
        <row r="3835">
          <cell r="F3835">
            <v>53.3692</v>
          </cell>
        </row>
        <row r="3836">
          <cell r="A3836" t="str">
            <v>INS15</v>
          </cell>
          <cell r="B3836" t="str">
            <v>Instalar piedrita bola en cenefas</v>
          </cell>
          <cell r="C3836" t="str">
            <v>ML</v>
          </cell>
          <cell r="D3836">
            <v>174.03</v>
          </cell>
        </row>
        <row r="3836">
          <cell r="F3836">
            <v>200.1345</v>
          </cell>
        </row>
        <row r="3837">
          <cell r="A3837" t="str">
            <v>INS16</v>
          </cell>
          <cell r="B3837" t="str">
            <v>Instalar piso de barro</v>
          </cell>
          <cell r="C3837" t="str">
            <v>M2</v>
          </cell>
          <cell r="D3837">
            <v>116.02</v>
          </cell>
        </row>
        <row r="3837">
          <cell r="F3837">
            <v>133.423</v>
          </cell>
        </row>
        <row r="3838">
          <cell r="A3838" t="str">
            <v>INS17</v>
          </cell>
          <cell r="B3838" t="str">
            <v>Instalar piso y azulejo en cartabon</v>
          </cell>
          <cell r="C3838" t="str">
            <v>M2</v>
          </cell>
          <cell r="D3838">
            <v>87.015</v>
          </cell>
        </row>
        <row r="3838">
          <cell r="F3838">
            <v>100.06725</v>
          </cell>
        </row>
        <row r="3839">
          <cell r="A3839" t="str">
            <v>INS18</v>
          </cell>
          <cell r="B3839" t="str">
            <v>Instalar piedrita de rajuela a canto en juntas de piso</v>
          </cell>
          <cell r="C3839" t="str">
            <v>ML</v>
          </cell>
          <cell r="D3839">
            <v>348.06</v>
          </cell>
        </row>
        <row r="3839">
          <cell r="F3839">
            <v>400.269</v>
          </cell>
        </row>
        <row r="3840">
          <cell r="A3840" t="str">
            <v>INS19</v>
          </cell>
          <cell r="B3840" t="str">
            <v>Instalacion de loseta de vinil en pisos </v>
          </cell>
          <cell r="C3840" t="str">
            <v>M2</v>
          </cell>
          <cell r="D3840">
            <v>49.7228571428571</v>
          </cell>
        </row>
        <row r="3840">
          <cell r="F3840">
            <v>57.1812857142857</v>
          </cell>
        </row>
        <row r="3841">
          <cell r="A3841" t="str">
            <v>INS20</v>
          </cell>
          <cell r="B3841" t="str">
            <v>Instalacion de piso san andres medidas variables</v>
          </cell>
          <cell r="C3841" t="str">
            <v>M2</v>
          </cell>
          <cell r="D3841">
            <v>200</v>
          </cell>
        </row>
        <row r="3842">
          <cell r="A3842" t="str">
            <v>INS21</v>
          </cell>
          <cell r="B3842" t="str">
            <v>Instalacion de piedra laja de cubrecanto 60 cms ancho para bancas</v>
          </cell>
          <cell r="C3842" t="str">
            <v>ML</v>
          </cell>
          <cell r="D3842">
            <v>600</v>
          </cell>
        </row>
        <row r="3843">
          <cell r="A3843" t="str">
            <v>INS22</v>
          </cell>
          <cell r="B3843" t="str">
            <v>Corte, base de cemento y pegado de piso san andres 20 x 20</v>
          </cell>
          <cell r="C3843" t="str">
            <v>M2</v>
          </cell>
          <cell r="D3843">
            <v>320</v>
          </cell>
        </row>
        <row r="3844">
          <cell r="A3844" t="str">
            <v>JAB01</v>
          </cell>
          <cell r="B3844" t="str">
            <v>Jaboneras con azulejo</v>
          </cell>
          <cell r="C3844" t="str">
            <v>PZA</v>
          </cell>
          <cell r="D3844">
            <v>278.448</v>
          </cell>
        </row>
        <row r="3844">
          <cell r="F3844">
            <v>320.2152</v>
          </cell>
        </row>
        <row r="3845">
          <cell r="A3845" t="str">
            <v>JUNT1</v>
          </cell>
          <cell r="B3845" t="str">
            <v>Junta de dilatacion en azotea</v>
          </cell>
          <cell r="C3845" t="str">
            <v>ML</v>
          </cell>
          <cell r="D3845">
            <v>29.2487394957983</v>
          </cell>
        </row>
        <row r="3845">
          <cell r="F3845">
            <v>33.6360504201681</v>
          </cell>
        </row>
        <row r="3846">
          <cell r="A3846" t="str">
            <v>JUNT2</v>
          </cell>
          <cell r="B3846" t="str">
            <v>Junteo de ladrillo cuarteron con color </v>
          </cell>
          <cell r="C3846" t="str">
            <v>M2</v>
          </cell>
          <cell r="D3846">
            <v>61.0631578947368</v>
          </cell>
        </row>
        <row r="3846">
          <cell r="F3846">
            <v>70.2226315789474</v>
          </cell>
        </row>
        <row r="3847">
          <cell r="A3847" t="str">
            <v>JUNT3</v>
          </cell>
          <cell r="B3847" t="str">
            <v>Junteo de ladrillo peron colocando alambre recocido</v>
          </cell>
          <cell r="C3847" t="str">
            <v>M2</v>
          </cell>
          <cell r="D3847">
            <v>36.6378947368421</v>
          </cell>
        </row>
        <row r="3847">
          <cell r="F3847">
            <v>42.1335789473684</v>
          </cell>
        </row>
        <row r="3848">
          <cell r="A3848" t="str">
            <v>LAVP</v>
          </cell>
          <cell r="B3848" t="str">
            <v>Lavado de piso con acido muriatico p/porosidad</v>
          </cell>
          <cell r="C3848" t="str">
            <v>M2</v>
          </cell>
          <cell r="D3848">
            <v>23.204</v>
          </cell>
        </row>
        <row r="3848">
          <cell r="F3848">
            <v>26.6846</v>
          </cell>
        </row>
        <row r="3849">
          <cell r="A3849" t="str">
            <v>LEC01</v>
          </cell>
          <cell r="B3849" t="str">
            <v>Lechadeado de boveda</v>
          </cell>
          <cell r="C3849" t="str">
            <v>M2</v>
          </cell>
          <cell r="D3849">
            <v>6.62971428571429</v>
          </cell>
          <cell r="E3849">
            <v>1</v>
          </cell>
          <cell r="F3849">
            <v>7.62417142857143</v>
          </cell>
        </row>
        <row r="3850">
          <cell r="A3850" t="str">
            <v>LEC02</v>
          </cell>
          <cell r="B3850" t="str">
            <v>Lechadeo de ladrillo azotea</v>
          </cell>
          <cell r="C3850" t="str">
            <v>M2</v>
          </cell>
          <cell r="D3850">
            <v>6.62971428571429</v>
          </cell>
          <cell r="E3850">
            <v>1</v>
          </cell>
          <cell r="F3850">
            <v>7.62417142857143</v>
          </cell>
        </row>
        <row r="3851">
          <cell r="A3851" t="str">
            <v>LEC03</v>
          </cell>
          <cell r="B3851" t="str">
            <v>Lechadeo de firme</v>
          </cell>
          <cell r="C3851" t="str">
            <v>M2</v>
          </cell>
          <cell r="D3851">
            <v>6.62971428571429</v>
          </cell>
          <cell r="E3851">
            <v>1</v>
          </cell>
          <cell r="F3851">
            <v>7.62417142857143</v>
          </cell>
        </row>
        <row r="3852">
          <cell r="A3852" t="str">
            <v>LEC04</v>
          </cell>
          <cell r="B3852" t="str">
            <v>Lechadeo sobre ladrillo azotea ya lechadeado</v>
          </cell>
          <cell r="C3852" t="str">
            <v>M2</v>
          </cell>
          <cell r="D3852">
            <v>7.73466666666667</v>
          </cell>
          <cell r="E3852">
            <v>1</v>
          </cell>
          <cell r="F3852">
            <v>8.89486666666667</v>
          </cell>
        </row>
        <row r="3853">
          <cell r="A3853" t="str">
            <v>LEC05</v>
          </cell>
          <cell r="B3853" t="str">
            <v>Lechada de cemento en terraplen afinado</v>
          </cell>
          <cell r="C3853" t="str">
            <v>M2</v>
          </cell>
          <cell r="D3853">
            <v>5.56896</v>
          </cell>
          <cell r="E3853">
            <v>1</v>
          </cell>
          <cell r="F3853">
            <v>6.404304</v>
          </cell>
        </row>
        <row r="3854">
          <cell r="A3854" t="str">
            <v>LEC06</v>
          </cell>
          <cell r="B3854" t="str">
            <v>Lechadeo de terminado ladrillo de azotea</v>
          </cell>
          <cell r="C3854" t="str">
            <v>M2</v>
          </cell>
          <cell r="D3854">
            <v>23.204</v>
          </cell>
          <cell r="E3854">
            <v>1</v>
          </cell>
          <cell r="F3854">
            <v>26.6846</v>
          </cell>
        </row>
        <row r="3855">
          <cell r="A3855" t="str">
            <v>LIJ01</v>
          </cell>
          <cell r="B3855" t="str">
            <v>Lijar muro, lavar con thinner y mano extra</v>
          </cell>
          <cell r="C3855" t="str">
            <v>M2</v>
          </cell>
          <cell r="D3855">
            <v>3</v>
          </cell>
        </row>
        <row r="3855">
          <cell r="F3855">
            <v>3.45</v>
          </cell>
        </row>
        <row r="3856">
          <cell r="A3856" t="str">
            <v>LOS10</v>
          </cell>
          <cell r="B3856" t="str">
            <v>Colado de losa esp. 10 cms rev. hecho/obra</v>
          </cell>
          <cell r="C3856" t="str">
            <v>M2</v>
          </cell>
          <cell r="D3856">
            <v>81.8964705882353</v>
          </cell>
          <cell r="E3856">
            <v>1</v>
          </cell>
          <cell r="F3856">
            <v>94.1809411764706</v>
          </cell>
        </row>
        <row r="3857">
          <cell r="A3857" t="str">
            <v>LOS11</v>
          </cell>
          <cell r="B3857" t="str">
            <v>Colado de losa esp. 10 cms rev. premezclada</v>
          </cell>
          <cell r="C3857" t="str">
            <v>M2</v>
          </cell>
          <cell r="D3857">
            <v>34.806</v>
          </cell>
        </row>
        <row r="3857">
          <cell r="F3857">
            <v>40.0269</v>
          </cell>
        </row>
        <row r="3858">
          <cell r="A3858" t="str">
            <v>LOS12</v>
          </cell>
          <cell r="B3858" t="str">
            <v>Colado de losa esp. 12 cms rev. hecho/obra</v>
          </cell>
          <cell r="C3858" t="str">
            <v>M2</v>
          </cell>
          <cell r="D3858">
            <v>98.0450704225352</v>
          </cell>
          <cell r="E3858">
            <v>1</v>
          </cell>
          <cell r="F3858">
            <v>112.751830985915</v>
          </cell>
        </row>
        <row r="3859">
          <cell r="A3859" t="str">
            <v>LOS13</v>
          </cell>
          <cell r="B3859" t="str">
            <v>Colado de losa esp. 12 cms rev. premezclada</v>
          </cell>
          <cell r="C3859" t="str">
            <v>M2</v>
          </cell>
          <cell r="D3859">
            <v>38.0393442622951</v>
          </cell>
        </row>
        <row r="3859">
          <cell r="F3859">
            <v>43.7452459016394</v>
          </cell>
        </row>
        <row r="3860">
          <cell r="A3860" t="str">
            <v>LOS14</v>
          </cell>
          <cell r="B3860" t="str">
            <v>Colado de losa esp. 15 cms rev. hecho/obra</v>
          </cell>
          <cell r="C3860" t="str">
            <v>M2</v>
          </cell>
          <cell r="D3860">
            <v>122.126315789474</v>
          </cell>
          <cell r="E3860">
            <v>1</v>
          </cell>
          <cell r="F3860">
            <v>140.445263157895</v>
          </cell>
        </row>
        <row r="3861">
          <cell r="A3861" t="str">
            <v>LOS15</v>
          </cell>
          <cell r="B3861" t="str">
            <v>Colado de losa esp. 15 cms rev. premezclada</v>
          </cell>
          <cell r="C3861" t="str">
            <v>M2</v>
          </cell>
          <cell r="D3861">
            <v>43.5075</v>
          </cell>
        </row>
        <row r="3861">
          <cell r="F3861">
            <v>50.033625</v>
          </cell>
        </row>
        <row r="3862">
          <cell r="A3862" t="str">
            <v>LOS16</v>
          </cell>
          <cell r="B3862" t="str">
            <v>Colado de losa esp. 20 cms rev. hecho/obra</v>
          </cell>
          <cell r="C3862" t="str">
            <v>M2</v>
          </cell>
          <cell r="D3862">
            <v>163.792941176471</v>
          </cell>
          <cell r="E3862">
            <v>1</v>
          </cell>
          <cell r="F3862">
            <v>188.361882352941</v>
          </cell>
        </row>
        <row r="3863">
          <cell r="A3863" t="str">
            <v>LOS17</v>
          </cell>
          <cell r="B3863" t="str">
            <v>Colado de losa esp. 20 cms rev. premezclada</v>
          </cell>
          <cell r="C3863" t="str">
            <v>M2</v>
          </cell>
          <cell r="D3863">
            <v>51.1852941176471</v>
          </cell>
        </row>
        <row r="3863">
          <cell r="F3863">
            <v>58.8630882352941</v>
          </cell>
        </row>
        <row r="3864">
          <cell r="A3864" t="str">
            <v>LOTE</v>
          </cell>
          <cell r="B3864" t="str">
            <v>Lote</v>
          </cell>
          <cell r="C3864" t="str">
            <v>LOTE</v>
          </cell>
          <cell r="D3864">
            <v>100</v>
          </cell>
        </row>
        <row r="3864">
          <cell r="F3864">
            <v>100</v>
          </cell>
        </row>
        <row r="3865">
          <cell r="A3865" t="str">
            <v>LOTE150</v>
          </cell>
          <cell r="B3865" t="str">
            <v>Lote</v>
          </cell>
          <cell r="C3865" t="str">
            <v>LOTE</v>
          </cell>
          <cell r="D3865">
            <v>150</v>
          </cell>
        </row>
        <row r="3865">
          <cell r="F3865">
            <v>150</v>
          </cell>
        </row>
        <row r="3866">
          <cell r="A3866" t="str">
            <v>LOTE10</v>
          </cell>
          <cell r="B3866" t="str">
            <v>Lote</v>
          </cell>
          <cell r="C3866" t="str">
            <v>LOTE</v>
          </cell>
          <cell r="D3866">
            <v>1000</v>
          </cell>
        </row>
        <row r="3866">
          <cell r="F3866">
            <v>1000</v>
          </cell>
        </row>
        <row r="3867">
          <cell r="A3867" t="str">
            <v>LOTE11</v>
          </cell>
          <cell r="B3867" t="str">
            <v>Lote</v>
          </cell>
          <cell r="C3867" t="str">
            <v>LOTE</v>
          </cell>
          <cell r="D3867">
            <v>1100</v>
          </cell>
        </row>
        <row r="3867">
          <cell r="F3867">
            <v>1100</v>
          </cell>
        </row>
        <row r="3868">
          <cell r="A3868" t="str">
            <v>LOTE12</v>
          </cell>
          <cell r="B3868" t="str">
            <v>Lote</v>
          </cell>
          <cell r="C3868" t="str">
            <v>LOTE</v>
          </cell>
          <cell r="D3868">
            <v>1200</v>
          </cell>
        </row>
        <row r="3868">
          <cell r="F3868">
            <v>1200</v>
          </cell>
        </row>
        <row r="3869">
          <cell r="A3869" t="str">
            <v>LOTE13</v>
          </cell>
          <cell r="B3869" t="str">
            <v>Lote</v>
          </cell>
          <cell r="C3869" t="str">
            <v>LOTE</v>
          </cell>
          <cell r="D3869">
            <v>1300</v>
          </cell>
        </row>
        <row r="3869">
          <cell r="F3869">
            <v>1300</v>
          </cell>
        </row>
        <row r="3870">
          <cell r="A3870" t="str">
            <v>LOTE14</v>
          </cell>
          <cell r="B3870" t="str">
            <v>Lote</v>
          </cell>
          <cell r="C3870" t="str">
            <v>LOTE</v>
          </cell>
          <cell r="D3870">
            <v>1400</v>
          </cell>
        </row>
        <row r="3870">
          <cell r="F3870">
            <v>1400</v>
          </cell>
        </row>
        <row r="3871">
          <cell r="A3871" t="str">
            <v>LOTE15</v>
          </cell>
          <cell r="B3871" t="str">
            <v>Lote</v>
          </cell>
          <cell r="C3871" t="str">
            <v>LOTE</v>
          </cell>
          <cell r="D3871">
            <v>1500</v>
          </cell>
        </row>
        <row r="3871">
          <cell r="F3871">
            <v>1500</v>
          </cell>
        </row>
        <row r="3872">
          <cell r="A3872" t="str">
            <v>LOTE16</v>
          </cell>
          <cell r="B3872" t="str">
            <v>Lote</v>
          </cell>
          <cell r="C3872" t="str">
            <v>LOTE</v>
          </cell>
          <cell r="D3872">
            <v>1600</v>
          </cell>
        </row>
        <row r="3872">
          <cell r="F3872">
            <v>1600</v>
          </cell>
        </row>
        <row r="3873">
          <cell r="A3873" t="str">
            <v>LOTE17</v>
          </cell>
          <cell r="B3873" t="str">
            <v>Lote</v>
          </cell>
          <cell r="C3873" t="str">
            <v>LOTE</v>
          </cell>
          <cell r="D3873">
            <v>1700</v>
          </cell>
        </row>
        <row r="3873">
          <cell r="F3873">
            <v>1700</v>
          </cell>
        </row>
        <row r="3874">
          <cell r="A3874" t="str">
            <v>LOTE18</v>
          </cell>
          <cell r="B3874" t="str">
            <v>Lote</v>
          </cell>
          <cell r="C3874" t="str">
            <v>LOTE</v>
          </cell>
          <cell r="D3874">
            <v>1800</v>
          </cell>
        </row>
        <row r="3874">
          <cell r="F3874">
            <v>1800</v>
          </cell>
        </row>
        <row r="3875">
          <cell r="A3875" t="str">
            <v>LOTE19</v>
          </cell>
          <cell r="B3875" t="str">
            <v>Lote</v>
          </cell>
          <cell r="C3875" t="str">
            <v>LOTE</v>
          </cell>
          <cell r="D3875">
            <v>1900</v>
          </cell>
        </row>
        <row r="3875">
          <cell r="F3875">
            <v>1900</v>
          </cell>
        </row>
        <row r="3876">
          <cell r="A3876" t="str">
            <v>LOTE2</v>
          </cell>
          <cell r="B3876" t="str">
            <v>Lote</v>
          </cell>
          <cell r="C3876" t="str">
            <v>LOTE</v>
          </cell>
          <cell r="D3876">
            <v>200</v>
          </cell>
        </row>
        <row r="3876">
          <cell r="F3876">
            <v>200</v>
          </cell>
        </row>
        <row r="3877">
          <cell r="A3877" t="str">
            <v>LOTE20</v>
          </cell>
          <cell r="B3877" t="str">
            <v>Lote</v>
          </cell>
          <cell r="C3877" t="str">
            <v>LOTE</v>
          </cell>
          <cell r="D3877">
            <v>2000</v>
          </cell>
        </row>
        <row r="3877">
          <cell r="F3877">
            <v>2000</v>
          </cell>
        </row>
        <row r="3878">
          <cell r="A3878" t="str">
            <v>LOTE21</v>
          </cell>
          <cell r="B3878" t="str">
            <v>Lote</v>
          </cell>
          <cell r="C3878" t="str">
            <v>LOTE</v>
          </cell>
          <cell r="D3878">
            <v>2100</v>
          </cell>
        </row>
        <row r="3878">
          <cell r="F3878">
            <v>2100</v>
          </cell>
        </row>
        <row r="3879">
          <cell r="A3879" t="str">
            <v>LOTE22</v>
          </cell>
          <cell r="B3879" t="str">
            <v>Lote</v>
          </cell>
          <cell r="C3879" t="str">
            <v>LOTE</v>
          </cell>
          <cell r="D3879">
            <v>2200</v>
          </cell>
        </row>
        <row r="3879">
          <cell r="F3879">
            <v>2200</v>
          </cell>
        </row>
        <row r="3880">
          <cell r="A3880" t="str">
            <v>LOTE23</v>
          </cell>
          <cell r="B3880" t="str">
            <v>Lote</v>
          </cell>
          <cell r="C3880" t="str">
            <v>LOTE</v>
          </cell>
          <cell r="D3880">
            <v>2300</v>
          </cell>
        </row>
        <row r="3880">
          <cell r="F3880">
            <v>2300</v>
          </cell>
        </row>
        <row r="3881">
          <cell r="A3881" t="str">
            <v>LOTE24</v>
          </cell>
          <cell r="B3881" t="str">
            <v>Lote</v>
          </cell>
          <cell r="C3881" t="str">
            <v>LOTE</v>
          </cell>
          <cell r="D3881">
            <v>2400</v>
          </cell>
        </row>
        <row r="3881">
          <cell r="F3881">
            <v>2400</v>
          </cell>
        </row>
        <row r="3882">
          <cell r="A3882" t="str">
            <v>LOTE25</v>
          </cell>
          <cell r="B3882" t="str">
            <v>Lote</v>
          </cell>
          <cell r="C3882" t="str">
            <v>LOTE</v>
          </cell>
          <cell r="D3882">
            <v>2500</v>
          </cell>
        </row>
        <row r="3882">
          <cell r="F3882">
            <v>2500</v>
          </cell>
        </row>
        <row r="3883">
          <cell r="A3883" t="str">
            <v>LOTE26</v>
          </cell>
          <cell r="B3883" t="str">
            <v>Lote</v>
          </cell>
          <cell r="C3883" t="str">
            <v>LOTE</v>
          </cell>
          <cell r="D3883">
            <v>2600</v>
          </cell>
        </row>
        <row r="3883">
          <cell r="F3883">
            <v>2600</v>
          </cell>
        </row>
        <row r="3884">
          <cell r="A3884" t="str">
            <v>LOTE27</v>
          </cell>
          <cell r="B3884" t="str">
            <v>Lote</v>
          </cell>
          <cell r="C3884" t="str">
            <v>LOTE</v>
          </cell>
          <cell r="D3884">
            <v>2700</v>
          </cell>
        </row>
        <row r="3884">
          <cell r="F3884">
            <v>2700</v>
          </cell>
        </row>
        <row r="3885">
          <cell r="A3885" t="str">
            <v>LOTE28</v>
          </cell>
          <cell r="B3885" t="str">
            <v>Lote</v>
          </cell>
          <cell r="C3885" t="str">
            <v>LOTE</v>
          </cell>
          <cell r="D3885">
            <v>2800</v>
          </cell>
        </row>
        <row r="3885">
          <cell r="F3885">
            <v>2800</v>
          </cell>
        </row>
        <row r="3886">
          <cell r="A3886" t="str">
            <v>LOTE29</v>
          </cell>
          <cell r="B3886" t="str">
            <v>Lote</v>
          </cell>
          <cell r="C3886" t="str">
            <v>LOTE</v>
          </cell>
          <cell r="D3886">
            <v>2900</v>
          </cell>
        </row>
        <row r="3886">
          <cell r="F3886">
            <v>2900</v>
          </cell>
        </row>
        <row r="3887">
          <cell r="A3887" t="str">
            <v>LOTE3</v>
          </cell>
          <cell r="B3887" t="str">
            <v>Lote</v>
          </cell>
          <cell r="C3887" t="str">
            <v>LOTE</v>
          </cell>
          <cell r="D3887">
            <v>300</v>
          </cell>
        </row>
        <row r="3887">
          <cell r="F3887">
            <v>300</v>
          </cell>
        </row>
        <row r="3888">
          <cell r="A3888" t="str">
            <v>LOTE30</v>
          </cell>
          <cell r="B3888" t="str">
            <v>Lote</v>
          </cell>
          <cell r="C3888" t="str">
            <v>LOTE</v>
          </cell>
          <cell r="D3888">
            <v>3000</v>
          </cell>
        </row>
        <row r="3888">
          <cell r="F3888">
            <v>3000</v>
          </cell>
        </row>
        <row r="3889">
          <cell r="A3889" t="str">
            <v>LOTE4</v>
          </cell>
          <cell r="B3889" t="str">
            <v>Lote</v>
          </cell>
          <cell r="C3889" t="str">
            <v>LOTE</v>
          </cell>
          <cell r="D3889">
            <v>400</v>
          </cell>
        </row>
        <row r="3889">
          <cell r="F3889">
            <v>400</v>
          </cell>
        </row>
        <row r="3890">
          <cell r="A3890" t="str">
            <v>LOTE5</v>
          </cell>
          <cell r="B3890" t="str">
            <v>Lote</v>
          </cell>
          <cell r="C3890" t="str">
            <v>LOTE</v>
          </cell>
          <cell r="D3890">
            <v>500</v>
          </cell>
        </row>
        <row r="3890">
          <cell r="F3890">
            <v>500</v>
          </cell>
        </row>
        <row r="3891">
          <cell r="A3891" t="str">
            <v>LOTE6</v>
          </cell>
          <cell r="B3891" t="str">
            <v>Lote</v>
          </cell>
          <cell r="C3891" t="str">
            <v>LOTE</v>
          </cell>
          <cell r="D3891">
            <v>600</v>
          </cell>
        </row>
        <row r="3891">
          <cell r="F3891">
            <v>600</v>
          </cell>
        </row>
        <row r="3892">
          <cell r="A3892" t="str">
            <v>LOTE7</v>
          </cell>
          <cell r="B3892" t="str">
            <v>Lote</v>
          </cell>
          <cell r="C3892" t="str">
            <v>LOTE</v>
          </cell>
          <cell r="D3892">
            <v>700</v>
          </cell>
        </row>
        <row r="3892">
          <cell r="F3892">
            <v>700</v>
          </cell>
        </row>
        <row r="3893">
          <cell r="A3893" t="str">
            <v>LOTE8</v>
          </cell>
          <cell r="B3893" t="str">
            <v>Lote</v>
          </cell>
          <cell r="C3893" t="str">
            <v>LOTE</v>
          </cell>
          <cell r="D3893">
            <v>800</v>
          </cell>
        </row>
        <row r="3893">
          <cell r="F3893">
            <v>800</v>
          </cell>
        </row>
        <row r="3894">
          <cell r="A3894" t="str">
            <v>LOTE9</v>
          </cell>
          <cell r="B3894" t="str">
            <v>Lote</v>
          </cell>
          <cell r="C3894" t="str">
            <v>LOTE</v>
          </cell>
          <cell r="D3894">
            <v>900</v>
          </cell>
        </row>
        <row r="3894">
          <cell r="F3894">
            <v>900</v>
          </cell>
        </row>
        <row r="3895">
          <cell r="A3895" t="str">
            <v>MSCUR1</v>
          </cell>
          <cell r="B3895" t="str">
            <v>Muro de soga curvo </v>
          </cell>
          <cell r="C3895" t="str">
            <v>M2</v>
          </cell>
          <cell r="D3895">
            <v>114.118032786885</v>
          </cell>
          <cell r="E3895">
            <v>1</v>
          </cell>
          <cell r="F3895">
            <v>131.235737704918</v>
          </cell>
        </row>
        <row r="3896">
          <cell r="A3896" t="str">
            <v>MSCUR2</v>
          </cell>
          <cell r="B3896" t="str">
            <v>Muro de soga curvo  2a h</v>
          </cell>
          <cell r="C3896" t="str">
            <v>M2</v>
          </cell>
          <cell r="D3896">
            <v>131.235737704918</v>
          </cell>
          <cell r="E3896">
            <v>1</v>
          </cell>
          <cell r="F3896">
            <v>150.921098360656</v>
          </cell>
        </row>
        <row r="3897">
          <cell r="A3897" t="str">
            <v>M201</v>
          </cell>
          <cell r="B3897" t="str">
            <v>Muro de 20 de ladrillo</v>
          </cell>
          <cell r="C3897" t="str">
            <v>M2</v>
          </cell>
          <cell r="D3897">
            <v>114.118032786885</v>
          </cell>
          <cell r="E3897">
            <v>1</v>
          </cell>
          <cell r="F3897">
            <v>131.235737704918</v>
          </cell>
        </row>
        <row r="3898">
          <cell r="A3898" t="str">
            <v>M202</v>
          </cell>
          <cell r="B3898" t="str">
            <v>Muro de 20 de ladrillo 2a h.</v>
          </cell>
          <cell r="C3898" t="str">
            <v>M2</v>
          </cell>
          <cell r="D3898">
            <v>131.235737704918</v>
          </cell>
          <cell r="E3898">
            <v>1</v>
          </cell>
          <cell r="F3898">
            <v>150.921098360656</v>
          </cell>
        </row>
        <row r="3899">
          <cell r="A3899" t="str">
            <v>M203</v>
          </cell>
          <cell r="B3899" t="str">
            <v>Muro de 20 en limpio 1 rostro</v>
          </cell>
          <cell r="C3899" t="str">
            <v>M2</v>
          </cell>
          <cell r="D3899">
            <v>150.921098360656</v>
          </cell>
          <cell r="E3899">
            <v>1</v>
          </cell>
          <cell r="F3899">
            <v>173.559263114754</v>
          </cell>
        </row>
        <row r="3900">
          <cell r="A3900" t="str">
            <v>M201R2</v>
          </cell>
          <cell r="B3900" t="str">
            <v>Muro de 20 1 rostro a 2a h</v>
          </cell>
          <cell r="C3900" t="str">
            <v>M2</v>
          </cell>
          <cell r="D3900">
            <v>168.534315789474</v>
          </cell>
          <cell r="E3900">
            <v>1</v>
          </cell>
          <cell r="F3900">
            <v>193.814463157895</v>
          </cell>
        </row>
        <row r="3901">
          <cell r="A3901" t="str">
            <v>M203A</v>
          </cell>
          <cell r="B3901" t="str">
            <v>Muro de 20 de ladrillo 3a h</v>
          </cell>
          <cell r="C3901" t="str">
            <v>M2</v>
          </cell>
          <cell r="D3901">
            <v>131.235737704918</v>
          </cell>
          <cell r="E3901">
            <v>1</v>
          </cell>
          <cell r="F3901">
            <v>150.921098360656</v>
          </cell>
        </row>
        <row r="3902">
          <cell r="A3902" t="str">
            <v>M204</v>
          </cell>
          <cell r="B3902" t="str">
            <v>Muro de 20 en limpio 2 rostros</v>
          </cell>
          <cell r="C3902" t="str">
            <v>M2</v>
          </cell>
          <cell r="D3902">
            <v>183.189473684211</v>
          </cell>
          <cell r="E3902">
            <v>1</v>
          </cell>
          <cell r="F3902">
            <v>210.667894736842</v>
          </cell>
        </row>
        <row r="3903">
          <cell r="A3903" t="str">
            <v>M25</v>
          </cell>
          <cell r="B3903" t="str">
            <v>Muro de 25 cms de espesor</v>
          </cell>
          <cell r="C3903" t="str">
            <v>M2</v>
          </cell>
          <cell r="D3903">
            <v>135.168932038835</v>
          </cell>
          <cell r="E3903">
            <v>1</v>
          </cell>
          <cell r="F3903">
            <v>155.44427184466</v>
          </cell>
        </row>
        <row r="3904">
          <cell r="A3904" t="str">
            <v>M252</v>
          </cell>
          <cell r="B3904" t="str">
            <v>Muro de 25 cms de espesor  a 2a h</v>
          </cell>
          <cell r="C3904" t="str">
            <v>M2</v>
          </cell>
          <cell r="D3904">
            <v>155.44427184466</v>
          </cell>
          <cell r="E3904">
            <v>1</v>
          </cell>
          <cell r="F3904">
            <v>178.760912621359</v>
          </cell>
        </row>
        <row r="3905">
          <cell r="A3905" t="str">
            <v>M253</v>
          </cell>
          <cell r="B3905" t="str">
            <v>Muro de 25 cms de espesor  a 3a h</v>
          </cell>
          <cell r="C3905" t="str">
            <v>M2</v>
          </cell>
          <cell r="D3905">
            <v>178.760912621359</v>
          </cell>
          <cell r="E3905">
            <v>1</v>
          </cell>
          <cell r="F3905">
            <v>205.575049514563</v>
          </cell>
        </row>
        <row r="3906">
          <cell r="A3906" t="str">
            <v>M254</v>
          </cell>
          <cell r="B3906" t="str">
            <v>Muro de 25 cms de espesor  a 4a h</v>
          </cell>
          <cell r="C3906" t="str">
            <v>M2</v>
          </cell>
          <cell r="D3906">
            <v>205.575049514563</v>
          </cell>
          <cell r="E3906">
            <v>1</v>
          </cell>
          <cell r="F3906">
            <v>236.411306941747</v>
          </cell>
        </row>
        <row r="3907">
          <cell r="A3907" t="str">
            <v>M255</v>
          </cell>
          <cell r="B3907" t="str">
            <v>Muro de 25 cms de espesor  a 5a h</v>
          </cell>
          <cell r="C3907" t="str">
            <v>M2</v>
          </cell>
          <cell r="D3907">
            <v>236.411306941747</v>
          </cell>
          <cell r="E3907">
            <v>1</v>
          </cell>
          <cell r="F3907">
            <v>271.87300298301</v>
          </cell>
        </row>
        <row r="3908">
          <cell r="A3908" t="str">
            <v>M301R</v>
          </cell>
          <cell r="B3908" t="str">
            <v>Muro de 30 cms espesor 1 rostro</v>
          </cell>
          <cell r="C3908" t="str">
            <v>M2</v>
          </cell>
          <cell r="D3908">
            <v>216.186335403727</v>
          </cell>
          <cell r="E3908">
            <v>1</v>
          </cell>
          <cell r="F3908">
            <v>248.614285714286</v>
          </cell>
        </row>
        <row r="3909">
          <cell r="A3909" t="str">
            <v>M301R2</v>
          </cell>
          <cell r="B3909" t="str">
            <v>Muro de 30 cms espesor 1 rostro 2a h</v>
          </cell>
          <cell r="C3909" t="str">
            <v>M2</v>
          </cell>
          <cell r="D3909">
            <v>248.614285714286</v>
          </cell>
          <cell r="E3909">
            <v>1</v>
          </cell>
          <cell r="F3909">
            <v>285.906428571428</v>
          </cell>
        </row>
        <row r="3910">
          <cell r="A3910" t="str">
            <v>M301R3</v>
          </cell>
          <cell r="B3910" t="str">
            <v>Muro de 30 cms espesor 1 rostro 3a h</v>
          </cell>
          <cell r="C3910" t="str">
            <v>M2</v>
          </cell>
          <cell r="D3910">
            <v>285.906428571428</v>
          </cell>
          <cell r="E3910">
            <v>1</v>
          </cell>
          <cell r="F3910">
            <v>328.792392857143</v>
          </cell>
        </row>
        <row r="3911">
          <cell r="A3911" t="str">
            <v>M35</v>
          </cell>
          <cell r="B3911" t="str">
            <v>Muro de 35 cms de espesor </v>
          </cell>
          <cell r="C3911" t="str">
            <v>M2</v>
          </cell>
          <cell r="D3911">
            <v>174.03</v>
          </cell>
          <cell r="E3911">
            <v>1</v>
          </cell>
          <cell r="F3911">
            <v>200.1345</v>
          </cell>
        </row>
        <row r="3912">
          <cell r="A3912" t="str">
            <v>MACH1</v>
          </cell>
          <cell r="B3912" t="str">
            <v>Machuelo forjado con ladrillo</v>
          </cell>
          <cell r="C3912" t="str">
            <v>ML</v>
          </cell>
          <cell r="D3912">
            <v>58.01</v>
          </cell>
          <cell r="E3912">
            <v>1</v>
          </cell>
          <cell r="F3912">
            <v>66.7115</v>
          </cell>
        </row>
        <row r="3913">
          <cell r="A3913" t="str">
            <v>MACH2</v>
          </cell>
          <cell r="B3913" t="str">
            <v>barrenos, armar, cimbrar, colar y perfilar machuelo 20 X 20</v>
          </cell>
          <cell r="C3913" t="str">
            <v>ML</v>
          </cell>
          <cell r="D3913">
            <v>213.533742331288</v>
          </cell>
        </row>
        <row r="3913">
          <cell r="F3913">
            <v>245.563803680982</v>
          </cell>
        </row>
        <row r="3914">
          <cell r="A3914" t="str">
            <v>MACH3</v>
          </cell>
          <cell r="B3914" t="str">
            <v>barrenos, colocar varillin , cimbrar, colar y perfilar machuelo 10 x 10</v>
          </cell>
          <cell r="C3914" t="str">
            <v>ML</v>
          </cell>
          <cell r="D3914">
            <v>116.02</v>
          </cell>
        </row>
        <row r="3914">
          <cell r="F3914">
            <v>133.423</v>
          </cell>
        </row>
        <row r="3915">
          <cell r="A3915" t="str">
            <v>MALLA</v>
          </cell>
          <cell r="B3915" t="str">
            <v>Corte y colocacion de malla lack en piso</v>
          </cell>
          <cell r="C3915" t="str">
            <v>M2</v>
          </cell>
          <cell r="D3915">
            <v>13.9224</v>
          </cell>
        </row>
        <row r="3915">
          <cell r="F3915">
            <v>16.01076</v>
          </cell>
        </row>
        <row r="3916">
          <cell r="A3916" t="str">
            <v>MAM01</v>
          </cell>
          <cell r="B3916" t="str">
            <v>Mamposteo 1 rostro de 0.00-1.50</v>
          </cell>
          <cell r="C3916" t="str">
            <v>M3</v>
          </cell>
          <cell r="D3916">
            <v>484.640506329114</v>
          </cell>
          <cell r="E3916">
            <v>1</v>
          </cell>
          <cell r="F3916">
            <v>557.336582278481</v>
          </cell>
        </row>
        <row r="3917">
          <cell r="A3917" t="str">
            <v>MAM02</v>
          </cell>
          <cell r="B3917" t="str">
            <v>Mamposteo 1 rostro de 1.50-3.00</v>
          </cell>
          <cell r="C3917" t="str">
            <v>M3</v>
          </cell>
          <cell r="D3917">
            <v>612.5856</v>
          </cell>
          <cell r="E3917">
            <v>1</v>
          </cell>
          <cell r="F3917">
            <v>704.47344</v>
          </cell>
        </row>
        <row r="3918">
          <cell r="A3918" t="str">
            <v>MAM02a</v>
          </cell>
          <cell r="B3918" t="str">
            <v>Mamposteo 1 rostro de 3.00-5.70</v>
          </cell>
          <cell r="C3918" t="str">
            <v>M3</v>
          </cell>
          <cell r="D3918">
            <v>773.466666666667</v>
          </cell>
          <cell r="E3918">
            <v>1</v>
          </cell>
          <cell r="F3918">
            <v>889.486666666667</v>
          </cell>
        </row>
        <row r="3919">
          <cell r="A3919" t="str">
            <v>MAM03</v>
          </cell>
          <cell r="B3919" t="str">
            <v>Mamposteo 2 rostros de 0.00-1.50</v>
          </cell>
          <cell r="C3919" t="str">
            <v>M3</v>
          </cell>
          <cell r="D3919">
            <v>900.861176470588</v>
          </cell>
          <cell r="E3919">
            <v>1</v>
          </cell>
          <cell r="F3919">
            <v>1035.99035294118</v>
          </cell>
        </row>
        <row r="3920">
          <cell r="A3920" t="str">
            <v>MAM03a</v>
          </cell>
          <cell r="B3920" t="str">
            <v>Mamposteo 2 rostros de 0.00-1.50</v>
          </cell>
          <cell r="C3920" t="str">
            <v>M3</v>
          </cell>
          <cell r="D3920">
            <v>729.268571428571</v>
          </cell>
          <cell r="E3920">
            <v>1</v>
          </cell>
          <cell r="F3920">
            <v>838.658857142857</v>
          </cell>
        </row>
        <row r="3921">
          <cell r="A3921" t="str">
            <v>MAM03a2</v>
          </cell>
          <cell r="B3921" t="str">
            <v>Mamposteo 2 rostros de 1.50-3.00</v>
          </cell>
          <cell r="C3921" t="str">
            <v>M3</v>
          </cell>
          <cell r="D3921">
            <v>841.463736263736</v>
          </cell>
          <cell r="E3921">
            <v>1</v>
          </cell>
          <cell r="F3921">
            <v>967.683296703297</v>
          </cell>
        </row>
        <row r="3922">
          <cell r="A3922" t="str">
            <v>MAM04</v>
          </cell>
          <cell r="B3922" t="str">
            <v>Mamposteo 2 rostros de 1.50-3.00</v>
          </cell>
          <cell r="C3922" t="str">
            <v>M3</v>
          </cell>
          <cell r="D3922">
            <v>1142.88358208955</v>
          </cell>
          <cell r="E3922">
            <v>1</v>
          </cell>
          <cell r="F3922">
            <v>1314.31611940298</v>
          </cell>
        </row>
        <row r="3923">
          <cell r="A3923" t="str">
            <v>MAM05</v>
          </cell>
          <cell r="B3923" t="str">
            <v>Mamposteo en sucio de 0.00-1.50</v>
          </cell>
          <cell r="C3923" t="str">
            <v>M3</v>
          </cell>
          <cell r="D3923">
            <v>382.866</v>
          </cell>
          <cell r="E3923">
            <v>1</v>
          </cell>
          <cell r="F3923">
            <v>440.2959</v>
          </cell>
        </row>
        <row r="3924">
          <cell r="A3924" t="str">
            <v>MAM06</v>
          </cell>
          <cell r="B3924" t="str">
            <v>Mamposteo en sucio de 1.50-3.00</v>
          </cell>
          <cell r="C3924" t="str">
            <v>M3</v>
          </cell>
          <cell r="D3924">
            <v>450.430588235294</v>
          </cell>
          <cell r="E3924">
            <v>1</v>
          </cell>
          <cell r="F3924">
            <v>517.995176470588</v>
          </cell>
        </row>
        <row r="3925">
          <cell r="A3925" t="str">
            <v>MAM07</v>
          </cell>
          <cell r="B3925" t="str">
            <v>Mamposteo a 1 rostro con junta cerrada</v>
          </cell>
          <cell r="C3925" t="str">
            <v>M3</v>
          </cell>
          <cell r="D3925">
            <v>1629.2170212766</v>
          </cell>
          <cell r="E3925">
            <v>1</v>
          </cell>
          <cell r="F3925">
            <v>1873.59957446809</v>
          </cell>
        </row>
        <row r="3926">
          <cell r="A3926" t="str">
            <v>MAM08</v>
          </cell>
          <cell r="B3926" t="str">
            <v>Mamposteo a 2 rostros con junta cerrada</v>
          </cell>
          <cell r="C3926" t="str">
            <v>M3</v>
          </cell>
          <cell r="D3926">
            <v>2470.10322580645</v>
          </cell>
          <cell r="E3926">
            <v>1</v>
          </cell>
          <cell r="F3926">
            <v>2840.61870967742</v>
          </cell>
        </row>
        <row r="3927">
          <cell r="A3927" t="str">
            <v>MAMRV</v>
          </cell>
          <cell r="B3927" t="str">
            <v>Mamposteo muro de piedra a 2 rostros rancho viejo de 0.00 a 2.00</v>
          </cell>
          <cell r="C3927" t="str">
            <v>M3</v>
          </cell>
          <cell r="D3927">
            <v>1067.66871165644</v>
          </cell>
          <cell r="E3927">
            <v>1</v>
          </cell>
          <cell r="F3927">
            <v>1227.81901840491</v>
          </cell>
        </row>
        <row r="3928">
          <cell r="A3928" t="str">
            <v>MAMRV2</v>
          </cell>
          <cell r="B3928" t="str">
            <v>Mamposteo muro de piedra a 2 rostros rancho viejo de 2.00 a 4.00</v>
          </cell>
          <cell r="C3928" t="str">
            <v>M3</v>
          </cell>
          <cell r="D3928">
            <v>1334.58588957055</v>
          </cell>
          <cell r="E3928">
            <v>1</v>
          </cell>
          <cell r="F3928">
            <v>1534.77377300613</v>
          </cell>
        </row>
        <row r="3929">
          <cell r="A3929" t="str">
            <v>MAMP1R0-2</v>
          </cell>
          <cell r="B3929" t="str">
            <v>Muro de piedra en limpio a 1 rostro de 0.00 a 2.00 alto</v>
          </cell>
          <cell r="C3929" t="str">
            <v>M3</v>
          </cell>
          <cell r="D3929">
            <v>2000</v>
          </cell>
        </row>
        <row r="3930">
          <cell r="A3930" t="str">
            <v>MAMP1R2-4</v>
          </cell>
          <cell r="B3930" t="str">
            <v>Muro de piedra en limpio a 1 rostro de 2.00 a 4.00 alto</v>
          </cell>
          <cell r="C3930" t="str">
            <v>M3</v>
          </cell>
          <cell r="D3930">
            <v>2340</v>
          </cell>
        </row>
        <row r="3931">
          <cell r="A3931" t="str">
            <v>MAMP1R4-6</v>
          </cell>
          <cell r="B3931" t="str">
            <v>Muro de piedra en limpio a 1 rostro de 4.00 a 6.00 alto</v>
          </cell>
          <cell r="C3931" t="str">
            <v>M3</v>
          </cell>
          <cell r="D3931">
            <v>2660</v>
          </cell>
        </row>
        <row r="3932">
          <cell r="A3932" t="str">
            <v>MAMP2R0-2</v>
          </cell>
          <cell r="B3932" t="str">
            <v>Muro de piedra en limpio a 2 rostros de 0.00 a 2.00 alto</v>
          </cell>
          <cell r="C3932" t="str">
            <v>M3</v>
          </cell>
          <cell r="D3932">
            <v>2300</v>
          </cell>
        </row>
        <row r="3933">
          <cell r="A3933" t="str">
            <v>MAMP2R2-4</v>
          </cell>
          <cell r="B3933" t="str">
            <v>Muro de piedra en limpio a 2 rostros de 2.00 a 4.00 alto</v>
          </cell>
          <cell r="C3933" t="str">
            <v>M3</v>
          </cell>
          <cell r="D3933">
            <v>2660</v>
          </cell>
        </row>
        <row r="3934">
          <cell r="A3934" t="str">
            <v>MAMP2R4-6</v>
          </cell>
          <cell r="B3934" t="str">
            <v>Muro de piedra en limpio a 2 rostros de 4.00 a 6.00 alto</v>
          </cell>
          <cell r="C3934" t="str">
            <v>M3</v>
          </cell>
          <cell r="D3934">
            <v>3000</v>
          </cell>
        </row>
        <row r="3935">
          <cell r="A3935" t="str">
            <v>MANDO</v>
          </cell>
          <cell r="B3935" t="str">
            <v>Mando intermedio de personal</v>
          </cell>
          <cell r="C3935" t="str">
            <v>LOTE</v>
          </cell>
          <cell r="D3935">
            <v>696.12</v>
          </cell>
        </row>
        <row r="3935">
          <cell r="F3935">
            <v>800.538</v>
          </cell>
        </row>
        <row r="3936">
          <cell r="A3936" t="str">
            <v>MART1</v>
          </cell>
          <cell r="B3936" t="str">
            <v>Martelinado de piso concreto</v>
          </cell>
          <cell r="C3936" t="str">
            <v>M2</v>
          </cell>
          <cell r="D3936">
            <v>278.448</v>
          </cell>
        </row>
        <row r="3936">
          <cell r="F3936">
            <v>320.2152</v>
          </cell>
        </row>
        <row r="3937">
          <cell r="A3937" t="str">
            <v>MART2</v>
          </cell>
          <cell r="B3937" t="str">
            <v>Martelinado de escalones de concreto</v>
          </cell>
          <cell r="C3937" t="str">
            <v>ML</v>
          </cell>
          <cell r="D3937">
            <v>198.891428571429</v>
          </cell>
        </row>
        <row r="3937">
          <cell r="F3937">
            <v>228.725142857143</v>
          </cell>
        </row>
        <row r="3938">
          <cell r="A3938" t="str">
            <v>MB203</v>
          </cell>
          <cell r="B3938" t="str">
            <v>Muro de 20 de block a 3a h</v>
          </cell>
          <cell r="C3938" t="str">
            <v>M2</v>
          </cell>
          <cell r="D3938">
            <v>128.911111111111</v>
          </cell>
          <cell r="E3938">
            <v>1</v>
          </cell>
          <cell r="F3938">
            <v>148.247777777778</v>
          </cell>
        </row>
        <row r="3939">
          <cell r="A3939" t="str">
            <v>MBO01</v>
          </cell>
          <cell r="B3939" t="str">
            <v>Muro de 20 de block</v>
          </cell>
          <cell r="C3939" t="str">
            <v>M2</v>
          </cell>
          <cell r="D3939">
            <v>99.4457142857143</v>
          </cell>
          <cell r="E3939">
            <v>1</v>
          </cell>
          <cell r="F3939">
            <v>114.362571428571</v>
          </cell>
        </row>
        <row r="3940">
          <cell r="A3940" t="str">
            <v>MBO02</v>
          </cell>
          <cell r="B3940" t="str">
            <v>Muro de 20 de block 2a h.</v>
          </cell>
          <cell r="C3940" t="str">
            <v>M2</v>
          </cell>
          <cell r="D3940">
            <v>114.118032786885</v>
          </cell>
          <cell r="E3940">
            <v>1</v>
          </cell>
          <cell r="F3940">
            <v>131.235737704918</v>
          </cell>
        </row>
        <row r="3941">
          <cell r="A3941" t="str">
            <v>MBO03</v>
          </cell>
          <cell r="B3941" t="str">
            <v>Muro de capuchino de block</v>
          </cell>
          <cell r="C3941" t="str">
            <v>M2</v>
          </cell>
          <cell r="D3941">
            <v>69.612</v>
          </cell>
          <cell r="E3941">
            <v>1</v>
          </cell>
          <cell r="F3941">
            <v>80.0538</v>
          </cell>
        </row>
        <row r="3942">
          <cell r="A3942" t="str">
            <v>MBO04</v>
          </cell>
          <cell r="B3942" t="str">
            <v>Muro de capuchino de block 2a h.</v>
          </cell>
          <cell r="C3942" t="str">
            <v>M2</v>
          </cell>
          <cell r="D3942">
            <v>80.0538</v>
          </cell>
          <cell r="E3942">
            <v>1</v>
          </cell>
          <cell r="F3942">
            <v>92.06187</v>
          </cell>
        </row>
        <row r="3943">
          <cell r="A3943" t="str">
            <v>MBO05</v>
          </cell>
          <cell r="B3943" t="str">
            <v>Muro de soga de block</v>
          </cell>
          <cell r="C3943" t="str">
            <v>M2</v>
          </cell>
          <cell r="D3943">
            <v>92.816</v>
          </cell>
          <cell r="E3943">
            <v>1</v>
          </cell>
          <cell r="F3943">
            <v>106.7384</v>
          </cell>
        </row>
        <row r="3944">
          <cell r="A3944" t="str">
            <v>MBO06</v>
          </cell>
          <cell r="B3944" t="str">
            <v>Muro de soga de block 2a h.</v>
          </cell>
          <cell r="C3944" t="str">
            <v>M2</v>
          </cell>
          <cell r="D3944">
            <v>106.7384</v>
          </cell>
          <cell r="E3944">
            <v>1</v>
          </cell>
          <cell r="F3944">
            <v>122.74916</v>
          </cell>
        </row>
        <row r="3945">
          <cell r="A3945" t="str">
            <v>MBO07</v>
          </cell>
          <cell r="B3945" t="str">
            <v>Muro de tezon de block</v>
          </cell>
          <cell r="C3945" t="str">
            <v>M2</v>
          </cell>
          <cell r="D3945">
            <v>128.911111111111</v>
          </cell>
          <cell r="E3945">
            <v>1</v>
          </cell>
          <cell r="F3945">
            <v>148.247777777778</v>
          </cell>
        </row>
        <row r="3946">
          <cell r="A3946" t="str">
            <v>MBO08</v>
          </cell>
          <cell r="B3946" t="str">
            <v>Muro de tezon de block 2a h.</v>
          </cell>
          <cell r="C3946" t="str">
            <v>M2</v>
          </cell>
          <cell r="D3946">
            <v>148.247777777778</v>
          </cell>
          <cell r="E3946">
            <v>1</v>
          </cell>
          <cell r="F3946">
            <v>170.484944444444</v>
          </cell>
        </row>
        <row r="3947">
          <cell r="A3947" t="str">
            <v>MBSO3</v>
          </cell>
          <cell r="B3947" t="str">
            <v>Muro de soga de block a 3a h</v>
          </cell>
          <cell r="C3947" t="str">
            <v>M2</v>
          </cell>
          <cell r="D3947">
            <v>120.6608</v>
          </cell>
          <cell r="E3947">
            <v>1</v>
          </cell>
          <cell r="F3947">
            <v>138.75992</v>
          </cell>
        </row>
        <row r="3948">
          <cell r="A3948" t="str">
            <v>MBSO4</v>
          </cell>
          <cell r="B3948" t="str">
            <v>Muro de soga de block a 4a h</v>
          </cell>
          <cell r="C3948" t="str">
            <v>M2</v>
          </cell>
          <cell r="D3948">
            <v>134.5832</v>
          </cell>
          <cell r="E3948">
            <v>1</v>
          </cell>
          <cell r="F3948">
            <v>154.77068</v>
          </cell>
        </row>
        <row r="3949">
          <cell r="A3949" t="str">
            <v>MBSO5</v>
          </cell>
          <cell r="B3949" t="str">
            <v>Muro de soga de block a 5a h</v>
          </cell>
          <cell r="C3949" t="str">
            <v>M2</v>
          </cell>
          <cell r="D3949">
            <v>148.5056</v>
          </cell>
          <cell r="E3949">
            <v>1</v>
          </cell>
          <cell r="F3949">
            <v>170.78144</v>
          </cell>
        </row>
        <row r="3950">
          <cell r="A3950" t="str">
            <v>MBTE3</v>
          </cell>
          <cell r="B3950" t="str">
            <v>Muro de tezon de block a 3a h</v>
          </cell>
          <cell r="C3950" t="str">
            <v>M2</v>
          </cell>
          <cell r="D3950">
            <v>151.330434782609</v>
          </cell>
          <cell r="E3950">
            <v>1</v>
          </cell>
          <cell r="F3950">
            <v>174.03</v>
          </cell>
        </row>
        <row r="3951">
          <cell r="A3951" t="str">
            <v>MBTE4</v>
          </cell>
          <cell r="B3951" t="str">
            <v>Muro de tezon de block a 4a h</v>
          </cell>
          <cell r="C3951" t="str">
            <v>M2</v>
          </cell>
          <cell r="D3951">
            <v>174.03</v>
          </cell>
          <cell r="E3951">
            <v>1</v>
          </cell>
          <cell r="F3951">
            <v>200.1345</v>
          </cell>
        </row>
        <row r="3952">
          <cell r="A3952" t="str">
            <v>MBTE5</v>
          </cell>
          <cell r="B3952" t="str">
            <v>Muro de tezon de block a 5a h</v>
          </cell>
          <cell r="C3952" t="str">
            <v>M2</v>
          </cell>
          <cell r="D3952">
            <v>200.1345</v>
          </cell>
          <cell r="E3952">
            <v>1</v>
          </cell>
          <cell r="F3952">
            <v>230.154675</v>
          </cell>
        </row>
        <row r="3953">
          <cell r="A3953" t="str">
            <v>MBHA</v>
          </cell>
          <cell r="B3953" t="str">
            <v>Muro de block hueco aparente con colado de escalerillas verticales</v>
          </cell>
          <cell r="C3953" t="str">
            <v>M2</v>
          </cell>
          <cell r="D3953">
            <v>128.911111111111</v>
          </cell>
          <cell r="E3953">
            <v>1</v>
          </cell>
          <cell r="F3953">
            <v>148.247777777778</v>
          </cell>
        </row>
        <row r="3954">
          <cell r="A3954" t="str">
            <v>MBHA2</v>
          </cell>
          <cell r="B3954" t="str">
            <v>Muro de block hueco aparente con colado de escalerillas verticales 2a h</v>
          </cell>
          <cell r="C3954" t="str">
            <v>M2</v>
          </cell>
          <cell r="D3954">
            <v>148.247777777778</v>
          </cell>
          <cell r="E3954">
            <v>1</v>
          </cell>
          <cell r="F3954">
            <v>170.484944444444</v>
          </cell>
        </row>
        <row r="3955">
          <cell r="A3955" t="str">
            <v>MPIÑASO</v>
          </cell>
          <cell r="B3955" t="str">
            <v>Muro de piña de soga </v>
          </cell>
          <cell r="C3955" t="str">
            <v>M2</v>
          </cell>
          <cell r="D3955">
            <v>73.2757894736842</v>
          </cell>
          <cell r="E3955">
            <v>1</v>
          </cell>
          <cell r="F3955">
            <v>84.2671578947368</v>
          </cell>
        </row>
        <row r="3956">
          <cell r="A3956" t="str">
            <v>MCA1</v>
          </cell>
          <cell r="B3956" t="str">
            <v>Muro de capuchino de ladrillo</v>
          </cell>
          <cell r="C3956" t="str">
            <v>M2</v>
          </cell>
          <cell r="D3956">
            <v>69.612</v>
          </cell>
          <cell r="E3956">
            <v>1</v>
          </cell>
          <cell r="F3956">
            <v>80.0538</v>
          </cell>
        </row>
        <row r="3957">
          <cell r="A3957" t="str">
            <v>MCA2</v>
          </cell>
          <cell r="B3957" t="str">
            <v>Muro de capuchino de ladrillo 2a h.</v>
          </cell>
          <cell r="C3957" t="str">
            <v>M2</v>
          </cell>
          <cell r="D3957">
            <v>80.0538</v>
          </cell>
          <cell r="E3957">
            <v>1</v>
          </cell>
          <cell r="F3957">
            <v>92.06187</v>
          </cell>
        </row>
        <row r="3958">
          <cell r="A3958" t="str">
            <v>MPREF</v>
          </cell>
          <cell r="B3958" t="str">
            <v>Colocacion de muro de concreto prefabricado a nivel</v>
          </cell>
          <cell r="C3958" t="str">
            <v>M2</v>
          </cell>
          <cell r="D3958">
            <v>69.612</v>
          </cell>
          <cell r="E3958">
            <v>1</v>
          </cell>
          <cell r="F3958">
            <v>80.0538</v>
          </cell>
        </row>
        <row r="3959">
          <cell r="A3959" t="str">
            <v>MED01</v>
          </cell>
          <cell r="B3959" t="str">
            <v>Media caña  de cemento blanco y marmolina</v>
          </cell>
          <cell r="C3959" t="str">
            <v>ML</v>
          </cell>
          <cell r="D3959">
            <v>17.403</v>
          </cell>
          <cell r="E3959">
            <v>1</v>
          </cell>
          <cell r="F3959">
            <v>20.01345</v>
          </cell>
        </row>
        <row r="3960">
          <cell r="A3960" t="str">
            <v>MED02</v>
          </cell>
          <cell r="B3960" t="str">
            <v>Media caña con resina quimica del oeste</v>
          </cell>
          <cell r="C3960" t="str">
            <v>ML</v>
          </cell>
          <cell r="D3960">
            <v>14.5025</v>
          </cell>
          <cell r="E3960">
            <v>1</v>
          </cell>
          <cell r="F3960">
            <v>16.677875</v>
          </cell>
        </row>
        <row r="3961">
          <cell r="A3961" t="str">
            <v>MET01</v>
          </cell>
          <cell r="B3961" t="str">
            <v>Colocacion de metal desplegado</v>
          </cell>
          <cell r="C3961" t="str">
            <v>ML</v>
          </cell>
          <cell r="D3961">
            <v>23.204</v>
          </cell>
        </row>
        <row r="3961">
          <cell r="F3961">
            <v>26.6846</v>
          </cell>
        </row>
        <row r="3962">
          <cell r="A3962" t="str">
            <v>MHUA</v>
          </cell>
          <cell r="B3962" t="str">
            <v>Muro huacaleado en pozo de absorcion</v>
          </cell>
          <cell r="C3962" t="str">
            <v>M2</v>
          </cell>
          <cell r="D3962">
            <v>69.612</v>
          </cell>
          <cell r="E3962">
            <v>1</v>
          </cell>
          <cell r="F3962">
            <v>80.0538</v>
          </cell>
        </row>
        <row r="3963">
          <cell r="A3963" t="str">
            <v>MOC20</v>
          </cell>
          <cell r="B3963" t="str">
            <v>Mocheta de 20</v>
          </cell>
          <cell r="C3963" t="str">
            <v>ML</v>
          </cell>
          <cell r="D3963">
            <v>214.190769230769</v>
          </cell>
          <cell r="E3963">
            <v>1</v>
          </cell>
          <cell r="F3963">
            <v>246.319384615385</v>
          </cell>
        </row>
        <row r="3964">
          <cell r="A3964" t="str">
            <v>MOCCA</v>
          </cell>
          <cell r="B3964" t="str">
            <v>Mocheta de capuchino</v>
          </cell>
          <cell r="C3964" t="str">
            <v>ML</v>
          </cell>
          <cell r="D3964">
            <v>146.551578947368</v>
          </cell>
          <cell r="E3964">
            <v>1</v>
          </cell>
          <cell r="F3964">
            <v>168.534315789474</v>
          </cell>
        </row>
        <row r="3965">
          <cell r="A3965" t="str">
            <v>MOCSO</v>
          </cell>
          <cell r="B3965" t="str">
            <v>Mocheta de soga</v>
          </cell>
          <cell r="C3965" t="str">
            <v>ML</v>
          </cell>
          <cell r="D3965">
            <v>146.551578947368</v>
          </cell>
          <cell r="E3965">
            <v>1</v>
          </cell>
          <cell r="F3965">
            <v>168.534315789474</v>
          </cell>
        </row>
        <row r="3966">
          <cell r="A3966" t="str">
            <v>MOCTE</v>
          </cell>
          <cell r="B3966" t="str">
            <v>Mocheta de tezon</v>
          </cell>
          <cell r="C3966" t="str">
            <v>ML</v>
          </cell>
          <cell r="D3966">
            <v>232.04</v>
          </cell>
          <cell r="E3966">
            <v>1</v>
          </cell>
          <cell r="F3966">
            <v>266.846</v>
          </cell>
        </row>
        <row r="3967">
          <cell r="A3967" t="str">
            <v>MOJ01</v>
          </cell>
          <cell r="B3967" t="str">
            <v>Mojonera de 30 x 30 x 40 c/varilla terminada</v>
          </cell>
          <cell r="C3967" t="str">
            <v>PZA</v>
          </cell>
          <cell r="D3967">
            <v>87.015</v>
          </cell>
        </row>
        <row r="3967">
          <cell r="F3967">
            <v>100.06725</v>
          </cell>
        </row>
        <row r="3968">
          <cell r="A3968" t="str">
            <v>MOL01</v>
          </cell>
          <cell r="B3968" t="str">
            <v>Moldura altura hasta 40 cms, incluye cercha</v>
          </cell>
          <cell r="C3968" t="str">
            <v>ML</v>
          </cell>
          <cell r="D3968">
            <v>464.08</v>
          </cell>
        </row>
        <row r="3968">
          <cell r="F3968">
            <v>533.692</v>
          </cell>
        </row>
        <row r="3969">
          <cell r="A3969" t="str">
            <v>MOL02</v>
          </cell>
          <cell r="B3969" t="str">
            <v>Moldura en esquina ( remate ), altura hasta 40 cms</v>
          </cell>
          <cell r="C3969" t="str">
            <v>ML</v>
          </cell>
          <cell r="D3969">
            <v>464.08</v>
          </cell>
        </row>
        <row r="3969">
          <cell r="F3969">
            <v>533.692</v>
          </cell>
        </row>
        <row r="3970">
          <cell r="A3970" t="str">
            <v>MOL03</v>
          </cell>
          <cell r="B3970" t="str">
            <v>Moldura 10-15 cms espesor c/media caña</v>
          </cell>
          <cell r="C3970" t="str">
            <v>ML</v>
          </cell>
          <cell r="D3970">
            <v>139.224</v>
          </cell>
        </row>
        <row r="3970">
          <cell r="F3970">
            <v>160.1076</v>
          </cell>
        </row>
        <row r="3971">
          <cell r="A3971" t="str">
            <v>MSO1</v>
          </cell>
          <cell r="B3971" t="str">
            <v>Muro de soga de ladrillo</v>
          </cell>
          <cell r="C3971" t="str">
            <v>M2</v>
          </cell>
          <cell r="D3971">
            <v>92.816</v>
          </cell>
          <cell r="E3971">
            <v>1</v>
          </cell>
          <cell r="F3971">
            <v>106.7384</v>
          </cell>
        </row>
        <row r="3972">
          <cell r="A3972" t="str">
            <v>MSO2</v>
          </cell>
          <cell r="B3972" t="str">
            <v>Muro de soga de ladrillo 2a h.</v>
          </cell>
          <cell r="C3972" t="str">
            <v>M2</v>
          </cell>
          <cell r="D3972">
            <v>106.7384</v>
          </cell>
          <cell r="E3972">
            <v>1</v>
          </cell>
          <cell r="F3972">
            <v>122.74916</v>
          </cell>
        </row>
        <row r="3973">
          <cell r="A3973" t="str">
            <v>MSO3</v>
          </cell>
          <cell r="B3973" t="str">
            <v>Muro de soga en limpio 1 rostro</v>
          </cell>
          <cell r="C3973" t="str">
            <v>M2</v>
          </cell>
          <cell r="D3973">
            <v>109.913684210526</v>
          </cell>
          <cell r="E3973">
            <v>1</v>
          </cell>
          <cell r="F3973">
            <v>126.400736842105</v>
          </cell>
        </row>
        <row r="3974">
          <cell r="A3974" t="str">
            <v>MSO32a</v>
          </cell>
          <cell r="B3974" t="str">
            <v>Muro de soga en limpio 1 rostro a 2a h</v>
          </cell>
          <cell r="C3974" t="str">
            <v>M2</v>
          </cell>
          <cell r="D3974">
            <v>126.400736842105</v>
          </cell>
          <cell r="E3974">
            <v>1</v>
          </cell>
          <cell r="F3974">
            <v>145.360847368421</v>
          </cell>
        </row>
        <row r="3975">
          <cell r="A3975" t="str">
            <v>MSO33a</v>
          </cell>
          <cell r="B3975" t="str">
            <v>Muro de soga en limpio 1 rostro a 3a h</v>
          </cell>
          <cell r="C3975" t="str">
            <v>M2</v>
          </cell>
          <cell r="D3975">
            <v>145.360847368421</v>
          </cell>
          <cell r="E3975">
            <v>1</v>
          </cell>
          <cell r="F3975">
            <v>167.164974473684</v>
          </cell>
        </row>
        <row r="3976">
          <cell r="A3976" t="str">
            <v>MSO34a</v>
          </cell>
          <cell r="B3976" t="str">
            <v>Muro de soga en limpio 1 rostro a 4a h</v>
          </cell>
          <cell r="C3976" t="str">
            <v>M2</v>
          </cell>
          <cell r="D3976">
            <v>167.164974473684</v>
          </cell>
          <cell r="E3976">
            <v>1</v>
          </cell>
          <cell r="F3976">
            <v>192.239720644737</v>
          </cell>
        </row>
        <row r="3977">
          <cell r="A3977" t="str">
            <v>MSO4</v>
          </cell>
          <cell r="B3977" t="str">
            <v>Muro de soga en limpio 2 rostros</v>
          </cell>
          <cell r="C3977" t="str">
            <v>M2</v>
          </cell>
          <cell r="D3977">
            <v>139.224</v>
          </cell>
          <cell r="E3977">
            <v>1</v>
          </cell>
          <cell r="F3977">
            <v>160.1076</v>
          </cell>
        </row>
        <row r="3978">
          <cell r="A3978" t="str">
            <v>MSO2R</v>
          </cell>
          <cell r="B3978" t="str">
            <v>Muro de soga a 2 rostros en limpio</v>
          </cell>
          <cell r="C3978" t="str">
            <v>M2</v>
          </cell>
          <cell r="D3978">
            <v>158.764210526316</v>
          </cell>
          <cell r="E3978">
            <v>1</v>
          </cell>
          <cell r="F3978">
            <v>182.578842105263</v>
          </cell>
        </row>
        <row r="3979">
          <cell r="A3979" t="str">
            <v>MSO2R2</v>
          </cell>
          <cell r="B3979" t="str">
            <v>Muro de soga a 2 rostros en limpio en 2a h</v>
          </cell>
          <cell r="C3979" t="str">
            <v>M2</v>
          </cell>
          <cell r="D3979">
            <v>183.189473684211</v>
          </cell>
          <cell r="E3979">
            <v>1</v>
          </cell>
          <cell r="F3979">
            <v>210.667894736842</v>
          </cell>
        </row>
        <row r="3980">
          <cell r="A3980" t="str">
            <v>M262R</v>
          </cell>
          <cell r="B3980" t="str">
            <v>Muro de 26 cms espesor a 2 rostros en limpio</v>
          </cell>
          <cell r="C3980" t="str">
            <v>M2</v>
          </cell>
          <cell r="D3980">
            <v>219.827368421053</v>
          </cell>
          <cell r="E3980">
            <v>1</v>
          </cell>
          <cell r="F3980">
            <v>252.801473684211</v>
          </cell>
        </row>
        <row r="3981">
          <cell r="A3981" t="str">
            <v>M262R2</v>
          </cell>
          <cell r="B3981" t="str">
            <v>Muro de 26 cms espesor a 2 rostros en limpio en 2a h</v>
          </cell>
          <cell r="C3981" t="str">
            <v>M2</v>
          </cell>
          <cell r="D3981">
            <v>254.022736842105</v>
          </cell>
          <cell r="E3981">
            <v>1</v>
          </cell>
          <cell r="F3981">
            <v>292.126147368421</v>
          </cell>
        </row>
        <row r="3982">
          <cell r="A3982" t="str">
            <v>MTEZ1</v>
          </cell>
          <cell r="B3982" t="str">
            <v>Muro de tezon de ladrillo</v>
          </cell>
          <cell r="C3982" t="str">
            <v>M2</v>
          </cell>
          <cell r="D3982">
            <v>128.911111111111</v>
          </cell>
          <cell r="E3982">
            <v>1</v>
          </cell>
          <cell r="F3982">
            <v>148.247777777778</v>
          </cell>
        </row>
        <row r="3983">
          <cell r="A3983" t="str">
            <v>MTEZ2</v>
          </cell>
          <cell r="B3983" t="str">
            <v>Muro de tezon de ladrillo 2a h.</v>
          </cell>
          <cell r="C3983" t="str">
            <v>M2</v>
          </cell>
          <cell r="D3983">
            <v>148.247777777778</v>
          </cell>
          <cell r="E3983">
            <v>1</v>
          </cell>
          <cell r="F3983">
            <v>170.484944444444</v>
          </cell>
        </row>
        <row r="3984">
          <cell r="A3984" t="str">
            <v>MUSOG</v>
          </cell>
          <cell r="B3984" t="str">
            <v>Murete de soga de nivelacion en cimentaciones</v>
          </cell>
          <cell r="C3984" t="str">
            <v>ML</v>
          </cell>
          <cell r="D3984">
            <v>49.7228571428571</v>
          </cell>
          <cell r="E3984">
            <v>1</v>
          </cell>
          <cell r="F3984">
            <v>57.1812857142857</v>
          </cell>
        </row>
        <row r="3985">
          <cell r="A3985" t="str">
            <v>MUTEZ</v>
          </cell>
          <cell r="B3985" t="str">
            <v>Murete de tezon de nivelacion en cimentaciones</v>
          </cell>
          <cell r="C3985" t="str">
            <v>ML</v>
          </cell>
          <cell r="D3985">
            <v>99.4457142857143</v>
          </cell>
          <cell r="E3985">
            <v>1</v>
          </cell>
          <cell r="F3985">
            <v>114.362571428571</v>
          </cell>
        </row>
        <row r="3986">
          <cell r="A3986" t="str">
            <v>NIV01</v>
          </cell>
          <cell r="B3986" t="str">
            <v>Nivelacion de dado con pasta cemento</v>
          </cell>
          <cell r="C3986" t="str">
            <v>PZA</v>
          </cell>
          <cell r="D3986">
            <v>87.015</v>
          </cell>
        </row>
        <row r="3986">
          <cell r="F3986">
            <v>100.06725</v>
          </cell>
        </row>
        <row r="3987">
          <cell r="A3987" t="str">
            <v>NIV02</v>
          </cell>
          <cell r="B3987" t="str">
            <v>Nivelacion de muro de mamposteo esp. 80 cms</v>
          </cell>
          <cell r="C3987" t="str">
            <v>ML</v>
          </cell>
          <cell r="D3987">
            <v>63.2836363636364</v>
          </cell>
          <cell r="E3987">
            <v>1</v>
          </cell>
          <cell r="F3987">
            <v>72.7761818181818</v>
          </cell>
        </row>
        <row r="3988">
          <cell r="A3988" t="str">
            <v>NIV03</v>
          </cell>
          <cell r="B3988" t="str">
            <v>Nivelar muro de ladrillo</v>
          </cell>
          <cell r="C3988" t="str">
            <v>ML</v>
          </cell>
          <cell r="D3988">
            <v>34.806</v>
          </cell>
        </row>
        <row r="3988">
          <cell r="F3988">
            <v>40.0269</v>
          </cell>
        </row>
        <row r="3989">
          <cell r="A3989" t="str">
            <v>NIV04</v>
          </cell>
          <cell r="B3989" t="str">
            <v>Nivelar y recibir centro carga, resanado</v>
          </cell>
          <cell r="C3989" t="str">
            <v>PZA</v>
          </cell>
          <cell r="D3989">
            <v>232.04</v>
          </cell>
        </row>
        <row r="3989">
          <cell r="F3989">
            <v>266.846</v>
          </cell>
        </row>
        <row r="3990">
          <cell r="A3990" t="str">
            <v>NIV05</v>
          </cell>
          <cell r="B3990" t="str">
            <v>Nivelacion de tierra para piso de 5-15 esp.</v>
          </cell>
          <cell r="C3990" t="str">
            <v>M2</v>
          </cell>
          <cell r="D3990">
            <v>19.8891428571429</v>
          </cell>
        </row>
        <row r="3990">
          <cell r="F3990">
            <v>22.8725142857143</v>
          </cell>
        </row>
        <row r="3991">
          <cell r="A3991" t="str">
            <v>NIV06</v>
          </cell>
          <cell r="B3991" t="str">
            <v>Nivelacion de pisos con pasta para instalar vitropiso</v>
          </cell>
          <cell r="C3991" t="str">
            <v>M2</v>
          </cell>
          <cell r="D3991">
            <v>19.5402105263158</v>
          </cell>
        </row>
        <row r="3991">
          <cell r="F3991">
            <v>22.4712421052632</v>
          </cell>
        </row>
        <row r="3992">
          <cell r="A3992" t="str">
            <v>NIV20</v>
          </cell>
          <cell r="B3992" t="str">
            <v>Nivelacion de muro de 20 sobre dala intermedia</v>
          </cell>
          <cell r="C3992" t="str">
            <v>ML</v>
          </cell>
          <cell r="D3992">
            <v>87.015</v>
          </cell>
          <cell r="E3992">
            <v>1</v>
          </cell>
          <cell r="F3992">
            <v>100.06725</v>
          </cell>
        </row>
        <row r="3993">
          <cell r="A3993" t="str">
            <v>NIVSOG</v>
          </cell>
          <cell r="B3993" t="str">
            <v>Nivelacion de muro de soga sobre dala intermedia</v>
          </cell>
          <cell r="C3993" t="str">
            <v>ML</v>
          </cell>
          <cell r="D3993">
            <v>49.7228571428571</v>
          </cell>
          <cell r="E3993">
            <v>1</v>
          </cell>
          <cell r="F3993">
            <v>57.1812857142857</v>
          </cell>
        </row>
        <row r="3994">
          <cell r="A3994" t="str">
            <v>NOCT</v>
          </cell>
          <cell r="B3994" t="str">
            <v>Trabajo nocturno</v>
          </cell>
          <cell r="C3994" t="str">
            <v>LOTE</v>
          </cell>
          <cell r="D3994">
            <v>100</v>
          </cell>
        </row>
        <row r="3994">
          <cell r="F3994">
            <v>100</v>
          </cell>
        </row>
        <row r="3995">
          <cell r="A3995" t="str">
            <v>NUCKET</v>
          </cell>
          <cell r="B3995" t="str">
            <v>Nucket aplicado en resanes de piso</v>
          </cell>
          <cell r="C3995" t="str">
            <v>PZA</v>
          </cell>
          <cell r="D3995">
            <v>53.5476923076923</v>
          </cell>
        </row>
        <row r="3995">
          <cell r="F3995">
            <v>61.5798461538462</v>
          </cell>
        </row>
        <row r="3996">
          <cell r="A3996" t="str">
            <v>OFI01</v>
          </cell>
          <cell r="B3996" t="str">
            <v>Oficial por el dia</v>
          </cell>
          <cell r="C3996" t="str">
            <v>JORNAL</v>
          </cell>
          <cell r="D3996">
            <v>553.07</v>
          </cell>
        </row>
        <row r="3997">
          <cell r="A3997" t="str">
            <v>ORE01</v>
          </cell>
          <cell r="B3997" t="str">
            <v>Orejas de varillas para macizos acuñado</v>
          </cell>
          <cell r="C3997" t="str">
            <v>PZA</v>
          </cell>
          <cell r="D3997">
            <v>12.6567272727273</v>
          </cell>
        </row>
        <row r="3997">
          <cell r="F3997">
            <v>14.5552363636364</v>
          </cell>
        </row>
        <row r="3998">
          <cell r="A3998" t="str">
            <v>OVA01</v>
          </cell>
          <cell r="B3998" t="str">
            <v>Recibir ovalines por debajo de losa</v>
          </cell>
          <cell r="C3998" t="str">
            <v>PZA</v>
          </cell>
          <cell r="D3998">
            <v>69.612</v>
          </cell>
        </row>
        <row r="3998">
          <cell r="F3998">
            <v>80.0538</v>
          </cell>
        </row>
        <row r="3999">
          <cell r="A3999" t="str">
            <v>PALMA</v>
          </cell>
          <cell r="B3999" t="str">
            <v>Derribar palma con todo y raiz alt. 10.00 mts</v>
          </cell>
          <cell r="C3999" t="str">
            <v>PZA</v>
          </cell>
          <cell r="D3999">
            <v>696.12</v>
          </cell>
        </row>
        <row r="3999">
          <cell r="F3999">
            <v>800.538</v>
          </cell>
        </row>
        <row r="4000">
          <cell r="A4000" t="str">
            <v>PAS01</v>
          </cell>
          <cell r="B4000" t="str">
            <v>Pasada de boveda</v>
          </cell>
          <cell r="C4000" t="str">
            <v>PZA</v>
          </cell>
          <cell r="D4000">
            <v>87.015</v>
          </cell>
        </row>
        <row r="4000">
          <cell r="F4000">
            <v>100.06725</v>
          </cell>
        </row>
        <row r="4001">
          <cell r="A4001" t="str">
            <v>PAS02</v>
          </cell>
          <cell r="B4001" t="str">
            <v>Pasada de cimiento</v>
          </cell>
          <cell r="C4001" t="str">
            <v>PZA</v>
          </cell>
          <cell r="D4001">
            <v>232.04</v>
          </cell>
        </row>
        <row r="4001">
          <cell r="F4001">
            <v>266.846</v>
          </cell>
        </row>
        <row r="4002">
          <cell r="A4002" t="str">
            <v>PAS03</v>
          </cell>
          <cell r="B4002" t="str">
            <v>Pasada de muro o registro (p/tuberia)</v>
          </cell>
          <cell r="C4002" t="str">
            <v>PZA</v>
          </cell>
          <cell r="D4002">
            <v>38.6733333333333</v>
          </cell>
        </row>
        <row r="4002">
          <cell r="F4002">
            <v>44.4743333333333</v>
          </cell>
        </row>
        <row r="4003">
          <cell r="A4003" t="str">
            <v>PAS04</v>
          </cell>
          <cell r="B4003" t="str">
            <v>Pasada de concreto</v>
          </cell>
          <cell r="C4003" t="str">
            <v>PZA</v>
          </cell>
          <cell r="D4003">
            <v>88.8191387559809</v>
          </cell>
        </row>
        <row r="4003">
          <cell r="F4003">
            <v>102.142009569378</v>
          </cell>
        </row>
        <row r="4004">
          <cell r="A4004" t="str">
            <v>PAS05</v>
          </cell>
          <cell r="B4004" t="str">
            <v>Pasada de dala o castillo por ranuras de instalaciones</v>
          </cell>
          <cell r="C4004" t="str">
            <v>PZA</v>
          </cell>
          <cell r="D4004">
            <v>38.6733333333333</v>
          </cell>
        </row>
        <row r="4004">
          <cell r="F4004">
            <v>44.4743333333333</v>
          </cell>
        </row>
        <row r="4005">
          <cell r="A4005" t="str">
            <v>PEO01</v>
          </cell>
          <cell r="B4005" t="str">
            <v>Peon por el dia</v>
          </cell>
          <cell r="C4005" t="str">
            <v>JORNAL</v>
          </cell>
          <cell r="D4005">
            <v>307.25</v>
          </cell>
        </row>
        <row r="4005">
          <cell r="F4005">
            <v>248.8</v>
          </cell>
        </row>
        <row r="4006">
          <cell r="A4006" t="str">
            <v>PEOTEJ</v>
          </cell>
          <cell r="B4006" t="str">
            <v>Peon por el dia</v>
          </cell>
          <cell r="C4006" t="str">
            <v>JORNAL</v>
          </cell>
          <cell r="D4006">
            <v>250</v>
          </cell>
        </row>
        <row r="4006">
          <cell r="F4006">
            <v>250</v>
          </cell>
        </row>
        <row r="4007">
          <cell r="A4007" t="str">
            <v>PER01</v>
          </cell>
          <cell r="B4007" t="str">
            <v>Perfilar dala o castillo con mortero cemento</v>
          </cell>
          <cell r="C4007" t="str">
            <v>ML</v>
          </cell>
          <cell r="D4007">
            <v>34.806</v>
          </cell>
        </row>
        <row r="4007">
          <cell r="F4007">
            <v>40.0269</v>
          </cell>
        </row>
        <row r="4008">
          <cell r="A4008" t="str">
            <v>PER02</v>
          </cell>
          <cell r="B4008" t="str">
            <v>Perfilar caja de luz chalupa con mezcla o yeso</v>
          </cell>
          <cell r="C4008" t="str">
            <v>PZA</v>
          </cell>
          <cell r="D4008">
            <v>46.408</v>
          </cell>
        </row>
        <row r="4008">
          <cell r="F4008">
            <v>53.3692</v>
          </cell>
        </row>
        <row r="4009">
          <cell r="A4009" t="str">
            <v>PER03</v>
          </cell>
          <cell r="B4009" t="str">
            <v>Perfilar caja de luz en boveda tipo MAGG</v>
          </cell>
          <cell r="C4009" t="str">
            <v>PZA</v>
          </cell>
          <cell r="D4009">
            <v>73.2757894736842</v>
          </cell>
        </row>
        <row r="4009">
          <cell r="F4009">
            <v>84.2671578947368</v>
          </cell>
        </row>
        <row r="4010">
          <cell r="A4010" t="str">
            <v>PER04</v>
          </cell>
          <cell r="B4010" t="str">
            <v>Perfilar losa de concreto</v>
          </cell>
          <cell r="C4010" t="str">
            <v>M2</v>
          </cell>
          <cell r="D4010">
            <v>34.806</v>
          </cell>
        </row>
        <row r="4010">
          <cell r="F4010">
            <v>40.0269</v>
          </cell>
        </row>
        <row r="4011">
          <cell r="A4011" t="str">
            <v>PIC01</v>
          </cell>
          <cell r="B4011" t="str">
            <v>Picar piso para desplante de dala</v>
          </cell>
          <cell r="C4011" t="str">
            <v>ML</v>
          </cell>
          <cell r="D4011">
            <v>15.4693333333333</v>
          </cell>
        </row>
        <row r="4011">
          <cell r="F4011">
            <v>17.7897333333333</v>
          </cell>
        </row>
        <row r="4012">
          <cell r="A4012" t="str">
            <v>PIC02</v>
          </cell>
          <cell r="B4012" t="str">
            <v>Picar piso,boveda o muro p/media caña</v>
          </cell>
          <cell r="C4012" t="str">
            <v>ML</v>
          </cell>
          <cell r="D4012">
            <v>13.9224</v>
          </cell>
        </row>
        <row r="4012">
          <cell r="F4012">
            <v>16.01076</v>
          </cell>
        </row>
        <row r="4013">
          <cell r="A4013" t="str">
            <v>PIC03</v>
          </cell>
          <cell r="B4013" t="str">
            <v>Picar columna, dala o trabe</v>
          </cell>
          <cell r="C4013" t="str">
            <v>ML</v>
          </cell>
          <cell r="D4013">
            <v>23.204</v>
          </cell>
        </row>
        <row r="4013">
          <cell r="F4013">
            <v>26.6846</v>
          </cell>
        </row>
        <row r="4014">
          <cell r="A4014" t="str">
            <v>PIC04</v>
          </cell>
          <cell r="B4014" t="str">
            <v>Picar piso para preparar superficie</v>
          </cell>
          <cell r="C4014" t="str">
            <v>M2</v>
          </cell>
          <cell r="D4014">
            <v>46.408</v>
          </cell>
        </row>
        <row r="4014">
          <cell r="F4014">
            <v>53.3692</v>
          </cell>
        </row>
        <row r="4015">
          <cell r="A4015" t="str">
            <v>PIN.30</v>
          </cell>
          <cell r="B4015" t="str">
            <v>Preparacion y pintura de postes de malla y </v>
          </cell>
          <cell r="C4015" t="str">
            <v>PZA</v>
          </cell>
          <cell r="D4015">
            <v>31.5</v>
          </cell>
        </row>
        <row r="4015">
          <cell r="F4015">
            <v>36.225</v>
          </cell>
        </row>
        <row r="4016">
          <cell r="A4016" t="str">
            <v>PIN01</v>
          </cell>
          <cell r="B4016" t="str">
            <v>Preparacion y pintura de muros,bovedas o pisos</v>
          </cell>
          <cell r="C4016" t="str">
            <v>M2</v>
          </cell>
          <cell r="D4016">
            <v>15</v>
          </cell>
        </row>
        <row r="4016">
          <cell r="F4016">
            <v>17.25</v>
          </cell>
        </row>
        <row r="4017">
          <cell r="A4017" t="str">
            <v>PIN01-1</v>
          </cell>
          <cell r="B4017" t="str">
            <v>Preparacion y pintura de muros,bovedas o pisos</v>
          </cell>
          <cell r="C4017" t="str">
            <v>M2</v>
          </cell>
          <cell r="D4017">
            <v>15</v>
          </cell>
        </row>
        <row r="4017">
          <cell r="F4017">
            <v>17.25</v>
          </cell>
        </row>
        <row r="4018">
          <cell r="A4018" t="str">
            <v>PIN02</v>
          </cell>
          <cell r="B4018" t="str">
            <v>Trazo y pintura de zoclos y cenefas</v>
          </cell>
          <cell r="C4018" t="str">
            <v>ML</v>
          </cell>
          <cell r="D4018">
            <v>5.25</v>
          </cell>
        </row>
        <row r="4018">
          <cell r="F4018">
            <v>6.0375</v>
          </cell>
        </row>
        <row r="4019">
          <cell r="A4019" t="str">
            <v>PIN03</v>
          </cell>
          <cell r="B4019" t="str">
            <v>Pintura de tuberia con esmalte</v>
          </cell>
          <cell r="C4019" t="str">
            <v>ML</v>
          </cell>
          <cell r="D4019">
            <v>5.25</v>
          </cell>
        </row>
        <row r="4020">
          <cell r="A4020" t="str">
            <v>PIN04</v>
          </cell>
          <cell r="B4020" t="str">
            <v>Trazo y pintura de lineas de trafico en piso</v>
          </cell>
          <cell r="C4020" t="str">
            <v>ML</v>
          </cell>
          <cell r="D4020">
            <v>5.25</v>
          </cell>
        </row>
        <row r="4020">
          <cell r="F4020">
            <v>6.0375</v>
          </cell>
        </row>
        <row r="4021">
          <cell r="A4021" t="str">
            <v>PIN05</v>
          </cell>
          <cell r="B4021" t="str">
            <v>Lijar muros, lavar con thinner y mano extra</v>
          </cell>
          <cell r="C4021" t="str">
            <v>M2</v>
          </cell>
          <cell r="D4021">
            <v>5.25</v>
          </cell>
        </row>
        <row r="4021">
          <cell r="F4021">
            <v>6.0375</v>
          </cell>
        </row>
        <row r="4022">
          <cell r="A4022" t="str">
            <v>PIN06</v>
          </cell>
          <cell r="B4022" t="str">
            <v>Preparacion y pintura de estructuras de fierro</v>
          </cell>
          <cell r="C4022" t="str">
            <v>ML</v>
          </cell>
          <cell r="D4022">
            <v>5.775</v>
          </cell>
        </row>
        <row r="4022">
          <cell r="F4022">
            <v>6.64125</v>
          </cell>
        </row>
        <row r="4023">
          <cell r="A4023" t="str">
            <v>PIN07</v>
          </cell>
          <cell r="B4023" t="str">
            <v>Lijar muros y correr plaste, resane gral.</v>
          </cell>
          <cell r="C4023" t="str">
            <v>M2</v>
          </cell>
          <cell r="D4023">
            <v>5.25</v>
          </cell>
        </row>
        <row r="4023">
          <cell r="F4023">
            <v>6.0375</v>
          </cell>
        </row>
        <row r="4024">
          <cell r="A4024" t="str">
            <v>PIN08</v>
          </cell>
          <cell r="B4024" t="str">
            <v>Trazo y pintura numeros estacionamiento</v>
          </cell>
          <cell r="C4024" t="str">
            <v>PZA</v>
          </cell>
          <cell r="D4024">
            <v>21</v>
          </cell>
        </row>
        <row r="4024">
          <cell r="F4024">
            <v>24.15</v>
          </cell>
        </row>
        <row r="4025">
          <cell r="A4025" t="str">
            <v>PIN09</v>
          </cell>
          <cell r="B4025" t="str">
            <v>Pintura de tapas hidrantes contra incendio</v>
          </cell>
          <cell r="C4025" t="str">
            <v>PZA</v>
          </cell>
          <cell r="D4025">
            <v>36.75</v>
          </cell>
        </row>
        <row r="4025">
          <cell r="F4025">
            <v>42.2625</v>
          </cell>
        </row>
        <row r="4026">
          <cell r="A4026" t="str">
            <v>PIN10</v>
          </cell>
          <cell r="B4026" t="str">
            <v>Aplicar terracota en azotea a 2 manos</v>
          </cell>
          <cell r="C4026" t="str">
            <v>M2</v>
          </cell>
          <cell r="D4026">
            <v>12</v>
          </cell>
        </row>
        <row r="4026">
          <cell r="F4026">
            <v>13.8</v>
          </cell>
        </row>
        <row r="4027">
          <cell r="A4027" t="str">
            <v>PIN11</v>
          </cell>
          <cell r="B4027" t="str">
            <v>Pintura de numeros de lockers</v>
          </cell>
          <cell r="C4027" t="str">
            <v>PZA</v>
          </cell>
          <cell r="D4027">
            <v>5.775</v>
          </cell>
        </row>
        <row r="4027">
          <cell r="F4027">
            <v>6.64125</v>
          </cell>
        </row>
        <row r="4028">
          <cell r="A4028" t="str">
            <v>PIN12</v>
          </cell>
          <cell r="B4028" t="str">
            <v>Preparacion y pintura de lamparas</v>
          </cell>
          <cell r="C4028" t="str">
            <v>PZA</v>
          </cell>
          <cell r="D4028">
            <v>21</v>
          </cell>
        </row>
        <row r="4028">
          <cell r="F4028">
            <v>24.15</v>
          </cell>
        </row>
        <row r="4029">
          <cell r="A4029" t="str">
            <v>PINSOLE</v>
          </cell>
          <cell r="B4029" t="str">
            <v>Pintura de soleras de tension</v>
          </cell>
          <cell r="C4029" t="str">
            <v>ML</v>
          </cell>
          <cell r="D4029">
            <v>11.8125</v>
          </cell>
        </row>
        <row r="4029">
          <cell r="F4029">
            <v>13.584375</v>
          </cell>
        </row>
        <row r="4030">
          <cell r="A4030" t="str">
            <v>PIS3</v>
          </cell>
          <cell r="B4030" t="str">
            <v>Piso de cemento 3 cms espesor acabado pulido / apalillado</v>
          </cell>
          <cell r="C4030" t="str">
            <v>M2</v>
          </cell>
          <cell r="D4030">
            <v>38.6733333333333</v>
          </cell>
          <cell r="E4030">
            <v>1</v>
          </cell>
          <cell r="F4030">
            <v>44.4743333333333</v>
          </cell>
        </row>
        <row r="4031">
          <cell r="A4031" t="str">
            <v>PIS5</v>
          </cell>
          <cell r="B4031" t="str">
            <v>Piso de cemento 5 cms espesor acabado pulido / apalillado</v>
          </cell>
          <cell r="C4031" t="str">
            <v>M2</v>
          </cell>
          <cell r="D4031">
            <v>49.7228571428571</v>
          </cell>
          <cell r="E4031">
            <v>1</v>
          </cell>
          <cell r="F4031">
            <v>57.1812857142857</v>
          </cell>
        </row>
        <row r="4032">
          <cell r="A4032" t="str">
            <v>PIS08</v>
          </cell>
          <cell r="B4032" t="str">
            <v>Piso de cemento 8 cms espesor repellado</v>
          </cell>
          <cell r="C4032" t="str">
            <v>M2</v>
          </cell>
          <cell r="D4032">
            <v>59.4974358974359</v>
          </cell>
          <cell r="E4032">
            <v>1</v>
          </cell>
          <cell r="F4032">
            <v>68.4220512820513</v>
          </cell>
        </row>
        <row r="4033">
          <cell r="A4033" t="str">
            <v>PIS7</v>
          </cell>
          <cell r="B4033" t="str">
            <v>Piso de cemento 7 cms espesor acabado pulido / apalillado</v>
          </cell>
          <cell r="C4033" t="str">
            <v>M2</v>
          </cell>
          <cell r="D4033">
            <v>69.612</v>
          </cell>
          <cell r="E4033">
            <v>1</v>
          </cell>
          <cell r="F4033">
            <v>80.0538</v>
          </cell>
        </row>
        <row r="4034">
          <cell r="A4034" t="str">
            <v>PIS72</v>
          </cell>
          <cell r="B4034" t="str">
            <v>Piso de cemento 7 cms espesor acabado pulido / apalillado a 2a h</v>
          </cell>
          <cell r="C4034" t="str">
            <v>M2</v>
          </cell>
          <cell r="D4034">
            <v>80.0538</v>
          </cell>
          <cell r="E4034">
            <v>1</v>
          </cell>
          <cell r="F4034">
            <v>92.06187</v>
          </cell>
        </row>
        <row r="4035">
          <cell r="A4035" t="str">
            <v>PISGRA</v>
          </cell>
          <cell r="B4035" t="str">
            <v>Piso de concreto /granito deslavado incluye malla y cimbra</v>
          </cell>
          <cell r="C4035" t="str">
            <v>M2</v>
          </cell>
          <cell r="D4035">
            <v>139.224</v>
          </cell>
          <cell r="E4035">
            <v>1</v>
          </cell>
          <cell r="F4035">
            <v>160.1076</v>
          </cell>
        </row>
        <row r="4036">
          <cell r="A4036" t="str">
            <v>PLA01</v>
          </cell>
          <cell r="B4036" t="str">
            <v>Plantilla de piedra esp. 20 cms promedio</v>
          </cell>
          <cell r="C4036" t="str">
            <v>M2</v>
          </cell>
          <cell r="D4036">
            <v>58.01</v>
          </cell>
          <cell r="E4036">
            <v>1</v>
          </cell>
          <cell r="F4036">
            <v>66.7115</v>
          </cell>
        </row>
        <row r="4037">
          <cell r="A4037" t="str">
            <v>PLA10</v>
          </cell>
          <cell r="B4037" t="str">
            <v>Plantilla de concreto pobre esp. 10 cms</v>
          </cell>
          <cell r="C4037" t="str">
            <v>M2</v>
          </cell>
          <cell r="D4037">
            <v>46.408</v>
          </cell>
          <cell r="E4037">
            <v>1</v>
          </cell>
          <cell r="F4037">
            <v>53.3692</v>
          </cell>
        </row>
        <row r="4038">
          <cell r="A4038" t="str">
            <v>PLA5</v>
          </cell>
          <cell r="B4038" t="str">
            <v>Plantilla de concreto pobre esp. 5 cms</v>
          </cell>
          <cell r="C4038" t="str">
            <v>M2</v>
          </cell>
          <cell r="D4038">
            <v>23.204</v>
          </cell>
          <cell r="E4038">
            <v>1</v>
          </cell>
          <cell r="F4038">
            <v>26.6846</v>
          </cell>
        </row>
        <row r="4039">
          <cell r="A4039" t="str">
            <v>PLA7</v>
          </cell>
          <cell r="B4039" t="str">
            <v>Plantilla de concreto pobre esp. 7 cms</v>
          </cell>
          <cell r="C4039" t="str">
            <v>M2</v>
          </cell>
          <cell r="D4039">
            <v>27.8448</v>
          </cell>
          <cell r="E4039">
            <v>1</v>
          </cell>
          <cell r="F4039">
            <v>32.02152</v>
          </cell>
        </row>
        <row r="4040">
          <cell r="A4040" t="str">
            <v>PLAS</v>
          </cell>
          <cell r="B4040" t="str">
            <v>Colocar plastico en muros o piso</v>
          </cell>
          <cell r="C4040" t="str">
            <v>M2</v>
          </cell>
          <cell r="D4040">
            <v>3.86733333333333</v>
          </cell>
        </row>
        <row r="4040">
          <cell r="F4040">
            <v>4.44743333333333</v>
          </cell>
        </row>
        <row r="4041">
          <cell r="A4041" t="str">
            <v>PODA</v>
          </cell>
          <cell r="B4041" t="str">
            <v>Poda de arbol diametro de 10 a 30 cms c/desenraice</v>
          </cell>
          <cell r="C4041" t="str">
            <v>PZA</v>
          </cell>
          <cell r="D4041">
            <v>187.260350877193</v>
          </cell>
        </row>
        <row r="4041">
          <cell r="F4041">
            <v>215.349403508772</v>
          </cell>
        </row>
        <row r="4042">
          <cell r="A4042" t="str">
            <v>PORCE</v>
          </cell>
          <cell r="B4042" t="str">
            <v>Instalacion de porcelanato en muros y pisos</v>
          </cell>
          <cell r="C4042" t="str">
            <v>M2</v>
          </cell>
          <cell r="D4042">
            <v>100</v>
          </cell>
        </row>
        <row r="4042">
          <cell r="F4042">
            <v>115</v>
          </cell>
        </row>
        <row r="4043">
          <cell r="A4043" t="str">
            <v>POSTE</v>
          </cell>
          <cell r="B4043" t="str">
            <v>Recibir poste de cedula  30 para puerta acceso</v>
          </cell>
          <cell r="C4043" t="str">
            <v>PZA</v>
          </cell>
          <cell r="D4043">
            <v>278.448</v>
          </cell>
        </row>
        <row r="4043">
          <cell r="F4043">
            <v>320.2152</v>
          </cell>
        </row>
        <row r="4044">
          <cell r="A4044" t="str">
            <v>POZO</v>
          </cell>
          <cell r="B4044" t="str">
            <v>Pozo de visita terminado diametro inf. 1.20 y sup. 0.60</v>
          </cell>
          <cell r="C4044" t="str">
            <v>ML</v>
          </cell>
          <cell r="D4044">
            <v>777.167464114833</v>
          </cell>
        </row>
        <row r="4044">
          <cell r="F4044">
            <v>893.742583732057</v>
          </cell>
        </row>
        <row r="4045">
          <cell r="A4045" t="str">
            <v>PRE20</v>
          </cell>
          <cell r="B4045" t="str">
            <v>Pretil de muro 20 alt. 70 cms c/ acarreo y nivelacion</v>
          </cell>
          <cell r="C4045" t="str">
            <v>ML</v>
          </cell>
          <cell r="D4045">
            <v>87.015</v>
          </cell>
          <cell r="E4045">
            <v>1</v>
          </cell>
          <cell r="F4045">
            <v>100.06725</v>
          </cell>
        </row>
        <row r="4046">
          <cell r="A4046" t="str">
            <v>PRE25</v>
          </cell>
          <cell r="B4046" t="str">
            <v>Pretil de muro de 25 hasta 70 cms altura</v>
          </cell>
          <cell r="C4046" t="str">
            <v>ML</v>
          </cell>
          <cell r="D4046">
            <v>107.095384615385</v>
          </cell>
          <cell r="E4046">
            <v>1</v>
          </cell>
          <cell r="F4046">
            <v>123.159692307692</v>
          </cell>
        </row>
        <row r="4047">
          <cell r="A4047" t="str">
            <v>PRECA</v>
          </cell>
          <cell r="B4047" t="str">
            <v>Pretil de muro capuchino alt. 70 cms c/ acarreo y nivelacion</v>
          </cell>
          <cell r="C4047" t="str">
            <v>ML</v>
          </cell>
          <cell r="D4047">
            <v>63.2836363636364</v>
          </cell>
          <cell r="E4047">
            <v>1</v>
          </cell>
          <cell r="F4047">
            <v>72.7761818181818</v>
          </cell>
        </row>
        <row r="4048">
          <cell r="A4048" t="str">
            <v>PRESO</v>
          </cell>
          <cell r="B4048" t="str">
            <v>Pretil de muro soga alt. 70 cms</v>
          </cell>
          <cell r="C4048" t="str">
            <v>ML</v>
          </cell>
          <cell r="D4048">
            <v>49.7228571428571</v>
          </cell>
          <cell r="E4048">
            <v>1</v>
          </cell>
          <cell r="F4048">
            <v>57.1812857142857</v>
          </cell>
        </row>
        <row r="4049">
          <cell r="A4049" t="str">
            <v>PRETE</v>
          </cell>
          <cell r="B4049" t="str">
            <v>Pretil de muro tezon alt. 70 cms</v>
          </cell>
          <cell r="C4049" t="str">
            <v>ML</v>
          </cell>
          <cell r="D4049">
            <v>99.4457142857143</v>
          </cell>
          <cell r="E4049">
            <v>1</v>
          </cell>
          <cell r="F4049">
            <v>114.362571428571</v>
          </cell>
        </row>
        <row r="4050">
          <cell r="A4050" t="str">
            <v>PUL01</v>
          </cell>
          <cell r="B4050" t="str">
            <v>Pulido de piso con maquina</v>
          </cell>
          <cell r="C4050" t="str">
            <v>M2</v>
          </cell>
          <cell r="D4050">
            <v>23.204</v>
          </cell>
        </row>
        <row r="4050">
          <cell r="F4050">
            <v>26.6846</v>
          </cell>
        </row>
        <row r="4051">
          <cell r="A4051" t="str">
            <v>RAJU</v>
          </cell>
          <cell r="B4051" t="str">
            <v>Instalacion de piedrita rajuela en muro de piedra</v>
          </cell>
          <cell r="C4051" t="str">
            <v>M2</v>
          </cell>
          <cell r="D4051">
            <v>168.55205811138</v>
          </cell>
        </row>
        <row r="4051">
          <cell r="F4051">
            <v>193.834866828087</v>
          </cell>
        </row>
        <row r="4052">
          <cell r="A4052" t="str">
            <v>RAJUELA</v>
          </cell>
          <cell r="B4052" t="str">
            <v>Muro de piedra de rajuela </v>
          </cell>
          <cell r="C4052" t="str">
            <v>M2</v>
          </cell>
          <cell r="D4052">
            <v>899.37984496124</v>
          </cell>
        </row>
        <row r="4052">
          <cell r="F4052">
            <v>1034.28682170543</v>
          </cell>
        </row>
        <row r="4053">
          <cell r="A4053" t="str">
            <v>RASPT</v>
          </cell>
          <cell r="B4053" t="str">
            <v>Raspado de tecata de lechada de cemento suelta sobre ladrillo</v>
          </cell>
          <cell r="C4053" t="str">
            <v>M2</v>
          </cell>
          <cell r="D4053">
            <v>7.82157303370787</v>
          </cell>
        </row>
        <row r="4053">
          <cell r="F4053">
            <v>8.99480898876404</v>
          </cell>
        </row>
        <row r="4054">
          <cell r="A4054" t="str">
            <v>REB01</v>
          </cell>
          <cell r="B4054" t="str">
            <v>Rebajar castillo, dala</v>
          </cell>
          <cell r="C4054" t="str">
            <v>ML</v>
          </cell>
          <cell r="D4054">
            <v>53.5476923076923</v>
          </cell>
        </row>
        <row r="4054">
          <cell r="F4054">
            <v>61.5798461538462</v>
          </cell>
        </row>
        <row r="4055">
          <cell r="A4055" t="str">
            <v>REB02</v>
          </cell>
          <cell r="B4055" t="str">
            <v>Rebajar trabe de concreto marro y cincel</v>
          </cell>
          <cell r="C4055" t="str">
            <v>ML</v>
          </cell>
          <cell r="D4055">
            <v>116.02</v>
          </cell>
        </row>
        <row r="4055">
          <cell r="F4055">
            <v>133.423</v>
          </cell>
        </row>
        <row r="4056">
          <cell r="A4056" t="str">
            <v>REC01</v>
          </cell>
          <cell r="B4056" t="str">
            <v>Recibir caja con chalupa</v>
          </cell>
          <cell r="C4056" t="str">
            <v>PZA</v>
          </cell>
          <cell r="D4056">
            <v>34.806</v>
          </cell>
          <cell r="E4056">
            <v>1</v>
          </cell>
          <cell r="F4056">
            <v>40.0269</v>
          </cell>
        </row>
        <row r="4057">
          <cell r="A4057" t="str">
            <v>REC02</v>
          </cell>
          <cell r="B4057" t="str">
            <v>Recibir cespol con revoltura</v>
          </cell>
          <cell r="C4057" t="str">
            <v>PZA</v>
          </cell>
          <cell r="D4057">
            <v>77.3466666666667</v>
          </cell>
          <cell r="E4057">
            <v>1</v>
          </cell>
          <cell r="F4057">
            <v>88.9486666666667</v>
          </cell>
        </row>
        <row r="4058">
          <cell r="A4058" t="str">
            <v>REC03</v>
          </cell>
          <cell r="B4058" t="str">
            <v>Recibir contramarco de registro</v>
          </cell>
          <cell r="C4058" t="str">
            <v>PZA</v>
          </cell>
          <cell r="D4058">
            <v>87.015</v>
          </cell>
        </row>
        <row r="4058">
          <cell r="F4058">
            <v>100.06725</v>
          </cell>
        </row>
        <row r="4059">
          <cell r="A4059" t="str">
            <v>REC04</v>
          </cell>
          <cell r="B4059" t="str">
            <v>Recibir placa o ancla en dado p/columna</v>
          </cell>
          <cell r="C4059" t="str">
            <v>PZA</v>
          </cell>
          <cell r="D4059">
            <v>174.03</v>
          </cell>
        </row>
        <row r="4059">
          <cell r="F4059">
            <v>200.1345</v>
          </cell>
        </row>
        <row r="4060">
          <cell r="A4060" t="str">
            <v>REC05</v>
          </cell>
          <cell r="B4060" t="str">
            <v>Recibir tuberia o poliducto</v>
          </cell>
          <cell r="C4060" t="str">
            <v>ML</v>
          </cell>
          <cell r="D4060">
            <v>13.9224</v>
          </cell>
        </row>
        <row r="4060">
          <cell r="F4060">
            <v>16.01076</v>
          </cell>
        </row>
        <row r="4061">
          <cell r="A4061" t="str">
            <v>REC06</v>
          </cell>
          <cell r="B4061" t="str">
            <v>Recibir tubo de drenaje 10 "</v>
          </cell>
          <cell r="C4061" t="str">
            <v>ML</v>
          </cell>
          <cell r="D4061">
            <v>46.408</v>
          </cell>
        </row>
        <row r="4061">
          <cell r="F4061">
            <v>53.3692</v>
          </cell>
        </row>
        <row r="4062">
          <cell r="A4062" t="str">
            <v>REC07</v>
          </cell>
          <cell r="B4062" t="str">
            <v>Recibir tubo de drenaje 4 "</v>
          </cell>
          <cell r="C4062" t="str">
            <v>ML</v>
          </cell>
          <cell r="D4062">
            <v>23.204</v>
          </cell>
        </row>
        <row r="4062">
          <cell r="F4062">
            <v>26.6846</v>
          </cell>
        </row>
        <row r="4063">
          <cell r="A4063" t="str">
            <v>REC08</v>
          </cell>
          <cell r="B4063" t="str">
            <v>Recibir tubo de drenaje 6 "</v>
          </cell>
          <cell r="C4063" t="str">
            <v>ML</v>
          </cell>
          <cell r="D4063">
            <v>27.8448</v>
          </cell>
        </row>
        <row r="4063">
          <cell r="F4063">
            <v>32.02152</v>
          </cell>
        </row>
        <row r="4064">
          <cell r="A4064" t="str">
            <v>REC09</v>
          </cell>
          <cell r="B4064" t="str">
            <v>Recibir tubo de drenaje 8 "</v>
          </cell>
          <cell r="C4064" t="str">
            <v>ML</v>
          </cell>
          <cell r="D4064">
            <v>34.806</v>
          </cell>
        </row>
        <row r="4064">
          <cell r="F4064">
            <v>40.0269</v>
          </cell>
        </row>
        <row r="4065">
          <cell r="A4065" t="str">
            <v>REC10</v>
          </cell>
          <cell r="B4065" t="str">
            <v>Recibir viga de acero sobre macizo</v>
          </cell>
          <cell r="C4065" t="str">
            <v>PZA</v>
          </cell>
          <cell r="D4065">
            <v>77.3466666666667</v>
          </cell>
        </row>
        <row r="4065">
          <cell r="F4065">
            <v>88.9486666666667</v>
          </cell>
        </row>
        <row r="4066">
          <cell r="A4066" t="str">
            <v>REC11</v>
          </cell>
          <cell r="B4066" t="str">
            <v>Recorte de enjarre muros o bovedas</v>
          </cell>
          <cell r="C4066" t="str">
            <v>ML</v>
          </cell>
          <cell r="D4066">
            <v>9.77010526315789</v>
          </cell>
        </row>
        <row r="4066">
          <cell r="F4066">
            <v>11.2356210526316</v>
          </cell>
        </row>
        <row r="4067">
          <cell r="A4067" t="str">
            <v>REC12</v>
          </cell>
          <cell r="B4067" t="str">
            <v>Recibir placa para anclado barandal</v>
          </cell>
          <cell r="C4067" t="str">
            <v>PZA</v>
          </cell>
          <cell r="D4067">
            <v>58.01</v>
          </cell>
          <cell r="E4067">
            <v>1</v>
          </cell>
          <cell r="F4067">
            <v>66.7115</v>
          </cell>
        </row>
        <row r="4068">
          <cell r="A4068" t="str">
            <v>RECRES</v>
          </cell>
          <cell r="B4068" t="str">
            <v>Recibir y resanar ranura de poliducto en muro o piso</v>
          </cell>
          <cell r="C4068" t="str">
            <v>ML</v>
          </cell>
          <cell r="D4068">
            <v>23.3989915966387</v>
          </cell>
          <cell r="E4068">
            <v>1</v>
          </cell>
          <cell r="F4068">
            <v>26.9088403361345</v>
          </cell>
        </row>
        <row r="4069">
          <cell r="A4069" t="str">
            <v>REG01</v>
          </cell>
          <cell r="B4069" t="str">
            <v>Registro sanitario terminado alt hasta 1.50 con plantilla</v>
          </cell>
          <cell r="C4069" t="str">
            <v>PZA</v>
          </cell>
          <cell r="D4069">
            <v>556.896</v>
          </cell>
        </row>
        <row r="4069">
          <cell r="F4069">
            <v>640.4304</v>
          </cell>
        </row>
        <row r="4070">
          <cell r="A4070" t="str">
            <v>REG02</v>
          </cell>
          <cell r="B4070" t="str">
            <v>Registro caja arenera terminado incluye plantilla</v>
          </cell>
          <cell r="C4070" t="str">
            <v>PZA</v>
          </cell>
          <cell r="D4070">
            <v>397.782857142857</v>
          </cell>
        </row>
        <row r="4070">
          <cell r="F4070">
            <v>457.450285714286</v>
          </cell>
        </row>
        <row r="4071">
          <cell r="A4071" t="str">
            <v>REG03</v>
          </cell>
          <cell r="B4071" t="str">
            <v>Registro caja arenera con trampa central</v>
          </cell>
          <cell r="C4071" t="str">
            <v>PZA</v>
          </cell>
          <cell r="D4071">
            <v>732.757894736842</v>
          </cell>
        </row>
        <row r="4071">
          <cell r="F4071">
            <v>842.671578947368</v>
          </cell>
        </row>
        <row r="4072">
          <cell r="A4072" t="str">
            <v>RELL01</v>
          </cell>
          <cell r="B4072" t="str">
            <v>Relleno con grava</v>
          </cell>
          <cell r="C4072" t="str">
            <v>M3</v>
          </cell>
          <cell r="D4072">
            <v>46.408</v>
          </cell>
        </row>
        <row r="4072">
          <cell r="F4072">
            <v>53.3692</v>
          </cell>
        </row>
        <row r="4073">
          <cell r="A4073" t="str">
            <v>RELL02</v>
          </cell>
          <cell r="B4073" t="str">
            <v>Relleno con jalcreto</v>
          </cell>
          <cell r="C4073" t="str">
            <v>M3</v>
          </cell>
          <cell r="D4073">
            <v>232.04</v>
          </cell>
          <cell r="E4073">
            <v>1</v>
          </cell>
          <cell r="F4073">
            <v>266.846</v>
          </cell>
        </row>
        <row r="4074">
          <cell r="A4074" t="str">
            <v>RELL03</v>
          </cell>
          <cell r="B4074" t="str">
            <v>Relleno c/ material producto excavacion a cada 20 cms</v>
          </cell>
          <cell r="C4074" t="str">
            <v>M3</v>
          </cell>
          <cell r="D4074">
            <v>40.9482352941176</v>
          </cell>
        </row>
        <row r="4074">
          <cell r="F4074">
            <v>47.0904705882353</v>
          </cell>
        </row>
        <row r="4075">
          <cell r="A4075" t="str">
            <v>RELL04</v>
          </cell>
          <cell r="B4075" t="str">
            <v>Relleno con suelo cemento batido a mano y compactado</v>
          </cell>
          <cell r="C4075" t="str">
            <v>M3</v>
          </cell>
          <cell r="D4075">
            <v>151.002169197397</v>
          </cell>
        </row>
        <row r="4075">
          <cell r="F4075">
            <v>173.652494577007</v>
          </cell>
        </row>
        <row r="4076">
          <cell r="A4076" t="str">
            <v>RELL05</v>
          </cell>
          <cell r="B4076" t="str">
            <v>Relleno con suelo cemento batido a mano y compactado con pizon</v>
          </cell>
          <cell r="C4076" t="str">
            <v>M3</v>
          </cell>
          <cell r="D4076">
            <v>166.535885167464</v>
          </cell>
        </row>
        <row r="4076">
          <cell r="F4076">
            <v>191.516267942584</v>
          </cell>
        </row>
        <row r="4077">
          <cell r="A4077" t="str">
            <v>RELLT</v>
          </cell>
          <cell r="B4077" t="str">
            <v>Relleno de cepas y zapatas con tepetate capas 20 cms</v>
          </cell>
          <cell r="C4077" t="str">
            <v>M3</v>
          </cell>
          <cell r="D4077">
            <v>116.02</v>
          </cell>
        </row>
        <row r="4077">
          <cell r="F4077">
            <v>133.423</v>
          </cell>
        </row>
        <row r="4078">
          <cell r="A4078" t="str">
            <v>RELLZAP</v>
          </cell>
          <cell r="B4078" t="str">
            <v>Relleno de zapatas con suelo cemento batido capas 20 cms</v>
          </cell>
          <cell r="C4078" t="str">
            <v>M3</v>
          </cell>
          <cell r="D4078">
            <v>151.002169197397</v>
          </cell>
        </row>
        <row r="4078">
          <cell r="F4078">
            <v>173.652494577007</v>
          </cell>
        </row>
        <row r="4079">
          <cell r="A4079" t="str">
            <v>REN01</v>
          </cell>
          <cell r="B4079" t="str">
            <v>Cimiento renchido de 0.00-1.50</v>
          </cell>
          <cell r="C4079" t="str">
            <v>M3</v>
          </cell>
          <cell r="D4079">
            <v>232.04</v>
          </cell>
          <cell r="E4079">
            <v>1</v>
          </cell>
          <cell r="F4079">
            <v>266.846</v>
          </cell>
        </row>
        <row r="4080">
          <cell r="A4080" t="str">
            <v>REN02</v>
          </cell>
          <cell r="B4080" t="str">
            <v>Cimiento renchido de 1.50-3.00</v>
          </cell>
          <cell r="C4080" t="str">
            <v>M3</v>
          </cell>
          <cell r="D4080">
            <v>325.289719626168</v>
          </cell>
          <cell r="E4080">
            <v>1</v>
          </cell>
          <cell r="F4080">
            <v>374.083177570093</v>
          </cell>
        </row>
        <row r="4081">
          <cell r="A4081" t="str">
            <v>REP01</v>
          </cell>
          <cell r="B4081" t="str">
            <v>Repatinar viga</v>
          </cell>
          <cell r="C4081" t="str">
            <v>ML</v>
          </cell>
          <cell r="D4081">
            <v>11.602</v>
          </cell>
          <cell r="E4081">
            <v>1</v>
          </cell>
          <cell r="F4081">
            <v>13.3423</v>
          </cell>
        </row>
        <row r="4082">
          <cell r="A4082" t="str">
            <v>REP02</v>
          </cell>
          <cell r="B4082" t="str">
            <v>Repellado de hormigon, piso o concreto c/lechada</v>
          </cell>
          <cell r="C4082" t="str">
            <v>M2</v>
          </cell>
          <cell r="D4082">
            <v>23.204</v>
          </cell>
          <cell r="E4082">
            <v>1</v>
          </cell>
          <cell r="F4082">
            <v>26.6846</v>
          </cell>
        </row>
        <row r="4083">
          <cell r="A4083" t="str">
            <v>REP03</v>
          </cell>
          <cell r="B4083" t="str">
            <v>Repizon esp. 15 cms con colado y perfilado</v>
          </cell>
          <cell r="C4083" t="str">
            <v>ML</v>
          </cell>
          <cell r="D4083">
            <v>348.06</v>
          </cell>
          <cell r="E4083">
            <v>1</v>
          </cell>
          <cell r="F4083">
            <v>400.269</v>
          </cell>
        </row>
        <row r="4084">
          <cell r="A4084" t="str">
            <v>REP03C</v>
          </cell>
          <cell r="B4084" t="str">
            <v>Repizon esp. 25 cms con colado y perfilado en cocinas</v>
          </cell>
          <cell r="C4084" t="str">
            <v>ML</v>
          </cell>
          <cell r="D4084">
            <v>348.06</v>
          </cell>
          <cell r="E4084">
            <v>1</v>
          </cell>
          <cell r="F4084">
            <v>400.269</v>
          </cell>
        </row>
        <row r="4085">
          <cell r="A4085" t="str">
            <v>RESID</v>
          </cell>
          <cell r="B4085" t="str">
            <v>RESIDENCIA DE OBRA</v>
          </cell>
          <cell r="C4085" t="str">
            <v>LOTE</v>
          </cell>
          <cell r="D4085">
            <v>100</v>
          </cell>
        </row>
        <row r="4086">
          <cell r="A4086" t="str">
            <v>RES01</v>
          </cell>
          <cell r="B4086" t="str">
            <v>Resane de enjarre por ranuras</v>
          </cell>
          <cell r="C4086" t="str">
            <v>ML</v>
          </cell>
          <cell r="D4086">
            <v>17.403</v>
          </cell>
          <cell r="E4086">
            <v>1</v>
          </cell>
          <cell r="F4086">
            <v>20.01345</v>
          </cell>
        </row>
        <row r="4087">
          <cell r="A4087" t="str">
            <v>SABT</v>
          </cell>
          <cell r="B4087" t="str">
            <v>Sabado por la tarde</v>
          </cell>
          <cell r="C4087" t="str">
            <v>LOTE</v>
          </cell>
          <cell r="D4087">
            <v>100</v>
          </cell>
        </row>
        <row r="4087">
          <cell r="F4087">
            <v>100</v>
          </cell>
        </row>
        <row r="4088">
          <cell r="A4088" t="str">
            <v>SAR01</v>
          </cell>
          <cell r="B4088" t="str">
            <v>Sardinel cimbrado ,colado y perfilado</v>
          </cell>
          <cell r="C4088" t="str">
            <v>ML</v>
          </cell>
          <cell r="D4088">
            <v>174.03</v>
          </cell>
          <cell r="E4088">
            <v>1</v>
          </cell>
          <cell r="F4088">
            <v>200.1345</v>
          </cell>
        </row>
        <row r="4089">
          <cell r="A4089" t="str">
            <v>SAR02</v>
          </cell>
          <cell r="B4089" t="str">
            <v>Sarpeo de boveda</v>
          </cell>
          <cell r="C4089" t="str">
            <v>M2</v>
          </cell>
          <cell r="D4089">
            <v>27.8448</v>
          </cell>
          <cell r="E4089">
            <v>1</v>
          </cell>
          <cell r="F4089">
            <v>32.02152</v>
          </cell>
        </row>
        <row r="4090">
          <cell r="A4090" t="str">
            <v>SAR03</v>
          </cell>
          <cell r="B4090" t="str">
            <v>Sarpeo de dalas y castillos</v>
          </cell>
          <cell r="C4090" t="str">
            <v>ML</v>
          </cell>
          <cell r="D4090">
            <v>7.73466666666667</v>
          </cell>
          <cell r="E4090">
            <v>1</v>
          </cell>
          <cell r="F4090">
            <v>8.89486666666667</v>
          </cell>
        </row>
        <row r="4091">
          <cell r="A4091" t="str">
            <v>SAR04</v>
          </cell>
          <cell r="B4091" t="str">
            <v>Sarpeo de muro con cemento</v>
          </cell>
          <cell r="C4091" t="str">
            <v>M2</v>
          </cell>
          <cell r="D4091">
            <v>18.5632</v>
          </cell>
          <cell r="E4091">
            <v>1</v>
          </cell>
          <cell r="F4091">
            <v>21.34768</v>
          </cell>
        </row>
        <row r="4092">
          <cell r="A4092" t="str">
            <v>SAR04f</v>
          </cell>
          <cell r="B4092" t="str">
            <v>Sarpeo de muro con manoseo para cubrir porocidad</v>
          </cell>
          <cell r="C4092" t="str">
            <v>M2</v>
          </cell>
          <cell r="D4092">
            <v>26.7738461538462</v>
          </cell>
          <cell r="E4092">
            <v>1</v>
          </cell>
          <cell r="F4092">
            <v>30.7899230769231</v>
          </cell>
        </row>
        <row r="4093">
          <cell r="A4093" t="str">
            <v>SAR05</v>
          </cell>
          <cell r="B4093" t="str">
            <v>Sarpeo de panel</v>
          </cell>
          <cell r="C4093" t="str">
            <v>M2</v>
          </cell>
          <cell r="D4093">
            <v>23.204</v>
          </cell>
          <cell r="E4093">
            <v>1</v>
          </cell>
          <cell r="F4093">
            <v>26.6846</v>
          </cell>
        </row>
        <row r="4094">
          <cell r="A4094" t="str">
            <v>SAR06</v>
          </cell>
          <cell r="B4094" t="str">
            <v>Sarpeo de vigas</v>
          </cell>
          <cell r="C4094" t="str">
            <v>ML</v>
          </cell>
          <cell r="D4094">
            <v>11.602</v>
          </cell>
          <cell r="E4094">
            <v>1</v>
          </cell>
          <cell r="F4094">
            <v>13.3423</v>
          </cell>
        </row>
        <row r="4095">
          <cell r="A4095" t="str">
            <v>SAR07</v>
          </cell>
          <cell r="B4095" t="str">
            <v>sarpeo de columnas o vigas con crest y festerbond</v>
          </cell>
          <cell r="C4095" t="str">
            <v>ML</v>
          </cell>
          <cell r="D4095">
            <v>7.73466666666667</v>
          </cell>
          <cell r="E4095">
            <v>1</v>
          </cell>
          <cell r="F4095">
            <v>8.89486666666667</v>
          </cell>
        </row>
        <row r="4096">
          <cell r="A4096" t="str">
            <v>SELLS</v>
          </cell>
          <cell r="B4096" t="str">
            <v>Sellado con silicon en esquinas muros ,muebles y puertas</v>
          </cell>
          <cell r="C4096" t="str">
            <v>ML</v>
          </cell>
          <cell r="D4096">
            <v>5.35476923076923</v>
          </cell>
        </row>
        <row r="4096">
          <cell r="F4096">
            <v>6.15798461538461</v>
          </cell>
        </row>
        <row r="4097">
          <cell r="A4097" t="str">
            <v>SILL01</v>
          </cell>
          <cell r="B4097" t="str">
            <v>Silletas para mallalack</v>
          </cell>
          <cell r="C4097" t="str">
            <v>PZA</v>
          </cell>
          <cell r="D4097">
            <v>9.2816</v>
          </cell>
        </row>
        <row r="4097">
          <cell r="F4097">
            <v>10.67384</v>
          </cell>
        </row>
        <row r="4098">
          <cell r="A4098" t="str">
            <v>SOL01</v>
          </cell>
          <cell r="B4098" t="str">
            <v>Soldadura estructural de perfiles metalicos</v>
          </cell>
          <cell r="C4098" t="str">
            <v>KG</v>
          </cell>
          <cell r="D4098">
            <v>5.25</v>
          </cell>
        </row>
        <row r="4099">
          <cell r="A4099" t="str">
            <v>SOL02</v>
          </cell>
          <cell r="B4099" t="str">
            <v>Soldadura estructural de perfiles laminares</v>
          </cell>
          <cell r="C4099" t="str">
            <v>KG</v>
          </cell>
          <cell r="D4099">
            <v>7.56</v>
          </cell>
        </row>
        <row r="4100">
          <cell r="A4100" t="str">
            <v>SOL03</v>
          </cell>
          <cell r="B4100" t="str">
            <v>Punteada con soldadura en varillas</v>
          </cell>
          <cell r="C4100" t="str">
            <v>PZA</v>
          </cell>
        </row>
        <row r="4101">
          <cell r="A4101" t="str">
            <v>TAP01</v>
          </cell>
          <cell r="B4101" t="str">
            <v>Tapa de registro armada,cimbrada y colada</v>
          </cell>
          <cell r="C4101" t="str">
            <v>PZA</v>
          </cell>
          <cell r="D4101">
            <v>87.015</v>
          </cell>
          <cell r="E4101">
            <v>1</v>
          </cell>
          <cell r="F4101">
            <v>100.06725</v>
          </cell>
        </row>
        <row r="4102">
          <cell r="A4102" t="str">
            <v>TAP02</v>
          </cell>
          <cell r="B4102" t="str">
            <v>Taponeo de muro o pasada registro o cimiento</v>
          </cell>
          <cell r="C4102" t="str">
            <v>PZA</v>
          </cell>
          <cell r="D4102">
            <v>58.01</v>
          </cell>
          <cell r="E4102">
            <v>1</v>
          </cell>
          <cell r="F4102">
            <v>66.7115</v>
          </cell>
        </row>
        <row r="4103">
          <cell r="A4103" t="str">
            <v>TELA1</v>
          </cell>
          <cell r="B4103" t="str">
            <v>Colocacion de tela de alambre en boveda</v>
          </cell>
          <cell r="C4103" t="str">
            <v>M2</v>
          </cell>
          <cell r="D4103">
            <v>27.8448</v>
          </cell>
        </row>
        <row r="4103">
          <cell r="F4103">
            <v>32.02152</v>
          </cell>
        </row>
        <row r="4104">
          <cell r="A4104" t="str">
            <v>TELA2</v>
          </cell>
          <cell r="B4104" t="str">
            <v>Colocacion de tela de alambre en dala o castillos</v>
          </cell>
          <cell r="C4104" t="str">
            <v>ML</v>
          </cell>
          <cell r="D4104">
            <v>13.9224</v>
          </cell>
        </row>
        <row r="4104">
          <cell r="F4104">
            <v>16.01076</v>
          </cell>
        </row>
        <row r="4105">
          <cell r="A4105" t="str">
            <v>TELA3</v>
          </cell>
          <cell r="B4105" t="str">
            <v>Colocacion de tela de alambre en muro</v>
          </cell>
          <cell r="C4105" t="str">
            <v>M2</v>
          </cell>
          <cell r="D4105">
            <v>19.8891428571429</v>
          </cell>
        </row>
        <row r="4105">
          <cell r="F4105">
            <v>22.8725142857143</v>
          </cell>
        </row>
        <row r="4106">
          <cell r="A4106" t="str">
            <v>TELA4</v>
          </cell>
          <cell r="B4106" t="str">
            <v>Colocacion de tela de alambre en azotea</v>
          </cell>
          <cell r="C4106" t="str">
            <v>M2</v>
          </cell>
          <cell r="D4106">
            <v>13.9224</v>
          </cell>
        </row>
        <row r="4106">
          <cell r="F4106">
            <v>16.01076</v>
          </cell>
        </row>
        <row r="4107">
          <cell r="A4107" t="str">
            <v>TELA5</v>
          </cell>
          <cell r="B4107" t="str">
            <v>Colocacion de tela de alambre sobre cimbra c/amarre a trabes</v>
          </cell>
          <cell r="C4107" t="str">
            <v>M2</v>
          </cell>
          <cell r="D4107">
            <v>6.9612</v>
          </cell>
        </row>
        <row r="4107">
          <cell r="F4107">
            <v>8.00538</v>
          </cell>
        </row>
        <row r="4108">
          <cell r="A4108" t="str">
            <v>TIR01</v>
          </cell>
          <cell r="B4108" t="str">
            <v>Tirantes de varilla en boveda</v>
          </cell>
          <cell r="C4108" t="str">
            <v>ML</v>
          </cell>
          <cell r="D4108">
            <v>17.403</v>
          </cell>
        </row>
        <row r="4108">
          <cell r="F4108">
            <v>20.01345</v>
          </cell>
        </row>
        <row r="4109">
          <cell r="A4109" t="str">
            <v>TOPE</v>
          </cell>
          <cell r="B4109" t="str">
            <v>Tope, arm.cimbra, colado y anclado</v>
          </cell>
          <cell r="C4109" t="str">
            <v>PZA</v>
          </cell>
          <cell r="D4109">
            <v>87.015</v>
          </cell>
        </row>
        <row r="4109">
          <cell r="F4109">
            <v>100.06725</v>
          </cell>
        </row>
        <row r="4110">
          <cell r="A4110" t="str">
            <v>TOPE2</v>
          </cell>
          <cell r="B4110" t="str">
            <v>Trazo, nivelacion y recibir tope prefabricado con masilla</v>
          </cell>
          <cell r="C4110" t="str">
            <v>PZA</v>
          </cell>
          <cell r="D4110">
            <v>43.5075</v>
          </cell>
        </row>
        <row r="4110">
          <cell r="F4110">
            <v>50.033625</v>
          </cell>
        </row>
        <row r="4111">
          <cell r="A4111" t="str">
            <v>TOPO1</v>
          </cell>
          <cell r="B4111" t="str">
            <v>Topografia </v>
          </cell>
          <cell r="C4111" t="str">
            <v>HORA</v>
          </cell>
          <cell r="D4111">
            <v>250</v>
          </cell>
        </row>
        <row r="4112">
          <cell r="A4112" t="str">
            <v>TOPO2</v>
          </cell>
          <cell r="B4112" t="str">
            <v>Topografia </v>
          </cell>
          <cell r="C4112" t="str">
            <v>HORA</v>
          </cell>
          <cell r="D4112">
            <v>275</v>
          </cell>
        </row>
        <row r="4113">
          <cell r="A4113" t="str">
            <v>TRA01</v>
          </cell>
          <cell r="B4113" t="str">
            <v>Traslapes en castillos y dalas</v>
          </cell>
          <cell r="C4113" t="str">
            <v>PZA</v>
          </cell>
          <cell r="D4113">
            <v>17.403</v>
          </cell>
        </row>
        <row r="4113">
          <cell r="F4113">
            <v>20.01345</v>
          </cell>
        </row>
        <row r="4114">
          <cell r="A4114" t="str">
            <v>TRA02</v>
          </cell>
          <cell r="B4114" t="str">
            <v>Traslapes en varillas muro de panel</v>
          </cell>
          <cell r="C4114" t="str">
            <v>PZA</v>
          </cell>
          <cell r="D4114">
            <v>8.7015</v>
          </cell>
        </row>
        <row r="4114">
          <cell r="F4114">
            <v>10.006725</v>
          </cell>
        </row>
        <row r="4115">
          <cell r="A4115" t="str">
            <v>TRA03</v>
          </cell>
          <cell r="B4115" t="str">
            <v>Traspaleo 0.00-10.00 mts</v>
          </cell>
          <cell r="C4115" t="str">
            <v>M3</v>
          </cell>
          <cell r="D4115">
            <v>63.2836363636364</v>
          </cell>
        </row>
        <row r="4115">
          <cell r="F4115">
            <v>72.7761818181818</v>
          </cell>
        </row>
        <row r="4116">
          <cell r="A4116" t="str">
            <v>TRA04</v>
          </cell>
          <cell r="B4116" t="str">
            <v>Traspaleo de 0.00-30.00 mts acarreo carretilla</v>
          </cell>
          <cell r="C4116" t="str">
            <v>M3</v>
          </cell>
          <cell r="D4116">
            <v>126.567272727273</v>
          </cell>
        </row>
        <row r="4116">
          <cell r="F4116">
            <v>145.552363636364</v>
          </cell>
        </row>
        <row r="4117">
          <cell r="A4117" t="str">
            <v>TRA05</v>
          </cell>
          <cell r="B4117" t="str">
            <v>Traspaleo de 0.00-50.00 mts acarreo carretilla</v>
          </cell>
          <cell r="C4117" t="str">
            <v>M3</v>
          </cell>
          <cell r="D4117">
            <v>174.03</v>
          </cell>
        </row>
        <row r="4117">
          <cell r="F4117">
            <v>200.1345</v>
          </cell>
        </row>
        <row r="4118">
          <cell r="A4118" t="str">
            <v>TRA06</v>
          </cell>
          <cell r="B4118" t="str">
            <v>Traspaleo a botes mezcla o escombro distancia 15 mts</v>
          </cell>
          <cell r="C4118" t="str">
            <v>M3</v>
          </cell>
          <cell r="D4118">
            <v>139.224</v>
          </cell>
        </row>
        <row r="4118">
          <cell r="F4118">
            <v>160.1076</v>
          </cell>
        </row>
        <row r="4119">
          <cell r="A4119" t="str">
            <v>TRA07</v>
          </cell>
          <cell r="B4119" t="str">
            <v>Trazo y nivelacion de terreno</v>
          </cell>
          <cell r="C4119" t="str">
            <v>M2</v>
          </cell>
          <cell r="D4119">
            <v>2.3204</v>
          </cell>
        </row>
        <row r="4119">
          <cell r="F4119">
            <v>2.66846</v>
          </cell>
        </row>
        <row r="4120">
          <cell r="A4120" t="str">
            <v>TUBO38</v>
          </cell>
          <cell r="B4120" t="str">
            <v>Instalacion de tubo de concreto diametro 38 cms</v>
          </cell>
          <cell r="C4120" t="str">
            <v>ML</v>
          </cell>
          <cell r="D4120">
            <v>46.408</v>
          </cell>
        </row>
        <row r="4120">
          <cell r="F4120">
            <v>53.3692</v>
          </cell>
        </row>
        <row r="4121">
          <cell r="A4121" t="str">
            <v>TUBO45</v>
          </cell>
          <cell r="B4121" t="str">
            <v>Instalacion de tubo de concreto diametro 45 cms</v>
          </cell>
          <cell r="C4121" t="str">
            <v>ML</v>
          </cell>
          <cell r="D4121">
            <v>69.612</v>
          </cell>
        </row>
        <row r="4121">
          <cell r="F4121">
            <v>80.0538</v>
          </cell>
        </row>
        <row r="4122">
          <cell r="A4122" t="str">
            <v>VEL01</v>
          </cell>
          <cell r="B4122" t="str">
            <v>Velador</v>
          </cell>
          <cell r="C4122" t="str">
            <v>JORNAL</v>
          </cell>
          <cell r="D4122">
            <v>307.25</v>
          </cell>
        </row>
        <row r="4122">
          <cell r="F4122">
            <v>240</v>
          </cell>
        </row>
        <row r="4123">
          <cell r="A4123" t="str">
            <v>VER01</v>
          </cell>
          <cell r="B4123" t="str">
            <v>Vertedero, forjado y terminado</v>
          </cell>
          <cell r="C4123" t="str">
            <v>ML</v>
          </cell>
          <cell r="D4123">
            <v>348.06</v>
          </cell>
        </row>
        <row r="4123">
          <cell r="F4123">
            <v>400.269</v>
          </cell>
        </row>
        <row r="4124">
          <cell r="A4124" t="str">
            <v>VIAL</v>
          </cell>
          <cell r="B4124" t="str">
            <v>Instalacion de vialeta en pisos de estacionamiento</v>
          </cell>
          <cell r="C4124" t="str">
            <v>PZA</v>
          </cell>
          <cell r="D4124">
            <v>10.893896713615</v>
          </cell>
        </row>
        <row r="4124">
          <cell r="F4124">
            <v>12.5279812206573</v>
          </cell>
        </row>
        <row r="4125">
          <cell r="A4125" t="str">
            <v>VIGAMA</v>
          </cell>
          <cell r="B4125" t="str">
            <v>Corte, colocacion y nivelacion de viga de madera para cubiertas</v>
          </cell>
          <cell r="C4125" t="str">
            <v>ML</v>
          </cell>
          <cell r="D4125">
            <v>56.1840193704601</v>
          </cell>
        </row>
        <row r="4125">
          <cell r="F4125">
            <v>64.6116222760291</v>
          </cell>
        </row>
        <row r="4126">
          <cell r="A4126" t="str">
            <v>VITRO</v>
          </cell>
          <cell r="B4126" t="str">
            <v>Vitroblock, instalacion por pza. incluye limpieza</v>
          </cell>
          <cell r="C4126" t="str">
            <v>PZA</v>
          </cell>
          <cell r="D4126">
            <v>22.4554838709677</v>
          </cell>
        </row>
        <row r="4126">
          <cell r="F4126">
            <v>25.8238064516129</v>
          </cell>
        </row>
        <row r="4127">
          <cell r="A4127" t="str">
            <v>ZAP01</v>
          </cell>
          <cell r="B4127" t="str">
            <v>Colado de zapata rev. Hecha en obra, c/traspaleos</v>
          </cell>
          <cell r="C4127" t="str">
            <v>M3</v>
          </cell>
          <cell r="D4127">
            <v>348.06</v>
          </cell>
          <cell r="E4127">
            <v>1</v>
          </cell>
          <cell r="F4127">
            <v>400.269</v>
          </cell>
        </row>
        <row r="4128">
          <cell r="A4128" t="str">
            <v>ZAP02</v>
          </cell>
          <cell r="B4128" t="str">
            <v>Colado de zapata rev. Premezclada</v>
          </cell>
          <cell r="C4128" t="str">
            <v>M3</v>
          </cell>
          <cell r="D4128">
            <v>174.03</v>
          </cell>
        </row>
        <row r="4128">
          <cell r="F4128">
            <v>200.1345</v>
          </cell>
        </row>
        <row r="4129">
          <cell r="A4129" t="str">
            <v>ZAV01</v>
          </cell>
          <cell r="B4129" t="str">
            <v>Zavaleta con revoltura</v>
          </cell>
          <cell r="C4129" t="str">
            <v>ML</v>
          </cell>
          <cell r="D4129">
            <v>51.071004784689</v>
          </cell>
          <cell r="E4129">
            <v>1</v>
          </cell>
          <cell r="F4129">
            <v>58.7316555023923</v>
          </cell>
        </row>
        <row r="4130">
          <cell r="A4130" t="str">
            <v>ZAV02</v>
          </cell>
          <cell r="B4130" t="str">
            <v>Zavaleta de 1/2 ladrillo</v>
          </cell>
          <cell r="C4130" t="str">
            <v>ML</v>
          </cell>
          <cell r="D4130">
            <v>33.3071770334928</v>
          </cell>
          <cell r="E4130">
            <v>1</v>
          </cell>
          <cell r="F4130">
            <v>38.3032535885167</v>
          </cell>
        </row>
        <row r="4131">
          <cell r="A4131" t="str">
            <v>ZAV03</v>
          </cell>
          <cell r="B4131" t="str">
            <v>Zavaleta ladrillo entero</v>
          </cell>
          <cell r="C4131" t="str">
            <v>ML</v>
          </cell>
          <cell r="D4131">
            <v>33.3071770334928</v>
          </cell>
          <cell r="E4131">
            <v>1</v>
          </cell>
          <cell r="F4131">
            <v>38.3032535885167</v>
          </cell>
        </row>
        <row r="4132">
          <cell r="A4132" t="str">
            <v>ZOC01</v>
          </cell>
          <cell r="B4132" t="str">
            <v>Zoclo de ceramica cortado</v>
          </cell>
          <cell r="C4132" t="str">
            <v>ML</v>
          </cell>
          <cell r="D4132">
            <v>49.7228571428571</v>
          </cell>
        </row>
        <row r="4132">
          <cell r="F4132">
            <v>57.1812857142857</v>
          </cell>
        </row>
        <row r="4133">
          <cell r="A4133" t="str">
            <v>ZOC01C</v>
          </cell>
          <cell r="B4133" t="str">
            <v>Zoclo de ceramica en casa habitacion</v>
          </cell>
          <cell r="C4133" t="str">
            <v>ML</v>
          </cell>
          <cell r="D4133">
            <v>30</v>
          </cell>
        </row>
        <row r="4133">
          <cell r="F4133">
            <v>34.5</v>
          </cell>
        </row>
        <row r="4134">
          <cell r="A4134" t="str">
            <v>ZOC02</v>
          </cell>
          <cell r="B4134" t="str">
            <v>Zoclo de ladrillo peron, incluye corte, ranura y resane</v>
          </cell>
          <cell r="C4134" t="str">
            <v>ML</v>
          </cell>
          <cell r="D4134">
            <v>92.816</v>
          </cell>
        </row>
        <row r="4134">
          <cell r="F4134">
            <v>106.7384</v>
          </cell>
        </row>
        <row r="4140">
          <cell r="A4140" t="str">
            <v>PONTO QUITO PRECIOS</v>
          </cell>
        </row>
        <row r="4142">
          <cell r="A4142" t="str">
            <v>CVE</v>
          </cell>
          <cell r="B4142" t="str">
            <v>CONCEPTO</v>
          </cell>
          <cell r="C4142" t="str">
            <v>UNIDAD</v>
          </cell>
          <cell r="D4142" t="str">
            <v>P.UNIT.</v>
          </cell>
        </row>
        <row r="4144">
          <cell r="A4144" t="str">
            <v>PQcc20x20</v>
          </cell>
          <cell r="B4144" t="str">
            <v>Armado de castillo 15x15 varilla 1/2" y est 3/8", cimbra y colado 20x20</v>
          </cell>
          <cell r="C4144" t="str">
            <v>ML</v>
          </cell>
          <cell r="D4144">
            <v>600</v>
          </cell>
        </row>
        <row r="4145">
          <cell r="A4145" t="str">
            <v>PQcc25x20</v>
          </cell>
          <cell r="B4145" t="str">
            <v>Armado de castillo 20x15 varilla 1/2" y est 3/8", cimbra y colado 25x20</v>
          </cell>
          <cell r="C4145" t="str">
            <v>ML</v>
          </cell>
          <cell r="D4145">
            <v>650</v>
          </cell>
        </row>
        <row r="4146">
          <cell r="A4146" t="str">
            <v>PQcc30x20</v>
          </cell>
          <cell r="B4146" t="str">
            <v>Armado de castillo 25x15 varilla 1/2" y est 3/8", cimbra y colado 30x20</v>
          </cell>
          <cell r="C4146" t="str">
            <v>ML</v>
          </cell>
          <cell r="D4146">
            <v>700</v>
          </cell>
        </row>
        <row r="4147">
          <cell r="A4147" t="str">
            <v>PQtb20x50</v>
          </cell>
          <cell r="B4147" t="str">
            <v>Armado de trabe de 45x15 varilla 1/2" y estribos 3/8" cimbra y colado 20x50</v>
          </cell>
          <cell r="C4147" t="str">
            <v>ML</v>
          </cell>
          <cell r="D4147">
            <v>1000</v>
          </cell>
        </row>
        <row r="4148">
          <cell r="A4148" t="str">
            <v>PQzap1x85</v>
          </cell>
          <cell r="B4148" t="str">
            <v>Armado de parrilla 1x85 varilla 1/2" @20 cms cimbra y colado 85x20</v>
          </cell>
          <cell r="C4148" t="str">
            <v>ML</v>
          </cell>
          <cell r="D4148">
            <v>800</v>
          </cell>
        </row>
        <row r="4149">
          <cell r="A4149" t="str">
            <v>PQbk14.20.40c</v>
          </cell>
          <cell r="B4149" t="str">
            <v>Muro de block de 14x20x40 capuchino colocando andamios h= 4mts</v>
          </cell>
          <cell r="C4149" t="str">
            <v>M2</v>
          </cell>
          <cell r="D4149">
            <v>200</v>
          </cell>
        </row>
        <row r="4150">
          <cell r="A4150" t="str">
            <v>PQbk14.20.40s</v>
          </cell>
          <cell r="B4150" t="str">
            <v>Muro de block de 14x20x40 soga colocando andamios h= 4mts</v>
          </cell>
          <cell r="C4150" t="str">
            <v>M2</v>
          </cell>
          <cell r="D4150">
            <v>200</v>
          </cell>
        </row>
        <row r="4151">
          <cell r="A4151" t="str">
            <v>PQbk14.20.40t</v>
          </cell>
          <cell r="B4151" t="str">
            <v>Muro de block de 14x20x40 tezon contencion 0-2.00 h</v>
          </cell>
          <cell r="C4151" t="str">
            <v>M2</v>
          </cell>
          <cell r="D4151">
            <v>400</v>
          </cell>
        </row>
        <row r="4152">
          <cell r="A4152" t="str">
            <v>PQbk14.20.40t2</v>
          </cell>
          <cell r="B4152" t="str">
            <v>Muro de block de 14x20x40 tezon contencion 2.00 h andamios</v>
          </cell>
          <cell r="C4152" t="str">
            <v>M2</v>
          </cell>
          <cell r="D4152">
            <v>500</v>
          </cell>
        </row>
        <row r="4153">
          <cell r="A4153" t="str">
            <v>PQmam1r80</v>
          </cell>
          <cell r="B4153" t="str">
            <v>Pegado de muro de piedra 1 rostro arranque 80 cms alto 1</v>
          </cell>
          <cell r="C4153" t="str">
            <v>ML</v>
          </cell>
          <cell r="D4153">
            <v>1000</v>
          </cell>
        </row>
        <row r="4154">
          <cell r="A4154" t="str">
            <v>PQmam1r80-60</v>
          </cell>
          <cell r="B4154" t="str">
            <v>Pegado de muro de piedra 1 rostro 80 a 60 cms alto 1</v>
          </cell>
          <cell r="C4154" t="str">
            <v>ML</v>
          </cell>
          <cell r="D4154">
            <v>1000</v>
          </cell>
        </row>
        <row r="4155">
          <cell r="A4155" t="str">
            <v>PQenj0-3</v>
          </cell>
          <cell r="B4155" t="str">
            <v>Enjarre repellado incluye malla en boquillas, sarpeo y enjarre 0-3.00</v>
          </cell>
          <cell r="C4155" t="str">
            <v>M2</v>
          </cell>
          <cell r="D4155">
            <v>250</v>
          </cell>
        </row>
        <row r="4156">
          <cell r="A4156" t="str">
            <v>PQenj3-5</v>
          </cell>
          <cell r="B4156" t="str">
            <v>Enjarre repellado incluye malla en boquillas, sarpeo y enjarre 3.00-5.00</v>
          </cell>
          <cell r="C4156" t="str">
            <v>M2</v>
          </cell>
          <cell r="D4156">
            <v>300</v>
          </cell>
        </row>
        <row r="4157">
          <cell r="A4157" t="str">
            <v>PQboq2b</v>
          </cell>
          <cell r="B4157" t="str">
            <v>Boquilla con boleado grueso por 2 lados</v>
          </cell>
          <cell r="C4157" t="str">
            <v>ML</v>
          </cell>
          <cell r="D4157">
            <v>250</v>
          </cell>
        </row>
        <row r="4158">
          <cell r="A4158" t="str">
            <v>PQboq1b</v>
          </cell>
          <cell r="B4158" t="str">
            <v>Boquilla con boleado grueso por 1 lado</v>
          </cell>
          <cell r="C4158" t="str">
            <v>ML</v>
          </cell>
          <cell r="D4158">
            <v>150</v>
          </cell>
        </row>
        <row r="4159">
          <cell r="A4159" t="str">
            <v>PQsuecem20</v>
          </cell>
          <cell r="B4159" t="str">
            <v>Relleno con suelo cemento humedo compactado 20 cms espesor, incluye acarreos</v>
          </cell>
          <cell r="C4159" t="str">
            <v>M2</v>
          </cell>
          <cell r="D4159">
            <v>100</v>
          </cell>
        </row>
        <row r="4160">
          <cell r="A4160" t="str">
            <v>PQsuecem40</v>
          </cell>
          <cell r="B4160" t="str">
            <v>Relleno con suelo cemento humedo compactado 40 cms espesor, incluye acarreos</v>
          </cell>
          <cell r="C4160" t="str">
            <v>M2</v>
          </cell>
          <cell r="D4160">
            <v>200</v>
          </cell>
        </row>
        <row r="4161">
          <cell r="A4161" t="str">
            <v>PQsuecem60</v>
          </cell>
          <cell r="B4161" t="str">
            <v>Relleno con suelo cemento humedo compactado 60 cms espesor, incluye acarreos</v>
          </cell>
          <cell r="C4161" t="str">
            <v>M2</v>
          </cell>
          <cell r="D4161">
            <v>300</v>
          </cell>
        </row>
        <row r="4162">
          <cell r="A4162" t="str">
            <v>PQexc1x1x1</v>
          </cell>
          <cell r="B4162" t="str">
            <v>Excavacion para cimentacion de 1.00x1.00x1.00 terreno normal</v>
          </cell>
          <cell r="C4162" t="str">
            <v>ML</v>
          </cell>
          <cell r="D4162">
            <v>500</v>
          </cell>
        </row>
        <row r="4163">
          <cell r="A4163" t="str">
            <v>PQexc1x1x1-2</v>
          </cell>
          <cell r="B4163" t="str">
            <v>Excavacion para cimentacion de 1.00x1.00x1.00 terreno duro cascajo o laja</v>
          </cell>
          <cell r="C4163" t="str">
            <v>ML</v>
          </cell>
          <cell r="D4163">
            <v>500</v>
          </cell>
        </row>
        <row r="4165">
          <cell r="A4165" t="str">
            <v>TAPALPA, PRECIOS DEL PAY</v>
          </cell>
        </row>
        <row r="4167">
          <cell r="A4167" t="str">
            <v>TALB</v>
          </cell>
          <cell r="B4167" t="str">
            <v>Albañil por el día</v>
          </cell>
          <cell r="C4167" t="str">
            <v>JORNAL</v>
          </cell>
          <cell r="D4167">
            <v>600</v>
          </cell>
        </row>
        <row r="4168">
          <cell r="A4168" t="str">
            <v>TARMC</v>
          </cell>
          <cell r="B4168" t="str">
            <v>Armado de castillo con varilla de 3/8" y estribos alambrón @ 20 cms</v>
          </cell>
          <cell r="C4168" t="str">
            <v>ML</v>
          </cell>
          <cell r="D4168">
            <v>45</v>
          </cell>
        </row>
        <row r="4169">
          <cell r="A4169" t="str">
            <v>TBANCOC</v>
          </cell>
          <cell r="B4169" t="str">
            <v>Banquetón de cocina pulido</v>
          </cell>
          <cell r="C4169" t="str">
            <v>ML</v>
          </cell>
          <cell r="D4169">
            <v>150</v>
          </cell>
        </row>
        <row r="4169">
          <cell r="F4169">
            <v>13</v>
          </cell>
        </row>
        <row r="4170">
          <cell r="A4170" t="str">
            <v>TBOQ</v>
          </cell>
          <cell r="B4170" t="str">
            <v>Boquilla en puertas y ventanas</v>
          </cell>
          <cell r="C4170" t="str">
            <v>ML</v>
          </cell>
          <cell r="D4170">
            <v>90</v>
          </cell>
        </row>
        <row r="4171">
          <cell r="A4171" t="str">
            <v>TCCASO</v>
          </cell>
          <cell r="B4171" t="str">
            <v>Cimbrar y colar castillo de soga</v>
          </cell>
          <cell r="C4171" t="str">
            <v>ML</v>
          </cell>
          <cell r="D4171">
            <v>100</v>
          </cell>
        </row>
        <row r="4172">
          <cell r="A4172" t="str">
            <v>TCCASO3</v>
          </cell>
          <cell r="B4172" t="str">
            <v>Cimbrar y colar castillo de soga 3 caras</v>
          </cell>
          <cell r="C4172" t="str">
            <v>ML</v>
          </cell>
          <cell r="D4172">
            <v>120</v>
          </cell>
        </row>
        <row r="4173">
          <cell r="A4173" t="str">
            <v>TCCATE</v>
          </cell>
          <cell r="B4173" t="str">
            <v>Cimbrar y colar castillo de tezón</v>
          </cell>
          <cell r="C4173" t="str">
            <v>ML</v>
          </cell>
          <cell r="D4173">
            <v>120</v>
          </cell>
        </row>
        <row r="4174">
          <cell r="A4174" t="str">
            <v>TCCATE3</v>
          </cell>
          <cell r="B4174" t="str">
            <v>Cimbrar y colar castillo de tezón 3 caras</v>
          </cell>
          <cell r="C4174" t="str">
            <v>ML</v>
          </cell>
          <cell r="D4174">
            <v>145</v>
          </cell>
        </row>
        <row r="4175">
          <cell r="A4175" t="str">
            <v>TCCESO</v>
          </cell>
          <cell r="B4175" t="str">
            <v>Cimbrar y colar cerramiento de soga</v>
          </cell>
          <cell r="C4175" t="str">
            <v>ML</v>
          </cell>
          <cell r="D4175">
            <v>130</v>
          </cell>
        </row>
        <row r="4176">
          <cell r="A4176" t="str">
            <v>TCCETE</v>
          </cell>
          <cell r="B4176" t="str">
            <v>Cimbrar y colar cerramiento de tezón</v>
          </cell>
          <cell r="C4176" t="str">
            <v>ML</v>
          </cell>
          <cell r="D4176">
            <v>234</v>
          </cell>
        </row>
        <row r="4177">
          <cell r="A4177" t="str">
            <v>TCDASO</v>
          </cell>
          <cell r="B4177" t="str">
            <v>Armar, cimbrar y colar dala de 15 x 20 </v>
          </cell>
          <cell r="C4177" t="str">
            <v>ML</v>
          </cell>
          <cell r="D4177">
            <v>100</v>
          </cell>
        </row>
        <row r="4178">
          <cell r="A4178" t="str">
            <v>TCDATE</v>
          </cell>
          <cell r="B4178" t="str">
            <v>Cimbrar y colar dala tezón con doble armex</v>
          </cell>
          <cell r="C4178" t="str">
            <v>ML</v>
          </cell>
          <cell r="D4178">
            <v>130</v>
          </cell>
        </row>
        <row r="4179">
          <cell r="A4179" t="str">
            <v>TDADO</v>
          </cell>
          <cell r="B4179" t="str">
            <v>Colado de dado completo de 80x 80 x 80</v>
          </cell>
          <cell r="C4179" t="str">
            <v>PZA</v>
          </cell>
          <cell r="D4179">
            <v>400</v>
          </cell>
        </row>
        <row r="4179">
          <cell r="F4179">
            <v>62</v>
          </cell>
        </row>
        <row r="4180">
          <cell r="A4180" t="str">
            <v>TENJADO</v>
          </cell>
          <cell r="B4180" t="str">
            <v>Sarpeo, enjarre y figurado tipo adobe con estrías</v>
          </cell>
          <cell r="C4180" t="str">
            <v>M2</v>
          </cell>
          <cell r="D4180">
            <v>150</v>
          </cell>
        </row>
        <row r="4181">
          <cell r="A4181" t="str">
            <v>TENJAFB</v>
          </cell>
          <cell r="B4181" t="str">
            <v>Enjarre en bóveda terminado afinado, incluye sarpeos y andamios</v>
          </cell>
          <cell r="C4181" t="str">
            <v>M2</v>
          </cell>
          <cell r="D4181">
            <v>133</v>
          </cell>
        </row>
        <row r="4182">
          <cell r="A4182" t="str">
            <v>TENJAFM</v>
          </cell>
          <cell r="B4182" t="str">
            <v>Enjarre en muro terminado afinado, incluye sarpeos y andamios</v>
          </cell>
          <cell r="C4182" t="str">
            <v>M2</v>
          </cell>
          <cell r="D4182">
            <v>120</v>
          </cell>
        </row>
        <row r="4183">
          <cell r="A4183" t="str">
            <v>TENJAP</v>
          </cell>
          <cell r="B4183" t="str">
            <v>Enjarre en muro terminado apalillado, incluye sarpeos y andamios</v>
          </cell>
          <cell r="C4183" t="str">
            <v>M2</v>
          </cell>
          <cell r="D4183">
            <v>100</v>
          </cell>
        </row>
        <row r="4184">
          <cell r="A4184" t="str">
            <v>TENJB</v>
          </cell>
          <cell r="B4184" t="str">
            <v>Enjarre en bóveda, incluye sarpeos y andamios</v>
          </cell>
          <cell r="C4184" t="str">
            <v>M2</v>
          </cell>
          <cell r="D4184">
            <v>120</v>
          </cell>
        </row>
        <row r="4185">
          <cell r="A4185" t="str">
            <v>TENJCP</v>
          </cell>
          <cell r="B4185" t="str">
            <v>Enjarre a tallón de cuchara pulido</v>
          </cell>
          <cell r="C4185" t="str">
            <v>M2</v>
          </cell>
          <cell r="D4185">
            <v>100</v>
          </cell>
        </row>
        <row r="4186">
          <cell r="A4186" t="str">
            <v>TEXCAV</v>
          </cell>
          <cell r="B4186" t="str">
            <v>Excavación terreno </v>
          </cell>
          <cell r="C4186" t="str">
            <v>M3</v>
          </cell>
          <cell r="D4186">
            <v>380</v>
          </cell>
        </row>
        <row r="4187">
          <cell r="A4187" t="str">
            <v>TFILTRO</v>
          </cell>
          <cell r="B4187" t="str">
            <v>Filtro de grava de 10 cms compactada</v>
          </cell>
          <cell r="C4187" t="str">
            <v>M2</v>
          </cell>
          <cell r="D4187">
            <v>25</v>
          </cell>
        </row>
        <row r="4187">
          <cell r="F4187">
            <v>74</v>
          </cell>
        </row>
        <row r="4188">
          <cell r="A4188" t="str">
            <v>TFIRJAL</v>
          </cell>
          <cell r="B4188" t="str">
            <v>Colocar jal con malla electro-soldada y lechadeado</v>
          </cell>
          <cell r="C4188" t="str">
            <v>M2</v>
          </cell>
          <cell r="D4188">
            <v>90</v>
          </cell>
        </row>
        <row r="4188">
          <cell r="F4188">
            <v>40</v>
          </cell>
        </row>
        <row r="4189">
          <cell r="A4189" t="str">
            <v>TFOSA</v>
          </cell>
          <cell r="B4189" t="str">
            <v>Excavación, forjado y terminado de fosa séptica con filtros</v>
          </cell>
          <cell r="C4189" t="str">
            <v>M3</v>
          </cell>
          <cell r="D4189">
            <v>1200</v>
          </cell>
        </row>
        <row r="4190">
          <cell r="A4190" t="str">
            <v>TJALIN</v>
          </cell>
          <cell r="B4190" t="str">
            <v>Colocar jal en techo inclinado, incluye malla y apalillado</v>
          </cell>
          <cell r="C4190" t="str">
            <v>M2</v>
          </cell>
          <cell r="D4190">
            <v>110</v>
          </cell>
        </row>
        <row r="4190">
          <cell r="F4190">
            <v>41</v>
          </cell>
        </row>
        <row r="4191">
          <cell r="A4191" t="str">
            <v>TJALP</v>
          </cell>
          <cell r="B4191" t="str">
            <v>Colocar jal en techo plano, incluye malla y apalillado</v>
          </cell>
          <cell r="C4191" t="str">
            <v>M2</v>
          </cell>
          <cell r="D4191">
            <v>125</v>
          </cell>
        </row>
        <row r="4191">
          <cell r="F4191">
            <v>42</v>
          </cell>
        </row>
        <row r="4192">
          <cell r="A4192" t="str">
            <v>TLADAZ</v>
          </cell>
          <cell r="B4192" t="str">
            <v>Colocar piso de barro y juntear, detallar y limpiar</v>
          </cell>
          <cell r="C4192" t="str">
            <v>M2</v>
          </cell>
          <cell r="D4192">
            <v>160</v>
          </cell>
          <cell r="E4192">
            <v>49</v>
          </cell>
        </row>
        <row r="4193">
          <cell r="A4193" t="str">
            <v>TLODADOB</v>
          </cell>
          <cell r="B4193" t="str">
            <v>Aplicar sellador y lodo sobre superficie de adobe terminado</v>
          </cell>
          <cell r="C4193" t="str">
            <v>M2</v>
          </cell>
          <cell r="D4193">
            <v>50</v>
          </cell>
        </row>
        <row r="4194">
          <cell r="A4194" t="str">
            <v>TLOSA</v>
          </cell>
          <cell r="B4194" t="str">
            <v>Colocar malla, colado de losa concreto y repellado</v>
          </cell>
          <cell r="C4194" t="str">
            <v>M2</v>
          </cell>
          <cell r="D4194">
            <v>100</v>
          </cell>
        </row>
        <row r="4195">
          <cell r="A4195" t="str">
            <v>TLOSDESP</v>
          </cell>
          <cell r="B4195" t="str">
            <v>Trazo, ranuras, barrenos, armar, cimbrar y colar losa despensa terminado</v>
          </cell>
          <cell r="C4195" t="str">
            <v>ML</v>
          </cell>
          <cell r="D4195">
            <v>300</v>
          </cell>
        </row>
        <row r="4196">
          <cell r="A4196" t="str">
            <v>TMAM1R40</v>
          </cell>
          <cell r="B4196" t="str">
            <v>Mamposteo de piedra 1 rostro de 40 cms</v>
          </cell>
          <cell r="C4196" t="str">
            <v>M2</v>
          </cell>
          <cell r="D4196">
            <v>800</v>
          </cell>
        </row>
        <row r="4197">
          <cell r="A4197" t="str">
            <v>TMAM1R50</v>
          </cell>
          <cell r="B4197" t="str">
            <v>Mamposteo de piedra 1 rostro de 50 cms</v>
          </cell>
          <cell r="C4197" t="str">
            <v>M2</v>
          </cell>
          <cell r="D4197">
            <v>800</v>
          </cell>
        </row>
        <row r="4198">
          <cell r="A4198" t="str">
            <v>TMAM2R</v>
          </cell>
          <cell r="B4198" t="str">
            <v>Mamposteo de piedra 2 rostros de 40 a 50 cms</v>
          </cell>
          <cell r="C4198" t="str">
            <v>M2</v>
          </cell>
          <cell r="D4198">
            <v>1375</v>
          </cell>
        </row>
        <row r="4199">
          <cell r="A4199" t="str">
            <v>TMAM2R40</v>
          </cell>
          <cell r="B4199" t="str">
            <v>Mamposteo de piedra 2 rostros de 40 cms</v>
          </cell>
          <cell r="C4199" t="str">
            <v>M2</v>
          </cell>
          <cell r="D4199">
            <v>1300</v>
          </cell>
        </row>
        <row r="4200">
          <cell r="A4200" t="str">
            <v>TMAM2R50</v>
          </cell>
          <cell r="B4200" t="str">
            <v>Mamposteo de piedra 2 rostro de 50 cms</v>
          </cell>
          <cell r="C4200" t="str">
            <v>M2</v>
          </cell>
          <cell r="D4200">
            <v>1450</v>
          </cell>
        </row>
        <row r="4201">
          <cell r="A4201" t="str">
            <v>TMCAP</v>
          </cell>
          <cell r="B4201" t="str">
            <v>Muro de capuchino en sucio</v>
          </cell>
          <cell r="C4201" t="str">
            <v>M2</v>
          </cell>
          <cell r="D4201">
            <v>120</v>
          </cell>
        </row>
        <row r="4202">
          <cell r="A4202" t="str">
            <v>TMOCSO</v>
          </cell>
          <cell r="B4202" t="str">
            <v>Mocheta de soga en sucio</v>
          </cell>
          <cell r="C4202" t="str">
            <v>ML</v>
          </cell>
          <cell r="D4202">
            <v>125</v>
          </cell>
        </row>
        <row r="4203">
          <cell r="A4203" t="str">
            <v>TMOCTE</v>
          </cell>
          <cell r="B4203" t="str">
            <v>Mocheta de tezón en sucio</v>
          </cell>
          <cell r="C4203" t="str">
            <v>ML</v>
          </cell>
          <cell r="D4203">
            <v>150</v>
          </cell>
        </row>
        <row r="4204">
          <cell r="A4204" t="str">
            <v>TMSOG</v>
          </cell>
          <cell r="B4204" t="str">
            <v>Muro de soga en sucio</v>
          </cell>
          <cell r="C4204" t="str">
            <v>M2</v>
          </cell>
          <cell r="D4204">
            <v>125</v>
          </cell>
        </row>
        <row r="4205">
          <cell r="A4205" t="str">
            <v>TMTEZ</v>
          </cell>
          <cell r="B4205" t="str">
            <v>Muro de tezón en sucio</v>
          </cell>
          <cell r="C4205" t="str">
            <v>M2</v>
          </cell>
          <cell r="D4205">
            <v>150</v>
          </cell>
        </row>
        <row r="4206">
          <cell r="A4206" t="str">
            <v>TMUADOSO</v>
          </cell>
          <cell r="B4206" t="str">
            <v>Muro de adobe de soga en sucio no importa altura, inlcuye junta</v>
          </cell>
          <cell r="C4206" t="str">
            <v>M2</v>
          </cell>
          <cell r="D4206">
            <v>200</v>
          </cell>
        </row>
        <row r="4207">
          <cell r="A4207" t="str">
            <v>TMUADOTE</v>
          </cell>
          <cell r="B4207" t="str">
            <v>Muro de adobe de soga en sucio no importa altura, inlcuye junta</v>
          </cell>
          <cell r="C4207" t="str">
            <v>M2</v>
          </cell>
          <cell r="D4207">
            <v>300</v>
          </cell>
        </row>
        <row r="4208">
          <cell r="A4208" t="str">
            <v>TNIVMR</v>
          </cell>
          <cell r="B4208" t="str">
            <v>Nivelación de muro de piedra con rostro</v>
          </cell>
          <cell r="C4208" t="str">
            <v>ML</v>
          </cell>
          <cell r="D4208">
            <v>70</v>
          </cell>
        </row>
        <row r="4209">
          <cell r="A4209" t="str">
            <v>TPEO</v>
          </cell>
          <cell r="B4209" t="str">
            <v>Peón por el día</v>
          </cell>
          <cell r="C4209" t="str">
            <v>JORNAL</v>
          </cell>
          <cell r="D4209">
            <v>390</v>
          </cell>
        </row>
        <row r="4210">
          <cell r="A4210" t="str">
            <v>TPINT</v>
          </cell>
          <cell r="B4210" t="str">
            <v>Raspar, resanes, sellador y pintura terminado sobre muros y bóvedas</v>
          </cell>
          <cell r="C4210" t="str">
            <v>M2</v>
          </cell>
          <cell r="D4210">
            <v>50</v>
          </cell>
        </row>
        <row r="4211">
          <cell r="A4211" t="str">
            <v>TPISO</v>
          </cell>
          <cell r="B4211" t="str">
            <v>Lechadeo, colocar malla, colado de piso repellado</v>
          </cell>
          <cell r="C4211" t="str">
            <v>M2</v>
          </cell>
          <cell r="D4211">
            <v>125</v>
          </cell>
        </row>
        <row r="4211">
          <cell r="F4211">
            <v>42</v>
          </cell>
        </row>
        <row r="4212">
          <cell r="A4212" t="str">
            <v>TREG</v>
          </cell>
          <cell r="B4212" t="str">
            <v>Excavación, forjado y terminado registro sanitario 1.00x1.00x1.00</v>
          </cell>
          <cell r="C4212" t="str">
            <v>PZA</v>
          </cell>
          <cell r="D4212">
            <v>1000</v>
          </cell>
        </row>
        <row r="4213">
          <cell r="A4213" t="str">
            <v>TRELLM</v>
          </cell>
          <cell r="B4213" t="str">
            <v>Relleno y compactación en capas de 20 cms con apoyo de máquina</v>
          </cell>
          <cell r="C4213" t="str">
            <v>M3</v>
          </cell>
          <cell r="D4213">
            <v>100</v>
          </cell>
        </row>
        <row r="4213">
          <cell r="F4213">
            <v>124</v>
          </cell>
        </row>
        <row r="4214">
          <cell r="A4214" t="str">
            <v>TREN</v>
          </cell>
          <cell r="B4214" t="str">
            <v>Renchido de piedra</v>
          </cell>
          <cell r="C4214" t="str">
            <v>M3</v>
          </cell>
          <cell r="D4214">
            <v>400</v>
          </cell>
        </row>
        <row r="4215">
          <cell r="A4215" t="str">
            <v>TSUBVIGA</v>
          </cell>
          <cell r="B4215" t="str">
            <v>subir y nivelar cerramientos de madera ( incluye fester, resanes y colados )</v>
          </cell>
          <cell r="C4215" t="str">
            <v>ML</v>
          </cell>
          <cell r="D4215">
            <v>140</v>
          </cell>
        </row>
        <row r="4215">
          <cell r="F4215">
            <v>135</v>
          </cell>
        </row>
        <row r="4216">
          <cell r="A4216" t="str">
            <v>TTEJA</v>
          </cell>
          <cell r="B4216" t="str">
            <v>Tejar, inculye costuras y caballeteros</v>
          </cell>
          <cell r="C4216" t="str">
            <v>M2</v>
          </cell>
          <cell r="D4216">
            <v>110</v>
          </cell>
        </row>
        <row r="4216">
          <cell r="F4216">
            <v>138</v>
          </cell>
        </row>
        <row r="4217">
          <cell r="A4217" t="str">
            <v>TPISORAJ</v>
          </cell>
          <cell r="B4217" t="str">
            <v>Instalación de piso de rajuela a canto en pisos</v>
          </cell>
          <cell r="C4217" t="str">
            <v>M2</v>
          </cell>
          <cell r="D4217">
            <v>1000</v>
          </cell>
        </row>
        <row r="4218">
          <cell r="A4218" t="str">
            <v>TACEITE</v>
          </cell>
          <cell r="B4218" t="str">
            <v>Limpiar y aplicar aceite o barniz sobre madera</v>
          </cell>
          <cell r="C4218" t="str">
            <v>M2</v>
          </cell>
          <cell r="D4218">
            <v>50</v>
          </cell>
        </row>
        <row r="4219">
          <cell r="A4219" t="str">
            <v>TIMP</v>
          </cell>
          <cell r="B4219" t="str">
            <v>Raspado de supercicie, repellado e impermeabilizado azotea</v>
          </cell>
          <cell r="C4219" t="str">
            <v>M2</v>
          </cell>
          <cell r="D4219">
            <v>50</v>
          </cell>
        </row>
        <row r="4220">
          <cell r="A4220" t="str">
            <v>TCENRAJ</v>
          </cell>
          <cell r="B4220" t="str">
            <v>Instalación de piso de rajuela a canto en cenefa ancho hasta 60 cms</v>
          </cell>
          <cell r="C4220" t="str">
            <v>ML</v>
          </cell>
          <cell r="D4220">
            <v>600</v>
          </cell>
        </row>
        <row r="4221">
          <cell r="A4221" t="str">
            <v>TVADO</v>
          </cell>
          <cell r="B4221" t="str">
            <v>Vado pluvial de 1 metro de ancho</v>
          </cell>
          <cell r="C4221" t="str">
            <v>ML</v>
          </cell>
          <cell r="D4221">
            <v>90</v>
          </cell>
        </row>
        <row r="4221">
          <cell r="F4221">
            <v>140</v>
          </cell>
        </row>
      </sheetData>
      <sheetData sheetId="1"/>
      <sheetData sheetId="2"/>
      <sheetData sheetId="3"/>
    </sheetDataSet>
  </externalBook>
</externalLink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<Relationship Id="rId5" Type="http://schemas.openxmlformats.org/officeDocument/2006/relationships/ctrlProp" Target="../ctrlProps/ctrlProps4.xml"/><Relationship Id="rId6" Type="http://schemas.openxmlformats.org/officeDocument/2006/relationships/ctrlProp" Target="../ctrlProps/ctrlProps5.xml"/><Relationship Id="rId7" Type="http://schemas.openxmlformats.org/officeDocument/2006/relationships/ctrlProp" Target="../ctrlProps/ctrlProps6.xml"/><Relationship Id="rId8" Type="http://schemas.openxmlformats.org/officeDocument/2006/relationships/ctrlProp" Target="../ctrlProps/ctrlProps7.xml"/><Relationship Id="rId9" Type="http://schemas.openxmlformats.org/officeDocument/2006/relationships/ctrlProp" Target="../ctrlProps/ctrlProps8.xml"/><Relationship Id="rId10" Type="http://schemas.openxmlformats.org/officeDocument/2006/relationships/ctrlProp" Target="../ctrlProps/ctrlProps9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true"/>
  </sheetPr>
  <dimension ref="A1:HR6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S15" activeCellId="0" sqref="S15:S21"/>
    </sheetView>
  </sheetViews>
  <sheetFormatPr defaultColWidth="9.15625" defaultRowHeight="12.75" zeroHeight="false" outlineLevelRow="0" outlineLevelCol="0"/>
  <cols>
    <col collapsed="false" customWidth="true" hidden="false" outlineLevel="0" max="1" min="1" style="0" width="7.42"/>
    <col collapsed="false" customWidth="true" hidden="false" outlineLevel="0" max="2" min="2" style="0" width="2.57"/>
    <col collapsed="false" customWidth="true" hidden="false" outlineLevel="0" max="3" min="3" style="0" width="0.42"/>
    <col collapsed="false" customWidth="true" hidden="false" outlineLevel="0" max="4" min="4" style="0" width="2.42"/>
    <col collapsed="false" customWidth="true" hidden="false" outlineLevel="0" max="5" min="5" style="0" width="15.42"/>
    <col collapsed="false" customWidth="true" hidden="false" outlineLevel="0" max="6" min="6" style="0" width="21.57"/>
    <col collapsed="false" customWidth="true" hidden="false" outlineLevel="0" max="7" min="7" style="0" width="9.58"/>
    <col collapsed="false" customWidth="true" hidden="false" outlineLevel="0" max="8" min="8" style="0" width="4.14"/>
    <col collapsed="false" customWidth="true" hidden="false" outlineLevel="0" max="9" min="9" style="0" width="5.43"/>
    <col collapsed="false" customWidth="true" hidden="false" outlineLevel="0" max="12" min="10" style="0" width="5.57"/>
    <col collapsed="false" customWidth="true" hidden="false" outlineLevel="0" max="13" min="13" style="0" width="7.15"/>
    <col collapsed="false" customWidth="true" hidden="false" outlineLevel="0" max="14" min="14" style="0" width="11.42"/>
    <col collapsed="false" customWidth="true" hidden="false" outlineLevel="0" max="15" min="15" style="0" width="14.57"/>
    <col collapsed="false" customWidth="true" hidden="false" outlineLevel="0" max="16" min="16" style="0" width="3.29"/>
    <col collapsed="false" customWidth="true" hidden="false" outlineLevel="0" max="17" min="17" style="0" width="13.57"/>
    <col collapsed="false" customWidth="true" hidden="false" outlineLevel="0" max="18" min="18" style="0" width="10.99"/>
    <col collapsed="false" customWidth="true" hidden="false" outlineLevel="0" max="19" min="19" style="1" width="7.86"/>
    <col collapsed="false" customWidth="true" hidden="false" outlineLevel="0" max="23" min="23" style="0" width="2.57"/>
    <col collapsed="false" customWidth="true" hidden="false" outlineLevel="0" max="24" min="24" style="0" width="2.85"/>
    <col collapsed="false" customWidth="true" hidden="false" outlineLevel="0" max="33" min="25" style="0" width="1.85"/>
    <col collapsed="false" customWidth="true" hidden="false" outlineLevel="0" max="123" min="34" style="0" width="2.71"/>
    <col collapsed="false" customWidth="true" hidden="false" outlineLevel="0" max="124" min="124" style="0" width="3.57"/>
    <col collapsed="false" customWidth="true" hidden="false" outlineLevel="0" max="125" min="125" style="0" width="2.57"/>
    <col collapsed="false" customWidth="true" hidden="false" outlineLevel="0" max="126" min="126" style="0" width="2.85"/>
    <col collapsed="false" customWidth="true" hidden="false" outlineLevel="0" max="129" min="127" style="0" width="7"/>
    <col collapsed="false" customWidth="true" hidden="false" outlineLevel="0" max="135" min="130" style="0" width="1.85"/>
    <col collapsed="false" customWidth="true" hidden="false" outlineLevel="0" max="175" min="136" style="0" width="2.71"/>
    <col collapsed="false" customWidth="true" hidden="false" outlineLevel="0" max="176" min="176" style="0" width="5.7"/>
    <col collapsed="false" customWidth="true" hidden="false" outlineLevel="0" max="200" min="177" style="0" width="2.71"/>
    <col collapsed="false" customWidth="true" hidden="false" outlineLevel="0" max="201" min="201" style="0" width="7"/>
    <col collapsed="false" customWidth="true" hidden="false" outlineLevel="0" max="225" min="202" style="0" width="2.71"/>
    <col collapsed="false" customWidth="true" hidden="false" outlineLevel="0" max="226" min="226" style="0" width="3.57"/>
  </cols>
  <sheetData>
    <row r="1" customFormat="false" ht="18" hidden="false" customHeight="false" outlineLevel="0" collapsed="false">
      <c r="A1" s="2"/>
      <c r="B1" s="3"/>
      <c r="C1" s="4"/>
      <c r="D1" s="5"/>
      <c r="E1" s="6" t="s">
        <v>0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7" t="s">
        <v>1</v>
      </c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</row>
    <row r="2" customFormat="false" ht="18" hidden="false" customHeight="false" outlineLevel="0" collapsed="false">
      <c r="A2" s="8"/>
      <c r="B2" s="8"/>
      <c r="C2" s="8"/>
      <c r="D2" s="5"/>
      <c r="E2" s="9" t="s">
        <v>2</v>
      </c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10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</row>
    <row r="3" customFormat="false" ht="15.75" hidden="false" customHeight="false" outlineLevel="0" collapsed="false">
      <c r="A3" s="11"/>
      <c r="B3" s="5"/>
      <c r="C3" s="12"/>
      <c r="D3" s="5"/>
      <c r="E3" s="9" t="s">
        <v>3</v>
      </c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13" t="str">
        <f aca="false">LEFT(D6,1)</f>
        <v>A</v>
      </c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</row>
    <row r="4" customFormat="false" ht="16.5" hidden="false" customHeight="false" outlineLevel="0" collapsed="false">
      <c r="A4" s="14"/>
      <c r="B4" s="15"/>
      <c r="C4" s="16"/>
      <c r="D4" s="5"/>
      <c r="E4" s="17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9"/>
      <c r="R4" s="20" t="str">
        <f aca="false">RIGHT(D6,4)</f>
        <v>002B</v>
      </c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</row>
    <row r="5" customFormat="false" ht="9.75" hidden="false" customHeight="true" outlineLevel="0" collapsed="false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</row>
    <row r="6" customFormat="false" ht="19.5" hidden="false" customHeight="true" outlineLevel="0" collapsed="false">
      <c r="A6" s="21" t="s">
        <v>4</v>
      </c>
      <c r="B6" s="21"/>
      <c r="C6" s="21"/>
      <c r="D6" s="21" t="s">
        <v>5</v>
      </c>
      <c r="E6" s="21"/>
      <c r="F6" s="22"/>
      <c r="G6" s="22"/>
      <c r="H6" s="22"/>
      <c r="I6" s="22"/>
      <c r="J6" s="22"/>
      <c r="K6" s="22"/>
      <c r="L6" s="22"/>
      <c r="M6" s="22"/>
      <c r="N6" s="22"/>
      <c r="O6" s="22"/>
      <c r="P6" s="23" t="s">
        <v>6</v>
      </c>
      <c r="Q6" s="23"/>
      <c r="R6" s="24"/>
      <c r="S6" s="25" t="str">
        <f aca="false">RIGHT(P6,3)</f>
        <v>007</v>
      </c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</row>
    <row r="7" customFormat="false" ht="27" hidden="false" customHeight="false" outlineLevel="0" collapsed="false">
      <c r="A7" s="21"/>
      <c r="B7" s="21"/>
      <c r="C7" s="21"/>
      <c r="D7" s="26" t="str">
        <f aca="false">VLOOKUP($D$6,[1]OB!$A$2:$I$1401,4,FALSE())</f>
        <v>MANTENIMIENTO DE APOYO VICKY AV ESPAÑA #1840</v>
      </c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7" t="s">
        <v>7</v>
      </c>
      <c r="Q7" s="27"/>
      <c r="R7" s="28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</row>
    <row r="8" customFormat="false" ht="16.5" hidden="false" customHeight="false" outlineLevel="0" collapsed="false">
      <c r="A8" s="21"/>
      <c r="B8" s="21"/>
      <c r="C8" s="21"/>
      <c r="D8" s="29" t="s">
        <v>8</v>
      </c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30"/>
      <c r="Q8" s="30"/>
      <c r="R8" s="28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</row>
    <row r="9" customFormat="false" ht="9.75" hidden="false" customHeight="true" outlineLevel="0" collapsed="false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</row>
    <row r="10" customFormat="false" ht="20.25" hidden="false" customHeight="true" outlineLevel="0" collapsed="false">
      <c r="A10" s="31" t="s">
        <v>9</v>
      </c>
      <c r="B10" s="32" t="n">
        <f aca="false">VLOOKUP(E10,[2]FECHAS!$AB$2:$AE$53,4,0)</f>
        <v>7</v>
      </c>
      <c r="C10" s="32"/>
      <c r="D10" s="32"/>
      <c r="E10" s="33" t="n">
        <v>44970</v>
      </c>
      <c r="F10" s="34" t="n">
        <f aca="false">+E10+6</f>
        <v>44976</v>
      </c>
      <c r="G10" s="35"/>
      <c r="H10" s="36"/>
      <c r="I10" s="36"/>
      <c r="J10" s="37"/>
      <c r="K10" s="36"/>
      <c r="L10" s="36"/>
      <c r="M10" s="36"/>
      <c r="N10" s="36"/>
      <c r="O10" s="36"/>
      <c r="P10" s="36"/>
      <c r="Q10" s="38"/>
      <c r="R10" s="39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</row>
    <row r="11" customFormat="false" ht="9.75" hidden="false" customHeight="true" outlineLevel="0" collapsed="false">
      <c r="A11" s="5"/>
      <c r="B11" s="5"/>
      <c r="C11" s="5"/>
      <c r="D11" s="40" t="s">
        <v>10</v>
      </c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</row>
    <row r="12" customFormat="false" ht="19.5" hidden="false" customHeight="true" outlineLevel="0" collapsed="false">
      <c r="A12" s="41" t="s">
        <v>1</v>
      </c>
      <c r="B12" s="42"/>
      <c r="C12" s="43" t="s">
        <v>11</v>
      </c>
      <c r="D12" s="43"/>
      <c r="E12" s="44"/>
      <c r="F12" s="44"/>
      <c r="G12" s="42" t="s">
        <v>12</v>
      </c>
      <c r="H12" s="42" t="s">
        <v>13</v>
      </c>
      <c r="I12" s="43" t="s">
        <v>14</v>
      </c>
      <c r="J12" s="42" t="s">
        <v>15</v>
      </c>
      <c r="K12" s="42" t="s">
        <v>16</v>
      </c>
      <c r="L12" s="42" t="s">
        <v>17</v>
      </c>
      <c r="M12" s="42" t="s">
        <v>18</v>
      </c>
      <c r="N12" s="42" t="s">
        <v>19</v>
      </c>
      <c r="O12" s="42" t="s">
        <v>20</v>
      </c>
      <c r="P12" s="42"/>
      <c r="Q12" s="42" t="s">
        <v>21</v>
      </c>
      <c r="R12" s="45" t="s">
        <v>22</v>
      </c>
      <c r="S12" s="46" t="s">
        <v>13</v>
      </c>
      <c r="T12" s="47"/>
      <c r="U12" s="47"/>
      <c r="V12" s="47"/>
      <c r="W12" s="47"/>
      <c r="X12" s="47"/>
      <c r="Y12" s="48" t="n">
        <v>1</v>
      </c>
      <c r="Z12" s="49" t="n">
        <v>2</v>
      </c>
      <c r="AA12" s="49" t="n">
        <v>3</v>
      </c>
      <c r="AB12" s="49" t="n">
        <v>4</v>
      </c>
      <c r="AC12" s="49" t="n">
        <v>5</v>
      </c>
      <c r="AD12" s="49" t="n">
        <v>6</v>
      </c>
      <c r="AE12" s="49" t="n">
        <v>7</v>
      </c>
      <c r="AF12" s="49" t="n">
        <v>8</v>
      </c>
      <c r="AG12" s="49" t="n">
        <v>9</v>
      </c>
      <c r="AH12" s="49" t="n">
        <v>10</v>
      </c>
      <c r="AI12" s="49" t="n">
        <v>11</v>
      </c>
      <c r="AJ12" s="49" t="n">
        <v>12</v>
      </c>
      <c r="AK12" s="49" t="n">
        <v>13</v>
      </c>
      <c r="AL12" s="49" t="n">
        <v>14</v>
      </c>
      <c r="AM12" s="49" t="n">
        <v>15</v>
      </c>
      <c r="AN12" s="49" t="n">
        <v>16</v>
      </c>
      <c r="AO12" s="49" t="n">
        <v>17</v>
      </c>
      <c r="AP12" s="49" t="n">
        <v>18</v>
      </c>
      <c r="AQ12" s="49" t="n">
        <v>19</v>
      </c>
      <c r="AR12" s="49" t="n">
        <v>20</v>
      </c>
      <c r="AS12" s="49" t="n">
        <v>21</v>
      </c>
      <c r="AT12" s="49" t="n">
        <v>22</v>
      </c>
      <c r="AU12" s="49" t="n">
        <v>23</v>
      </c>
      <c r="AV12" s="49" t="n">
        <v>24</v>
      </c>
      <c r="AW12" s="49" t="n">
        <v>25</v>
      </c>
      <c r="AX12" s="49" t="n">
        <v>26</v>
      </c>
      <c r="AY12" s="49" t="n">
        <v>27</v>
      </c>
      <c r="AZ12" s="49" t="n">
        <v>28</v>
      </c>
      <c r="BA12" s="49" t="n">
        <v>29</v>
      </c>
      <c r="BB12" s="49" t="n">
        <v>30</v>
      </c>
      <c r="BC12" s="49" t="n">
        <v>31</v>
      </c>
      <c r="BD12" s="49" t="n">
        <v>32</v>
      </c>
      <c r="BE12" s="49" t="n">
        <v>33</v>
      </c>
      <c r="BF12" s="49" t="n">
        <v>34</v>
      </c>
      <c r="BG12" s="49" t="n">
        <v>35</v>
      </c>
      <c r="BH12" s="49" t="n">
        <v>36</v>
      </c>
      <c r="BI12" s="49" t="n">
        <v>37</v>
      </c>
      <c r="BJ12" s="49" t="n">
        <v>38</v>
      </c>
      <c r="BK12" s="49" t="n">
        <v>39</v>
      </c>
      <c r="BL12" s="49" t="n">
        <v>40</v>
      </c>
      <c r="BM12" s="49" t="n">
        <v>41</v>
      </c>
      <c r="BN12" s="49" t="n">
        <v>42</v>
      </c>
      <c r="BO12" s="49" t="n">
        <v>43</v>
      </c>
      <c r="BP12" s="49" t="n">
        <v>44</v>
      </c>
      <c r="BQ12" s="49" t="n">
        <v>45</v>
      </c>
      <c r="BR12" s="49" t="n">
        <v>46</v>
      </c>
      <c r="BS12" s="49" t="n">
        <v>47</v>
      </c>
      <c r="BT12" s="49" t="n">
        <v>48</v>
      </c>
      <c r="BU12" s="49" t="n">
        <v>49</v>
      </c>
      <c r="BV12" s="49" t="n">
        <v>50</v>
      </c>
      <c r="BW12" s="49" t="n">
        <v>51</v>
      </c>
      <c r="BX12" s="49" t="n">
        <v>52</v>
      </c>
      <c r="BY12" s="49" t="n">
        <v>53</v>
      </c>
      <c r="BZ12" s="49" t="n">
        <v>54</v>
      </c>
      <c r="CA12" s="49" t="n">
        <v>55</v>
      </c>
      <c r="CB12" s="49" t="n">
        <v>56</v>
      </c>
      <c r="CC12" s="49" t="n">
        <v>57</v>
      </c>
      <c r="CD12" s="49" t="n">
        <v>58</v>
      </c>
      <c r="CE12" s="49" t="n">
        <v>59</v>
      </c>
      <c r="CF12" s="49" t="n">
        <v>60</v>
      </c>
      <c r="CG12" s="49" t="n">
        <v>61</v>
      </c>
      <c r="CH12" s="49" t="n">
        <v>62</v>
      </c>
      <c r="CI12" s="49" t="n">
        <v>63</v>
      </c>
      <c r="CJ12" s="49" t="n">
        <v>64</v>
      </c>
      <c r="CK12" s="49" t="n">
        <v>65</v>
      </c>
      <c r="CL12" s="49" t="n">
        <v>66</v>
      </c>
      <c r="CM12" s="49" t="n">
        <v>67</v>
      </c>
      <c r="CN12" s="49" t="n">
        <v>68</v>
      </c>
      <c r="CO12" s="49" t="n">
        <v>69</v>
      </c>
      <c r="CP12" s="49" t="n">
        <v>70</v>
      </c>
      <c r="CQ12" s="49" t="n">
        <v>71</v>
      </c>
      <c r="CR12" s="49" t="n">
        <v>72</v>
      </c>
      <c r="CS12" s="49" t="n">
        <v>73</v>
      </c>
      <c r="CT12" s="49" t="n">
        <v>74</v>
      </c>
      <c r="CU12" s="49" t="n">
        <v>75</v>
      </c>
      <c r="CV12" s="49" t="n">
        <v>76</v>
      </c>
      <c r="CW12" s="49" t="n">
        <v>77</v>
      </c>
      <c r="CX12" s="49" t="n">
        <v>78</v>
      </c>
      <c r="CY12" s="49" t="n">
        <v>79</v>
      </c>
      <c r="CZ12" s="49" t="n">
        <v>80</v>
      </c>
      <c r="DA12" s="49" t="n">
        <v>81</v>
      </c>
      <c r="DB12" s="49" t="n">
        <v>82</v>
      </c>
      <c r="DC12" s="49" t="n">
        <v>83</v>
      </c>
      <c r="DD12" s="49" t="n">
        <v>84</v>
      </c>
      <c r="DE12" s="49" t="n">
        <v>85</v>
      </c>
      <c r="DF12" s="49" t="n">
        <v>86</v>
      </c>
      <c r="DG12" s="49" t="n">
        <v>87</v>
      </c>
      <c r="DH12" s="49" t="n">
        <v>88</v>
      </c>
      <c r="DI12" s="49" t="n">
        <v>89</v>
      </c>
      <c r="DJ12" s="49" t="n">
        <v>90</v>
      </c>
      <c r="DK12" s="49" t="n">
        <v>91</v>
      </c>
      <c r="DL12" s="49" t="n">
        <v>92</v>
      </c>
      <c r="DM12" s="49" t="n">
        <v>93</v>
      </c>
      <c r="DN12" s="49" t="n">
        <v>94</v>
      </c>
      <c r="DO12" s="49" t="n">
        <v>95</v>
      </c>
      <c r="DP12" s="49" t="n">
        <v>96</v>
      </c>
      <c r="DQ12" s="49" t="n">
        <v>97</v>
      </c>
      <c r="DR12" s="49" t="n">
        <v>98</v>
      </c>
      <c r="DS12" s="49" t="n">
        <v>99</v>
      </c>
      <c r="DT12" s="50" t="n">
        <v>100</v>
      </c>
      <c r="DU12" s="47"/>
      <c r="DV12" s="47"/>
      <c r="DW12" s="48" t="n">
        <v>1</v>
      </c>
      <c r="DX12" s="49" t="n">
        <v>2</v>
      </c>
      <c r="DY12" s="49" t="n">
        <v>3</v>
      </c>
      <c r="DZ12" s="49" t="n">
        <v>4</v>
      </c>
      <c r="EA12" s="49" t="n">
        <v>5</v>
      </c>
      <c r="EB12" s="49" t="n">
        <v>6</v>
      </c>
      <c r="EC12" s="49" t="n">
        <v>7</v>
      </c>
      <c r="ED12" s="49" t="n">
        <v>8</v>
      </c>
      <c r="EE12" s="49" t="n">
        <v>9</v>
      </c>
      <c r="EF12" s="49" t="n">
        <v>10</v>
      </c>
      <c r="EG12" s="49" t="n">
        <v>11</v>
      </c>
      <c r="EH12" s="49" t="n">
        <v>12</v>
      </c>
      <c r="EI12" s="49" t="n">
        <v>13</v>
      </c>
      <c r="EJ12" s="49" t="n">
        <v>14</v>
      </c>
      <c r="EK12" s="49" t="n">
        <v>15</v>
      </c>
      <c r="EL12" s="49" t="n">
        <v>16</v>
      </c>
      <c r="EM12" s="49" t="n">
        <v>17</v>
      </c>
      <c r="EN12" s="49" t="n">
        <v>18</v>
      </c>
      <c r="EO12" s="49" t="n">
        <v>19</v>
      </c>
      <c r="EP12" s="49" t="n">
        <v>20</v>
      </c>
      <c r="EQ12" s="49" t="n">
        <v>21</v>
      </c>
      <c r="ER12" s="49" t="n">
        <v>22</v>
      </c>
      <c r="ES12" s="49" t="n">
        <v>23</v>
      </c>
      <c r="ET12" s="49" t="n">
        <v>24</v>
      </c>
      <c r="EU12" s="49" t="n">
        <v>25</v>
      </c>
      <c r="EV12" s="49" t="n">
        <v>26</v>
      </c>
      <c r="EW12" s="49" t="n">
        <v>27</v>
      </c>
      <c r="EX12" s="49" t="n">
        <v>28</v>
      </c>
      <c r="EY12" s="49" t="n">
        <v>29</v>
      </c>
      <c r="EZ12" s="49" t="n">
        <v>30</v>
      </c>
      <c r="FA12" s="49" t="n">
        <v>31</v>
      </c>
      <c r="FB12" s="49" t="n">
        <v>32</v>
      </c>
      <c r="FC12" s="49" t="n">
        <v>33</v>
      </c>
      <c r="FD12" s="49" t="n">
        <v>34</v>
      </c>
      <c r="FE12" s="49" t="n">
        <v>35</v>
      </c>
      <c r="FF12" s="49" t="n">
        <v>36</v>
      </c>
      <c r="FG12" s="49" t="n">
        <v>37</v>
      </c>
      <c r="FH12" s="49" t="n">
        <v>38</v>
      </c>
      <c r="FI12" s="49" t="n">
        <v>39</v>
      </c>
      <c r="FJ12" s="49" t="n">
        <v>40</v>
      </c>
      <c r="FK12" s="49" t="n">
        <v>41</v>
      </c>
      <c r="FL12" s="49" t="n">
        <v>42</v>
      </c>
      <c r="FM12" s="49" t="n">
        <v>43</v>
      </c>
      <c r="FN12" s="49" t="n">
        <v>44</v>
      </c>
      <c r="FO12" s="49" t="n">
        <v>45</v>
      </c>
      <c r="FP12" s="49" t="n">
        <v>46</v>
      </c>
      <c r="FQ12" s="49" t="n">
        <v>47</v>
      </c>
      <c r="FR12" s="49" t="n">
        <v>48</v>
      </c>
      <c r="FS12" s="49" t="n">
        <v>49</v>
      </c>
      <c r="FT12" s="49" t="n">
        <v>50</v>
      </c>
      <c r="FU12" s="49" t="n">
        <v>51</v>
      </c>
      <c r="FV12" s="49" t="n">
        <v>52</v>
      </c>
      <c r="FW12" s="49" t="n">
        <v>53</v>
      </c>
      <c r="FX12" s="49" t="n">
        <v>54</v>
      </c>
      <c r="FY12" s="49" t="n">
        <v>55</v>
      </c>
      <c r="FZ12" s="49" t="n">
        <v>56</v>
      </c>
      <c r="GA12" s="49" t="n">
        <v>57</v>
      </c>
      <c r="GB12" s="49" t="n">
        <v>58</v>
      </c>
      <c r="GC12" s="49" t="n">
        <v>59</v>
      </c>
      <c r="GD12" s="49" t="n">
        <v>60</v>
      </c>
      <c r="GE12" s="49" t="n">
        <v>61</v>
      </c>
      <c r="GF12" s="49" t="n">
        <v>62</v>
      </c>
      <c r="GG12" s="49" t="n">
        <v>63</v>
      </c>
      <c r="GH12" s="49" t="n">
        <v>64</v>
      </c>
      <c r="GI12" s="49" t="n">
        <v>65</v>
      </c>
      <c r="GJ12" s="49" t="n">
        <v>66</v>
      </c>
      <c r="GK12" s="49" t="n">
        <v>67</v>
      </c>
      <c r="GL12" s="49" t="n">
        <v>68</v>
      </c>
      <c r="GM12" s="49" t="n">
        <v>69</v>
      </c>
      <c r="GN12" s="49" t="n">
        <v>70</v>
      </c>
      <c r="GO12" s="49" t="n">
        <v>71</v>
      </c>
      <c r="GP12" s="49" t="n">
        <v>72</v>
      </c>
      <c r="GQ12" s="49" t="n">
        <v>73</v>
      </c>
      <c r="GR12" s="49" t="n">
        <v>74</v>
      </c>
      <c r="GS12" s="49" t="n">
        <v>75</v>
      </c>
      <c r="GT12" s="49" t="n">
        <v>76</v>
      </c>
      <c r="GU12" s="49" t="n">
        <v>77</v>
      </c>
      <c r="GV12" s="49" t="n">
        <v>78</v>
      </c>
      <c r="GW12" s="49" t="n">
        <v>79</v>
      </c>
      <c r="GX12" s="49" t="n">
        <v>80</v>
      </c>
      <c r="GY12" s="49" t="n">
        <v>81</v>
      </c>
      <c r="GZ12" s="49" t="n">
        <v>82</v>
      </c>
      <c r="HA12" s="49" t="n">
        <v>83</v>
      </c>
      <c r="HB12" s="49" t="n">
        <v>84</v>
      </c>
      <c r="HC12" s="49" t="n">
        <v>85</v>
      </c>
      <c r="HD12" s="49" t="n">
        <v>86</v>
      </c>
      <c r="HE12" s="49" t="n">
        <v>87</v>
      </c>
      <c r="HF12" s="49" t="n">
        <v>88</v>
      </c>
      <c r="HG12" s="49" t="n">
        <v>89</v>
      </c>
      <c r="HH12" s="49" t="n">
        <v>90</v>
      </c>
      <c r="HI12" s="49" t="n">
        <v>91</v>
      </c>
      <c r="HJ12" s="49" t="n">
        <v>92</v>
      </c>
      <c r="HK12" s="49" t="n">
        <v>93</v>
      </c>
      <c r="HL12" s="49" t="n">
        <v>94</v>
      </c>
      <c r="HM12" s="49" t="n">
        <v>95</v>
      </c>
      <c r="HN12" s="49" t="n">
        <v>96</v>
      </c>
      <c r="HO12" s="49" t="n">
        <v>97</v>
      </c>
      <c r="HP12" s="49" t="n">
        <v>98</v>
      </c>
      <c r="HQ12" s="49" t="n">
        <v>99</v>
      </c>
      <c r="HR12" s="50" t="n">
        <v>100</v>
      </c>
    </row>
    <row r="13" customFormat="false" ht="13.5" hidden="false" customHeight="false" outlineLevel="0" collapsed="false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1"/>
      <c r="T13" s="47"/>
      <c r="U13" s="47"/>
      <c r="V13" s="47"/>
      <c r="W13" s="47"/>
      <c r="X13" s="52" t="s">
        <v>23</v>
      </c>
      <c r="Y13" s="53" t="n">
        <f aca="false">SUM(Y14:Y57)</f>
        <v>0</v>
      </c>
      <c r="Z13" s="54" t="n">
        <f aca="false">SUM(Z14:Z57)</f>
        <v>0</v>
      </c>
      <c r="AA13" s="54" t="n">
        <f aca="false">SUM(AA14:AA57)</f>
        <v>0</v>
      </c>
      <c r="AB13" s="54" t="n">
        <f aca="false">SUM(AB14:AB57)</f>
        <v>0</v>
      </c>
      <c r="AC13" s="54" t="n">
        <f aca="false">SUM(AC14:AC57)</f>
        <v>0</v>
      </c>
      <c r="AD13" s="54" t="n">
        <f aca="false">SUM(AD14:AD57)</f>
        <v>0</v>
      </c>
      <c r="AE13" s="54" t="n">
        <f aca="false">SUM(AE14:AE57)</f>
        <v>0</v>
      </c>
      <c r="AF13" s="54" t="n">
        <f aca="false">SUM(AF14:AF57)</f>
        <v>0</v>
      </c>
      <c r="AG13" s="54" t="n">
        <f aca="false">SUM(AG14:AG57)</f>
        <v>0</v>
      </c>
      <c r="AH13" s="54" t="n">
        <f aca="false">SUM(AH14:AH57)</f>
        <v>0</v>
      </c>
      <c r="AI13" s="54" t="n">
        <f aca="false">SUM(AI14:AI57)</f>
        <v>0</v>
      </c>
      <c r="AJ13" s="54" t="n">
        <f aca="false">SUM(AJ14:AJ57)</f>
        <v>0</v>
      </c>
      <c r="AK13" s="54" t="n">
        <f aca="false">SUM(AK14:AK57)</f>
        <v>0</v>
      </c>
      <c r="AL13" s="54" t="n">
        <f aca="false">SUM(AL14:AL57)</f>
        <v>0</v>
      </c>
      <c r="AM13" s="54" t="n">
        <f aca="false">SUM(AM14:AM57)</f>
        <v>0</v>
      </c>
      <c r="AN13" s="54" t="n">
        <f aca="false">SUM(AN14:AN57)</f>
        <v>0</v>
      </c>
      <c r="AO13" s="54" t="n">
        <f aca="false">SUM(AO14:AO57)</f>
        <v>0</v>
      </c>
      <c r="AP13" s="54" t="n">
        <f aca="false">SUM(AP14:AP57)</f>
        <v>0</v>
      </c>
      <c r="AQ13" s="54" t="n">
        <f aca="false">SUM(AQ14:AQ57)</f>
        <v>0</v>
      </c>
      <c r="AR13" s="54" t="n">
        <f aca="false">SUM(AR14:AR57)</f>
        <v>0</v>
      </c>
      <c r="AS13" s="54" t="n">
        <f aca="false">SUM(AS14:AS57)</f>
        <v>0</v>
      </c>
      <c r="AT13" s="54" t="n">
        <f aca="false">SUM(AT14:AT57)</f>
        <v>0</v>
      </c>
      <c r="AU13" s="54" t="n">
        <f aca="false">SUM(AU14:AU57)</f>
        <v>0</v>
      </c>
      <c r="AV13" s="54" t="n">
        <f aca="false">SUM(AV14:AV57)</f>
        <v>0</v>
      </c>
      <c r="AW13" s="54" t="n">
        <f aca="false">SUM(AW14:AW57)</f>
        <v>0</v>
      </c>
      <c r="AX13" s="54" t="n">
        <f aca="false">SUM(AX14:AX57)</f>
        <v>0</v>
      </c>
      <c r="AY13" s="54" t="n">
        <f aca="false">SUM(AY14:AY57)</f>
        <v>0</v>
      </c>
      <c r="AZ13" s="54" t="n">
        <f aca="false">SUM(AZ14:AZ57)</f>
        <v>0</v>
      </c>
      <c r="BA13" s="54" t="n">
        <f aca="false">SUM(BA14:BA57)</f>
        <v>0</v>
      </c>
      <c r="BB13" s="54" t="n">
        <f aca="false">SUM(BB14:BB57)</f>
        <v>0</v>
      </c>
      <c r="BC13" s="54" t="n">
        <f aca="false">SUM(BC14:BC57)</f>
        <v>0</v>
      </c>
      <c r="BD13" s="54" t="n">
        <f aca="false">SUM(BD14:BD57)</f>
        <v>0</v>
      </c>
      <c r="BE13" s="54" t="n">
        <f aca="false">SUM(BE14:BE57)</f>
        <v>0</v>
      </c>
      <c r="BF13" s="54" t="n">
        <f aca="false">SUM(BF14:BF57)</f>
        <v>0</v>
      </c>
      <c r="BG13" s="54" t="n">
        <f aca="false">SUM(BG14:BG57)</f>
        <v>0</v>
      </c>
      <c r="BH13" s="54" t="n">
        <f aca="false">SUM(BH14:BH57)</f>
        <v>0</v>
      </c>
      <c r="BI13" s="54" t="n">
        <f aca="false">SUM(BI14:BI57)</f>
        <v>0</v>
      </c>
      <c r="BJ13" s="54" t="n">
        <f aca="false">SUM(BJ14:BJ57)</f>
        <v>0</v>
      </c>
      <c r="BK13" s="54" t="n">
        <f aca="false">SUM(BK14:BK57)</f>
        <v>0</v>
      </c>
      <c r="BL13" s="54" t="n">
        <f aca="false">SUM(BL14:BL57)</f>
        <v>0</v>
      </c>
      <c r="BM13" s="54" t="n">
        <f aca="false">SUM(BM14:BM57)</f>
        <v>0</v>
      </c>
      <c r="BN13" s="54" t="n">
        <f aca="false">SUM(BN14:BN57)</f>
        <v>0</v>
      </c>
      <c r="BO13" s="54" t="n">
        <f aca="false">SUM(BO14:BO57)</f>
        <v>0</v>
      </c>
      <c r="BP13" s="54" t="n">
        <f aca="false">SUM(BP14:BP57)</f>
        <v>0</v>
      </c>
      <c r="BQ13" s="54" t="n">
        <f aca="false">SUM(BQ14:BQ57)</f>
        <v>0</v>
      </c>
      <c r="BR13" s="54" t="n">
        <f aca="false">SUM(BR14:BR57)</f>
        <v>0</v>
      </c>
      <c r="BS13" s="54" t="n">
        <f aca="false">SUM(BS14:BS57)</f>
        <v>0</v>
      </c>
      <c r="BT13" s="54" t="n">
        <f aca="false">SUM(BT14:BT57)</f>
        <v>0</v>
      </c>
      <c r="BU13" s="54" t="n">
        <f aca="false">SUM(BU14:BU57)</f>
        <v>0</v>
      </c>
      <c r="BV13" s="54" t="n">
        <f aca="false">SUM(BV14:BV57)</f>
        <v>0</v>
      </c>
      <c r="BW13" s="54" t="n">
        <f aca="false">SUM(BW14:BW57)</f>
        <v>0</v>
      </c>
      <c r="BX13" s="54" t="n">
        <f aca="false">SUM(BX14:BX57)</f>
        <v>0</v>
      </c>
      <c r="BY13" s="54" t="n">
        <f aca="false">SUM(BY14:BY57)</f>
        <v>0</v>
      </c>
      <c r="BZ13" s="54" t="n">
        <f aca="false">SUM(BZ14:BZ57)</f>
        <v>0</v>
      </c>
      <c r="CA13" s="54" t="n">
        <f aca="false">SUM(CA14:CA57)</f>
        <v>0</v>
      </c>
      <c r="CB13" s="54" t="n">
        <f aca="false">SUM(CB14:CB57)</f>
        <v>0</v>
      </c>
      <c r="CC13" s="54" t="n">
        <f aca="false">SUM(CC14:CC57)</f>
        <v>0</v>
      </c>
      <c r="CD13" s="54" t="n">
        <f aca="false">SUM(CD14:CD57)</f>
        <v>0</v>
      </c>
      <c r="CE13" s="54" t="n">
        <f aca="false">SUM(CE14:CE57)</f>
        <v>0</v>
      </c>
      <c r="CF13" s="54" t="n">
        <f aca="false">SUM(CF14:CF57)</f>
        <v>0</v>
      </c>
      <c r="CG13" s="54" t="n">
        <f aca="false">SUM(CG14:CG57)</f>
        <v>0</v>
      </c>
      <c r="CH13" s="54" t="n">
        <f aca="false">SUM(CH14:CH57)</f>
        <v>0</v>
      </c>
      <c r="CI13" s="54" t="n">
        <f aca="false">SUM(CI14:CI57)</f>
        <v>0</v>
      </c>
      <c r="CJ13" s="54" t="n">
        <f aca="false">SUM(CJ14:CJ57)</f>
        <v>0</v>
      </c>
      <c r="CK13" s="54" t="n">
        <f aca="false">SUM(CK14:CK57)</f>
        <v>0</v>
      </c>
      <c r="CL13" s="54" t="n">
        <f aca="false">SUM(CL14:CL57)</f>
        <v>0</v>
      </c>
      <c r="CM13" s="54" t="n">
        <f aca="false">SUM(CM14:CM57)</f>
        <v>0</v>
      </c>
      <c r="CN13" s="54" t="n">
        <f aca="false">SUM(CN14:CN57)</f>
        <v>0</v>
      </c>
      <c r="CO13" s="54" t="n">
        <f aca="false">SUM(CO14:CO57)</f>
        <v>0</v>
      </c>
      <c r="CP13" s="54" t="n">
        <f aca="false">SUM(CP14:CP57)</f>
        <v>0</v>
      </c>
      <c r="CQ13" s="54" t="n">
        <f aca="false">SUM(CQ14:CQ57)</f>
        <v>0</v>
      </c>
      <c r="CR13" s="54" t="n">
        <f aca="false">SUM(CR14:CR57)</f>
        <v>0</v>
      </c>
      <c r="CS13" s="54" t="n">
        <f aca="false">SUM(CS14:CS57)</f>
        <v>0</v>
      </c>
      <c r="CT13" s="54" t="n">
        <f aca="false">SUM(CT14:CT57)</f>
        <v>0</v>
      </c>
      <c r="CU13" s="54" t="n">
        <f aca="false">SUM(CU14:CU57)</f>
        <v>0</v>
      </c>
      <c r="CV13" s="54" t="n">
        <f aca="false">SUM(CV14:CV57)</f>
        <v>0</v>
      </c>
      <c r="CW13" s="54" t="n">
        <f aca="false">SUM(CW14:CW57)</f>
        <v>0</v>
      </c>
      <c r="CX13" s="54" t="n">
        <f aca="false">SUM(CX14:CX57)</f>
        <v>0</v>
      </c>
      <c r="CY13" s="54" t="n">
        <f aca="false">SUM(CY14:CY57)</f>
        <v>0</v>
      </c>
      <c r="CZ13" s="54" t="n">
        <f aca="false">SUM(CZ14:CZ57)</f>
        <v>0</v>
      </c>
      <c r="DA13" s="54" t="n">
        <f aca="false">SUM(DA14:DA57)</f>
        <v>0</v>
      </c>
      <c r="DB13" s="54" t="n">
        <f aca="false">SUM(DB14:DB57)</f>
        <v>0</v>
      </c>
      <c r="DC13" s="54" t="n">
        <f aca="false">SUM(DC14:DC57)</f>
        <v>0</v>
      </c>
      <c r="DD13" s="54" t="n">
        <f aca="false">SUM(DD14:DD57)</f>
        <v>0</v>
      </c>
      <c r="DE13" s="54" t="n">
        <f aca="false">SUM(DE14:DE57)</f>
        <v>0</v>
      </c>
      <c r="DF13" s="54" t="n">
        <f aca="false">SUM(DF14:DF57)</f>
        <v>0</v>
      </c>
      <c r="DG13" s="54" t="n">
        <f aca="false">SUM(DG14:DG57)</f>
        <v>0</v>
      </c>
      <c r="DH13" s="54" t="n">
        <f aca="false">SUM(DH14:DH57)</f>
        <v>0</v>
      </c>
      <c r="DI13" s="54" t="n">
        <f aca="false">SUM(DI14:DI57)</f>
        <v>0</v>
      </c>
      <c r="DJ13" s="54" t="n">
        <f aca="false">SUM(DJ14:DJ57)</f>
        <v>0</v>
      </c>
      <c r="DK13" s="54" t="n">
        <f aca="false">SUM(DK14:DK57)</f>
        <v>0</v>
      </c>
      <c r="DL13" s="54" t="n">
        <f aca="false">SUM(DL14:DL57)</f>
        <v>0</v>
      </c>
      <c r="DM13" s="54" t="n">
        <f aca="false">SUM(DM14:DM57)</f>
        <v>0</v>
      </c>
      <c r="DN13" s="54" t="n">
        <f aca="false">SUM(DN14:DN57)</f>
        <v>0</v>
      </c>
      <c r="DO13" s="54" t="n">
        <f aca="false">SUM(DO14:DO57)</f>
        <v>0</v>
      </c>
      <c r="DP13" s="54" t="n">
        <f aca="false">SUM(DP14:DP57)</f>
        <v>0</v>
      </c>
      <c r="DQ13" s="54" t="n">
        <f aca="false">SUM(DQ14:DQ57)</f>
        <v>0</v>
      </c>
      <c r="DR13" s="54" t="n">
        <f aca="false">SUM(DR14:DR57)</f>
        <v>0</v>
      </c>
      <c r="DS13" s="54" t="n">
        <f aca="false">SUM(DS14:DS57)</f>
        <v>0</v>
      </c>
      <c r="DT13" s="55" t="n">
        <f aca="false">SUM(DT14:DT57)</f>
        <v>0</v>
      </c>
      <c r="DU13" s="56"/>
      <c r="DV13" s="52" t="s">
        <v>23</v>
      </c>
      <c r="DW13" s="53" t="n">
        <f aca="false">SUM(DW14:DW57)</f>
        <v>0</v>
      </c>
      <c r="DX13" s="54" t="n">
        <f aca="false">SUM(DX14:DX57)</f>
        <v>0</v>
      </c>
      <c r="DY13" s="54" t="n">
        <f aca="false">SUM(DY14:DY57)</f>
        <v>0</v>
      </c>
      <c r="DZ13" s="54" t="n">
        <f aca="false">SUM(DZ14:DZ57)</f>
        <v>0</v>
      </c>
      <c r="EA13" s="54" t="n">
        <f aca="false">SUM(EA14:EA57)</f>
        <v>0</v>
      </c>
      <c r="EB13" s="54" t="n">
        <f aca="false">SUM(EB14:EB57)</f>
        <v>0</v>
      </c>
      <c r="EC13" s="54" t="n">
        <f aca="false">SUM(EC14:EC57)</f>
        <v>0</v>
      </c>
      <c r="ED13" s="54" t="n">
        <f aca="false">SUM(ED14:ED57)</f>
        <v>0</v>
      </c>
      <c r="EE13" s="54" t="n">
        <f aca="false">SUM(EE14:EE57)</f>
        <v>0</v>
      </c>
      <c r="EF13" s="54" t="n">
        <f aca="false">SUM(EF14:EF57)</f>
        <v>0</v>
      </c>
      <c r="EG13" s="54" t="n">
        <f aca="false">SUM(EG14:EG57)</f>
        <v>0</v>
      </c>
      <c r="EH13" s="54" t="n">
        <f aca="false">SUM(EH14:EH57)</f>
        <v>0</v>
      </c>
      <c r="EI13" s="54" t="n">
        <f aca="false">SUM(EI14:EI57)</f>
        <v>0</v>
      </c>
      <c r="EJ13" s="54" t="n">
        <f aca="false">SUM(EJ14:EJ57)</f>
        <v>0</v>
      </c>
      <c r="EK13" s="54" t="n">
        <f aca="false">SUM(EK14:EK57)</f>
        <v>0</v>
      </c>
      <c r="EL13" s="54" t="n">
        <f aca="false">SUM(EL14:EL57)</f>
        <v>0</v>
      </c>
      <c r="EM13" s="54" t="n">
        <f aca="false">SUM(EM14:EM57)</f>
        <v>0</v>
      </c>
      <c r="EN13" s="54" t="n">
        <f aca="false">SUM(EN14:EN57)</f>
        <v>0</v>
      </c>
      <c r="EO13" s="54" t="n">
        <f aca="false">SUM(EO14:EO57)</f>
        <v>0</v>
      </c>
      <c r="EP13" s="54" t="n">
        <f aca="false">SUM(EP14:EP57)</f>
        <v>0</v>
      </c>
      <c r="EQ13" s="54" t="n">
        <f aca="false">SUM(EQ14:EQ57)</f>
        <v>0</v>
      </c>
      <c r="ER13" s="54" t="n">
        <f aca="false">SUM(ER14:ER57)</f>
        <v>0</v>
      </c>
      <c r="ES13" s="54" t="n">
        <f aca="false">SUM(ES14:ES57)</f>
        <v>0</v>
      </c>
      <c r="ET13" s="54" t="n">
        <f aca="false">SUM(ET14:ET57)</f>
        <v>0</v>
      </c>
      <c r="EU13" s="54" t="n">
        <f aca="false">SUM(EU14:EU57)</f>
        <v>0</v>
      </c>
      <c r="EV13" s="54" t="n">
        <f aca="false">SUM(EV14:EV57)</f>
        <v>0</v>
      </c>
      <c r="EW13" s="54" t="n">
        <f aca="false">SUM(EW14:EW57)</f>
        <v>0</v>
      </c>
      <c r="EX13" s="54" t="n">
        <f aca="false">SUM(EX14:EX57)</f>
        <v>0</v>
      </c>
      <c r="EY13" s="54" t="n">
        <f aca="false">SUM(EY14:EY57)</f>
        <v>0</v>
      </c>
      <c r="EZ13" s="54" t="n">
        <f aca="false">SUM(EZ14:EZ57)</f>
        <v>0</v>
      </c>
      <c r="FA13" s="54" t="n">
        <f aca="false">SUM(FA14:FA57)</f>
        <v>0</v>
      </c>
      <c r="FB13" s="54" t="n">
        <f aca="false">SUM(FB14:FB57)</f>
        <v>0</v>
      </c>
      <c r="FC13" s="54" t="n">
        <f aca="false">SUM(FC14:FC57)</f>
        <v>0</v>
      </c>
      <c r="FD13" s="54" t="n">
        <f aca="false">SUM(FD14:FD57)</f>
        <v>0</v>
      </c>
      <c r="FE13" s="54" t="n">
        <f aca="false">SUM(FE14:FE57)</f>
        <v>0</v>
      </c>
      <c r="FF13" s="54" t="n">
        <f aca="false">SUM(FF14:FF57)</f>
        <v>0</v>
      </c>
      <c r="FG13" s="54" t="n">
        <f aca="false">SUM(FG14:FG57)</f>
        <v>0</v>
      </c>
      <c r="FH13" s="54" t="n">
        <f aca="false">SUM(FH14:FH57)</f>
        <v>0</v>
      </c>
      <c r="FI13" s="54" t="n">
        <f aca="false">SUM(FI14:FI57)</f>
        <v>0</v>
      </c>
      <c r="FJ13" s="54" t="n">
        <f aca="false">SUM(FJ14:FJ57)</f>
        <v>0</v>
      </c>
      <c r="FK13" s="54" t="n">
        <f aca="false">SUM(FK14:FK57)</f>
        <v>0</v>
      </c>
      <c r="FL13" s="54" t="n">
        <f aca="false">SUM(FL14:FL57)</f>
        <v>0</v>
      </c>
      <c r="FM13" s="54" t="n">
        <f aca="false">SUM(FM14:FM57)</f>
        <v>0</v>
      </c>
      <c r="FN13" s="54" t="n">
        <f aca="false">SUM(FN14:FN57)</f>
        <v>0</v>
      </c>
      <c r="FO13" s="54" t="n">
        <f aca="false">SUM(FO14:FO57)</f>
        <v>0</v>
      </c>
      <c r="FP13" s="54" t="n">
        <f aca="false">SUM(FP14:FP57)</f>
        <v>0</v>
      </c>
      <c r="FQ13" s="54" t="n">
        <f aca="false">SUM(FQ14:FQ57)</f>
        <v>0</v>
      </c>
      <c r="FR13" s="54" t="n">
        <f aca="false">SUM(FR14:FR57)</f>
        <v>0</v>
      </c>
      <c r="FS13" s="54" t="n">
        <f aca="false">SUM(FS14:FS57)</f>
        <v>0</v>
      </c>
      <c r="FT13" s="54" t="n">
        <f aca="false">SUM(FT14:FT57)</f>
        <v>0</v>
      </c>
      <c r="FU13" s="54" t="n">
        <f aca="false">SUM(FU14:FU57)</f>
        <v>0</v>
      </c>
      <c r="FV13" s="54" t="n">
        <f aca="false">SUM(FV14:FV57)</f>
        <v>0</v>
      </c>
      <c r="FW13" s="54" t="n">
        <f aca="false">SUM(FW14:FW57)</f>
        <v>0</v>
      </c>
      <c r="FX13" s="54" t="n">
        <f aca="false">SUM(FX14:FX57)</f>
        <v>0</v>
      </c>
      <c r="FY13" s="54" t="n">
        <f aca="false">SUM(FY14:FY57)</f>
        <v>0</v>
      </c>
      <c r="FZ13" s="54" t="n">
        <f aca="false">SUM(FZ14:FZ57)</f>
        <v>0</v>
      </c>
      <c r="GA13" s="54" t="n">
        <f aca="false">SUM(GA14:GA57)</f>
        <v>0</v>
      </c>
      <c r="GB13" s="54" t="n">
        <f aca="false">SUM(GB14:GB57)</f>
        <v>0</v>
      </c>
      <c r="GC13" s="54" t="n">
        <f aca="false">SUM(GC14:GC57)</f>
        <v>0</v>
      </c>
      <c r="GD13" s="54" t="n">
        <f aca="false">SUM(GD14:GD57)</f>
        <v>0</v>
      </c>
      <c r="GE13" s="54" t="n">
        <f aca="false">SUM(GE14:GE57)</f>
        <v>0</v>
      </c>
      <c r="GF13" s="54" t="n">
        <f aca="false">SUM(GF14:GF57)</f>
        <v>0</v>
      </c>
      <c r="GG13" s="54" t="n">
        <f aca="false">SUM(GG14:GG57)</f>
        <v>0</v>
      </c>
      <c r="GH13" s="54" t="n">
        <f aca="false">SUM(GH14:GH57)</f>
        <v>0</v>
      </c>
      <c r="GI13" s="54" t="n">
        <f aca="false">SUM(GI14:GI57)</f>
        <v>0</v>
      </c>
      <c r="GJ13" s="54" t="n">
        <f aca="false">SUM(GJ14:GJ57)</f>
        <v>0</v>
      </c>
      <c r="GK13" s="54" t="n">
        <f aca="false">SUM(GK14:GK57)</f>
        <v>0</v>
      </c>
      <c r="GL13" s="54" t="n">
        <f aca="false">SUM(GL14:GL57)</f>
        <v>0</v>
      </c>
      <c r="GM13" s="54" t="n">
        <f aca="false">SUM(GM14:GM57)</f>
        <v>0</v>
      </c>
      <c r="GN13" s="54" t="n">
        <f aca="false">SUM(GN14:GN57)</f>
        <v>0</v>
      </c>
      <c r="GO13" s="54" t="n">
        <f aca="false">SUM(GO14:GO57)</f>
        <v>0</v>
      </c>
      <c r="GP13" s="54" t="n">
        <f aca="false">SUM(GP14:GP57)</f>
        <v>0</v>
      </c>
      <c r="GQ13" s="54" t="n">
        <f aca="false">SUM(GQ14:GQ57)</f>
        <v>0</v>
      </c>
      <c r="GR13" s="54" t="n">
        <f aca="false">SUM(GR14:GR57)</f>
        <v>0</v>
      </c>
      <c r="GS13" s="54" t="n">
        <f aca="false">SUM(GS14:GS57)</f>
        <v>0</v>
      </c>
      <c r="GT13" s="54" t="n">
        <f aca="false">SUM(GT14:GT57)</f>
        <v>0</v>
      </c>
      <c r="GU13" s="54" t="n">
        <f aca="false">SUM(GU14:GU57)</f>
        <v>0</v>
      </c>
      <c r="GV13" s="54" t="n">
        <f aca="false">SUM(GV14:GV57)</f>
        <v>0</v>
      </c>
      <c r="GW13" s="54" t="n">
        <f aca="false">SUM(GW14:GW57)</f>
        <v>0</v>
      </c>
      <c r="GX13" s="54" t="n">
        <f aca="false">SUM(GX14:GX57)</f>
        <v>0</v>
      </c>
      <c r="GY13" s="54" t="n">
        <f aca="false">SUM(GY14:GY57)</f>
        <v>0</v>
      </c>
      <c r="GZ13" s="54" t="n">
        <f aca="false">SUM(GZ14:GZ57)</f>
        <v>0</v>
      </c>
      <c r="HA13" s="54" t="n">
        <f aca="false">SUM(HA14:HA57)</f>
        <v>0</v>
      </c>
      <c r="HB13" s="54" t="n">
        <f aca="false">SUM(HB14:HB57)</f>
        <v>0</v>
      </c>
      <c r="HC13" s="54" t="n">
        <f aca="false">SUM(HC14:HC57)</f>
        <v>0</v>
      </c>
      <c r="HD13" s="54" t="n">
        <f aca="false">SUM(HD14:HD57)</f>
        <v>0</v>
      </c>
      <c r="HE13" s="54" t="n">
        <f aca="false">SUM(HE14:HE57)</f>
        <v>0</v>
      </c>
      <c r="HF13" s="54" t="n">
        <f aca="false">SUM(HF14:HF57)</f>
        <v>0</v>
      </c>
      <c r="HG13" s="54" t="n">
        <f aca="false">SUM(HG14:HG57)</f>
        <v>0</v>
      </c>
      <c r="HH13" s="54" t="n">
        <f aca="false">SUM(HH14:HH57)</f>
        <v>0</v>
      </c>
      <c r="HI13" s="54" t="n">
        <f aca="false">SUM(HI14:HI57)</f>
        <v>0</v>
      </c>
      <c r="HJ13" s="54" t="n">
        <f aca="false">SUM(HJ14:HJ57)</f>
        <v>0</v>
      </c>
      <c r="HK13" s="54" t="n">
        <f aca="false">SUM(HK14:HK57)</f>
        <v>0</v>
      </c>
      <c r="HL13" s="54" t="n">
        <f aca="false">SUM(HL14:HL57)</f>
        <v>0</v>
      </c>
      <c r="HM13" s="54" t="n">
        <f aca="false">SUM(HM14:HM57)</f>
        <v>0</v>
      </c>
      <c r="HN13" s="54" t="n">
        <f aca="false">SUM(HN14:HN57)</f>
        <v>0</v>
      </c>
      <c r="HO13" s="54" t="n">
        <f aca="false">SUM(HO14:HO57)</f>
        <v>0</v>
      </c>
      <c r="HP13" s="54" t="n">
        <f aca="false">SUM(HP14:HP57)</f>
        <v>0</v>
      </c>
      <c r="HQ13" s="54" t="n">
        <f aca="false">SUM(HQ14:HQ57)</f>
        <v>0</v>
      </c>
      <c r="HR13" s="55" t="n">
        <f aca="false">SUM(HR14:HR57)</f>
        <v>0</v>
      </c>
    </row>
    <row r="14" customFormat="false" ht="10.5" hidden="false" customHeight="true" outlineLevel="0" collapsed="false">
      <c r="A14" s="57"/>
      <c r="B14" s="58"/>
      <c r="C14" s="59" t="str">
        <f aca="false">IF(A14=0,"",VLOOKUP(A14,[3]CO!$A$3:$F$5311,2,0))</f>
        <v/>
      </c>
      <c r="D14" s="60"/>
      <c r="E14" s="60"/>
      <c r="F14" s="60"/>
      <c r="G14" s="61" t="str">
        <f aca="false">IF(A14=0,"",VLOOKUP(A14,[3]CO!$A$3:$F$5311,3,0))</f>
        <v/>
      </c>
      <c r="H14" s="60"/>
      <c r="I14" s="62"/>
      <c r="J14" s="62"/>
      <c r="K14" s="62"/>
      <c r="L14" s="62"/>
      <c r="M14" s="63" t="str">
        <f aca="false">IF(L14=0,"",PRODUCT(I14:L14))</f>
        <v/>
      </c>
      <c r="N14" s="63" t="str">
        <f aca="false">IF(B14=0,"",IF(H14="M",HLOOKUP(B14,$Y$12:$DT$13,2),IF(A14=0,"",VLOOKUP(A14,[3]CO!$A$3:$F$5311,4,0))))</f>
        <v/>
      </c>
      <c r="O14" s="63" t="str">
        <f aca="false">IF(L14=0,"",PRODUCT(M14:N14))</f>
        <v/>
      </c>
      <c r="P14" s="58"/>
      <c r="Q14" s="64" t="str">
        <f aca="false">IF(P14=0,"",(HLOOKUP(P14,$DW$12:$HR$13,2)))</f>
        <v/>
      </c>
      <c r="R14" s="65" t="str">
        <f aca="false">IF(S14=0,"",IF(OR(G14="PEON",G14="OF",G14="JARD",G14="CARP",G14="MAESTRO",G14="SOLD",G14="BGRO",G14="CHOFER",G14="AYTE",G14="S.INTTE.",G14="ASEO",G14="P.PISOS",G14="VELADOR",G14="RESID",G14="PINTOR",G14="ELECT",G14="AZULE",G14="AUX CONT.",G14="SECRETARIA",G14="AUXILIAR ADMTVO.",G14="ARQUITECTO",G14="DIBUJANTE",G14="AUX. DE RESIDENTE"),VLOOKUP(B14,P$14:Q$57,2),"")*S14)</f>
        <v/>
      </c>
      <c r="S14" s="66"/>
      <c r="T14" s="67" t="str">
        <f aca="false">IF(A14=0,"",VLOOKUP(A14,[3]CO!$A$3:$F$5302,5,0))</f>
        <v/>
      </c>
      <c r="U14" s="56" t="n">
        <f aca="false">IF(T14=1,O14*0.1,)</f>
        <v>0</v>
      </c>
      <c r="V14" s="68"/>
      <c r="Y14" s="69" t="str">
        <f aca="false">IF($B14=Y$12,$U14,"")</f>
        <v/>
      </c>
      <c r="Z14" s="70" t="str">
        <f aca="false">IF($B14=Z$12,$U14,"")</f>
        <v/>
      </c>
      <c r="AA14" s="70" t="str">
        <f aca="false">IF($B14=AA$12,$U14,"")</f>
        <v/>
      </c>
      <c r="AB14" s="70" t="str">
        <f aca="false">IF($B14=AB$12,$U14,"")</f>
        <v/>
      </c>
      <c r="AC14" s="70" t="str">
        <f aca="false">IF($B14=AC$12,$U14,"")</f>
        <v/>
      </c>
      <c r="AD14" s="70" t="str">
        <f aca="false">IF($B14=AD$12,$U14,"")</f>
        <v/>
      </c>
      <c r="AE14" s="70" t="str">
        <f aca="false">IF($B14=AE$12,$U14,"")</f>
        <v/>
      </c>
      <c r="AF14" s="70" t="str">
        <f aca="false">IF($B14=AF$12,$U14,"")</f>
        <v/>
      </c>
      <c r="AG14" s="70" t="str">
        <f aca="false">IF($B14=AG$12,$U14,"")</f>
        <v/>
      </c>
      <c r="AH14" s="70" t="str">
        <f aca="false">IF($B14=AH$12,$U14,"")</f>
        <v/>
      </c>
      <c r="AI14" s="70" t="str">
        <f aca="false">IF($B14=AI$12,$U14,"")</f>
        <v/>
      </c>
      <c r="AJ14" s="70" t="str">
        <f aca="false">IF($B14=AJ$12,$U14,"")</f>
        <v/>
      </c>
      <c r="AK14" s="70" t="str">
        <f aca="false">IF($B14=AK$12,$U14,"")</f>
        <v/>
      </c>
      <c r="AL14" s="70" t="str">
        <f aca="false">IF($B14=AL$12,$U14,"")</f>
        <v/>
      </c>
      <c r="AM14" s="70" t="str">
        <f aca="false">IF($B14=AM$12,$U14,"")</f>
        <v/>
      </c>
      <c r="AN14" s="70" t="str">
        <f aca="false">IF($B14=AN$12,$U14,"")</f>
        <v/>
      </c>
      <c r="AO14" s="70" t="str">
        <f aca="false">IF($B14=AO$12,$U14,"")</f>
        <v/>
      </c>
      <c r="AP14" s="70" t="str">
        <f aca="false">IF($B14=AP$12,$U14,"")</f>
        <v/>
      </c>
      <c r="AQ14" s="70" t="str">
        <f aca="false">IF($B14=AQ$12,$U14,"")</f>
        <v/>
      </c>
      <c r="AR14" s="70" t="str">
        <f aca="false">IF($B14=AR$12,$U14,"")</f>
        <v/>
      </c>
      <c r="AS14" s="70" t="str">
        <f aca="false">IF($B14=AS$12,$U14,"")</f>
        <v/>
      </c>
      <c r="AT14" s="70" t="str">
        <f aca="false">IF($B14=AT$12,$U14,"")</f>
        <v/>
      </c>
      <c r="AU14" s="70" t="str">
        <f aca="false">IF($B14=AU$12,$U14,"")</f>
        <v/>
      </c>
      <c r="AV14" s="70" t="str">
        <f aca="false">IF($B14=AV$12,$U14,"")</f>
        <v/>
      </c>
      <c r="AW14" s="70" t="str">
        <f aca="false">IF($B14=AW$12,$U14,"")</f>
        <v/>
      </c>
      <c r="AX14" s="70" t="str">
        <f aca="false">IF($B14=AX$12,$U14,"")</f>
        <v/>
      </c>
      <c r="AY14" s="70" t="str">
        <f aca="false">IF($B14=AY$12,$U14,"")</f>
        <v/>
      </c>
      <c r="AZ14" s="70" t="str">
        <f aca="false">IF($B14=AZ$12,$U14,"")</f>
        <v/>
      </c>
      <c r="BA14" s="70" t="str">
        <f aca="false">IF($B14=BA$12,$U14,"")</f>
        <v/>
      </c>
      <c r="BB14" s="70" t="str">
        <f aca="false">IF($B14=BB$12,$U14,"")</f>
        <v/>
      </c>
      <c r="BC14" s="70" t="str">
        <f aca="false">IF($B14=BC$12,$U14,"")</f>
        <v/>
      </c>
      <c r="BD14" s="70" t="str">
        <f aca="false">IF($B14=BD$12,$U14,"")</f>
        <v/>
      </c>
      <c r="BE14" s="70" t="str">
        <f aca="false">IF($B14=BE$12,$U14,"")</f>
        <v/>
      </c>
      <c r="BF14" s="70" t="str">
        <f aca="false">IF($B14=BF$12,$U14,"")</f>
        <v/>
      </c>
      <c r="BG14" s="70" t="str">
        <f aca="false">IF($B14=BG$12,$U14,"")</f>
        <v/>
      </c>
      <c r="BH14" s="70" t="str">
        <f aca="false">IF($B14=BH$12,$U14,"")</f>
        <v/>
      </c>
      <c r="BI14" s="70" t="str">
        <f aca="false">IF($B14=BI$12,$U14,"")</f>
        <v/>
      </c>
      <c r="BJ14" s="70" t="str">
        <f aca="false">IF($B14=BJ$12,$U14,"")</f>
        <v/>
      </c>
      <c r="BK14" s="70" t="str">
        <f aca="false">IF($B14=BK$12,$U14,"")</f>
        <v/>
      </c>
      <c r="BL14" s="70" t="str">
        <f aca="false">IF($B14=BL$12,$U14,"")</f>
        <v/>
      </c>
      <c r="BM14" s="70" t="str">
        <f aca="false">IF($B14=BM$12,$U14,"")</f>
        <v/>
      </c>
      <c r="BN14" s="70" t="str">
        <f aca="false">IF($B14=BN$12,$U14,"")</f>
        <v/>
      </c>
      <c r="BO14" s="70" t="str">
        <f aca="false">IF($B14=BO$12,$U14,"")</f>
        <v/>
      </c>
      <c r="BP14" s="70" t="str">
        <f aca="false">IF($B14=BP$12,$U14,"")</f>
        <v/>
      </c>
      <c r="BQ14" s="70" t="str">
        <f aca="false">IF($B14=BQ$12,$U14,"")</f>
        <v/>
      </c>
      <c r="BR14" s="70" t="str">
        <f aca="false">IF($B14=BR$12,$U14,"")</f>
        <v/>
      </c>
      <c r="BS14" s="70" t="str">
        <f aca="false">IF($B14=BS$12,$U14,"")</f>
        <v/>
      </c>
      <c r="BT14" s="70" t="str">
        <f aca="false">IF($B14=BT$12,$U14,"")</f>
        <v/>
      </c>
      <c r="BU14" s="70" t="str">
        <f aca="false">IF($B14=BU$12,$U14,"")</f>
        <v/>
      </c>
      <c r="BV14" s="70" t="str">
        <f aca="false">IF($B14=BV$12,$U14,"")</f>
        <v/>
      </c>
      <c r="BW14" s="70" t="str">
        <f aca="false">IF($B14=BW$12,$U14,"")</f>
        <v/>
      </c>
      <c r="BX14" s="70" t="str">
        <f aca="false">IF($B14=BX$12,$U14,"")</f>
        <v/>
      </c>
      <c r="BY14" s="70" t="str">
        <f aca="false">IF($B14=BY$12,$U14,"")</f>
        <v/>
      </c>
      <c r="BZ14" s="70" t="str">
        <f aca="false">IF($B14=BZ$12,$U14,"")</f>
        <v/>
      </c>
      <c r="CA14" s="70" t="str">
        <f aca="false">IF($B14=CA$12,$U14,"")</f>
        <v/>
      </c>
      <c r="CB14" s="70" t="str">
        <f aca="false">IF($B14=CB$12,$U14,"")</f>
        <v/>
      </c>
      <c r="CC14" s="70" t="str">
        <f aca="false">IF($B14=CC$12,$U14,"")</f>
        <v/>
      </c>
      <c r="CD14" s="70" t="str">
        <f aca="false">IF($B14=CD$12,$U14,"")</f>
        <v/>
      </c>
      <c r="CE14" s="70" t="str">
        <f aca="false">IF($B14=CE$12,$U14,"")</f>
        <v/>
      </c>
      <c r="CF14" s="70" t="str">
        <f aca="false">IF($B14=CF$12,$U14,"")</f>
        <v/>
      </c>
      <c r="CG14" s="70" t="str">
        <f aca="false">IF($B14=CG$12,$U14,"")</f>
        <v/>
      </c>
      <c r="CH14" s="70" t="str">
        <f aca="false">IF($B14=CH$12,$U14,"")</f>
        <v/>
      </c>
      <c r="CI14" s="70" t="str">
        <f aca="false">IF($B14=CI$12,$U14,"")</f>
        <v/>
      </c>
      <c r="CJ14" s="70" t="str">
        <f aca="false">IF($B14=CJ$12,$U14,"")</f>
        <v/>
      </c>
      <c r="CK14" s="70" t="str">
        <f aca="false">IF($B14=CK$12,$U14,"")</f>
        <v/>
      </c>
      <c r="CL14" s="70" t="str">
        <f aca="false">IF($B14=CL$12,$U14,"")</f>
        <v/>
      </c>
      <c r="CM14" s="70" t="str">
        <f aca="false">IF($B14=CM$12,$U14,"")</f>
        <v/>
      </c>
      <c r="CN14" s="70" t="str">
        <f aca="false">IF($B14=CN$12,$U14,"")</f>
        <v/>
      </c>
      <c r="CO14" s="70" t="str">
        <f aca="false">IF($B14=CO$12,$U14,"")</f>
        <v/>
      </c>
      <c r="CP14" s="70" t="str">
        <f aca="false">IF($B14=CP$12,$U14,"")</f>
        <v/>
      </c>
      <c r="CQ14" s="70" t="str">
        <f aca="false">IF($B14=CQ$12,$U14,"")</f>
        <v/>
      </c>
      <c r="CR14" s="70" t="str">
        <f aca="false">IF($B14=CR$12,$U14,"")</f>
        <v/>
      </c>
      <c r="CS14" s="70" t="str">
        <f aca="false">IF($B14=CS$12,$U14,"")</f>
        <v/>
      </c>
      <c r="CT14" s="70" t="str">
        <f aca="false">IF($B14=CT$12,$U14,"")</f>
        <v/>
      </c>
      <c r="CU14" s="70" t="str">
        <f aca="false">IF($B14=CU$12,$U14,"")</f>
        <v/>
      </c>
      <c r="CV14" s="70" t="str">
        <f aca="false">IF($B14=CV$12,$U14,"")</f>
        <v/>
      </c>
      <c r="CW14" s="70" t="str">
        <f aca="false">IF($B14=CW$12,$U14,"")</f>
        <v/>
      </c>
      <c r="CX14" s="70" t="str">
        <f aca="false">IF($B14=CX$12,$U14,"")</f>
        <v/>
      </c>
      <c r="CY14" s="70" t="str">
        <f aca="false">IF($B14=CY$12,$U14,"")</f>
        <v/>
      </c>
      <c r="CZ14" s="70" t="str">
        <f aca="false">IF($B14=CZ$12,$U14,"")</f>
        <v/>
      </c>
      <c r="DA14" s="70" t="str">
        <f aca="false">IF($B14=DA$12,$U14,"")</f>
        <v/>
      </c>
      <c r="DB14" s="70" t="str">
        <f aca="false">IF($B14=DB$12,$U14,"")</f>
        <v/>
      </c>
      <c r="DC14" s="70" t="str">
        <f aca="false">IF($B14=DC$12,$U14,"")</f>
        <v/>
      </c>
      <c r="DD14" s="70" t="str">
        <f aca="false">IF($B14=DD$12,$U14,"")</f>
        <v/>
      </c>
      <c r="DE14" s="70" t="str">
        <f aca="false">IF($B14=DE$12,$U14,"")</f>
        <v/>
      </c>
      <c r="DF14" s="70" t="str">
        <f aca="false">IF($B14=DF$12,$U14,"")</f>
        <v/>
      </c>
      <c r="DG14" s="70" t="str">
        <f aca="false">IF($B14=DG$12,$U14,"")</f>
        <v/>
      </c>
      <c r="DH14" s="70" t="str">
        <f aca="false">IF($B14=DH$12,$U14,"")</f>
        <v/>
      </c>
      <c r="DI14" s="70" t="str">
        <f aca="false">IF($B14=DI$12,$U14,"")</f>
        <v/>
      </c>
      <c r="DJ14" s="70" t="str">
        <f aca="false">IF($B14=DJ$12,$U14,"")</f>
        <v/>
      </c>
      <c r="DK14" s="70" t="str">
        <f aca="false">IF($B14=DK$12,$U14,"")</f>
        <v/>
      </c>
      <c r="DL14" s="70" t="str">
        <f aca="false">IF($B14=DL$12,$U14,"")</f>
        <v/>
      </c>
      <c r="DM14" s="70" t="str">
        <f aca="false">IF($B14=DM$12,$U14,"")</f>
        <v/>
      </c>
      <c r="DN14" s="70" t="str">
        <f aca="false">IF($B14=DN$12,$U14,"")</f>
        <v/>
      </c>
      <c r="DO14" s="70" t="str">
        <f aca="false">IF($B14=DO$12,$U14,"")</f>
        <v/>
      </c>
      <c r="DP14" s="70" t="str">
        <f aca="false">IF($B14=DP$12,$U14,"")</f>
        <v/>
      </c>
      <c r="DQ14" s="70" t="str">
        <f aca="false">IF($B14=DQ$12,$U14,"")</f>
        <v/>
      </c>
      <c r="DR14" s="70" t="str">
        <f aca="false">IF($B14=DR$12,$U14,"")</f>
        <v/>
      </c>
      <c r="DS14" s="70" t="str">
        <f aca="false">IF($B14=DS$12,$U14,"")</f>
        <v/>
      </c>
      <c r="DT14" s="71" t="str">
        <f aca="false">IF($B14=DT$12,$U14,"")</f>
        <v/>
      </c>
      <c r="DU14" s="56"/>
      <c r="DW14" s="72" t="str">
        <f aca="false">IF($B14=DW$12,$O14,"")</f>
        <v/>
      </c>
      <c r="DX14" s="73" t="str">
        <f aca="false">IF($B14=DX$12,$O14,"")</f>
        <v/>
      </c>
      <c r="DY14" s="73" t="str">
        <f aca="false">IF($B14=DY$12,$O14,"")</f>
        <v/>
      </c>
      <c r="DZ14" s="73" t="str">
        <f aca="false">IF($B14=DZ$12,$O14,"")</f>
        <v/>
      </c>
      <c r="EA14" s="73" t="str">
        <f aca="false">IF($B14=EA$12,$O14,"")</f>
        <v/>
      </c>
      <c r="EB14" s="73" t="str">
        <f aca="false">IF($B14=EB$12,$O14,"")</f>
        <v/>
      </c>
      <c r="EC14" s="73" t="str">
        <f aca="false">IF($B14=EC$12,$O14,"")</f>
        <v/>
      </c>
      <c r="ED14" s="73" t="str">
        <f aca="false">IF($B14=ED$12,$O14,"")</f>
        <v/>
      </c>
      <c r="EE14" s="73" t="str">
        <f aca="false">IF($B14=EE$12,$O14,"")</f>
        <v/>
      </c>
      <c r="EF14" s="73" t="str">
        <f aca="false">IF($B14=EF$12,$O14,"")</f>
        <v/>
      </c>
      <c r="EG14" s="73" t="str">
        <f aca="false">IF($B14=EG$12,$O14,"")</f>
        <v/>
      </c>
      <c r="EH14" s="73" t="str">
        <f aca="false">IF($B14=EH$12,$O14,"")</f>
        <v/>
      </c>
      <c r="EI14" s="73" t="str">
        <f aca="false">IF($B14=EI$12,$O14,"")</f>
        <v/>
      </c>
      <c r="EJ14" s="73" t="str">
        <f aca="false">IF($B14=EJ$12,$O14,"")</f>
        <v/>
      </c>
      <c r="EK14" s="73" t="str">
        <f aca="false">IF($B14=EK$12,$O14,"")</f>
        <v/>
      </c>
      <c r="EL14" s="73" t="str">
        <f aca="false">IF($B14=EL$12,$O14,"")</f>
        <v/>
      </c>
      <c r="EM14" s="73" t="str">
        <f aca="false">IF($B14=EM$12,$O14,"")</f>
        <v/>
      </c>
      <c r="EN14" s="73" t="str">
        <f aca="false">IF($B14=EN$12,$O14,"")</f>
        <v/>
      </c>
      <c r="EO14" s="73" t="str">
        <f aca="false">IF($B14=EO$12,$O14,"")</f>
        <v/>
      </c>
      <c r="EP14" s="73" t="str">
        <f aca="false">IF($B14=EP$12,$O14,"")</f>
        <v/>
      </c>
      <c r="EQ14" s="73" t="str">
        <f aca="false">IF($B14=EQ$12,$O14,"")</f>
        <v/>
      </c>
      <c r="ER14" s="73" t="str">
        <f aca="false">IF($B14=ER$12,$O14,"")</f>
        <v/>
      </c>
      <c r="ES14" s="73" t="str">
        <f aca="false">IF($B14=ES$12,$O14,"")</f>
        <v/>
      </c>
      <c r="ET14" s="73" t="str">
        <f aca="false">IF($B14=ET$12,$O14,"")</f>
        <v/>
      </c>
      <c r="EU14" s="73" t="str">
        <f aca="false">IF($B14=EU$12,$O14,"")</f>
        <v/>
      </c>
      <c r="EV14" s="73" t="str">
        <f aca="false">IF($B14=EV$12,$O14,"")</f>
        <v/>
      </c>
      <c r="EW14" s="73" t="str">
        <f aca="false">IF($B14=EW$12,$O14,"")</f>
        <v/>
      </c>
      <c r="EX14" s="73" t="str">
        <f aca="false">IF($B14=EX$12,$O14,"")</f>
        <v/>
      </c>
      <c r="EY14" s="73" t="str">
        <f aca="false">IF($B14=EY$12,$O14,"")</f>
        <v/>
      </c>
      <c r="EZ14" s="73" t="str">
        <f aca="false">IF($B14=EZ$12,$O14,"")</f>
        <v/>
      </c>
      <c r="FA14" s="73" t="str">
        <f aca="false">IF($B14=FA$12,$O14,"")</f>
        <v/>
      </c>
      <c r="FB14" s="73" t="str">
        <f aca="false">IF($B14=FB$12,$O14,"")</f>
        <v/>
      </c>
      <c r="FC14" s="73" t="str">
        <f aca="false">IF($B14=FC$12,$O14,"")</f>
        <v/>
      </c>
      <c r="FD14" s="73" t="str">
        <f aca="false">IF($B14=FD$12,$O14,"")</f>
        <v/>
      </c>
      <c r="FE14" s="73" t="str">
        <f aca="false">IF($B14=FE$12,$O14,"")</f>
        <v/>
      </c>
      <c r="FF14" s="73" t="str">
        <f aca="false">IF($B14=FF$12,$O14,"")</f>
        <v/>
      </c>
      <c r="FG14" s="73" t="str">
        <f aca="false">IF($B14=FG$12,$O14,"")</f>
        <v/>
      </c>
      <c r="FH14" s="73" t="str">
        <f aca="false">IF($B14=FH$12,$O14,"")</f>
        <v/>
      </c>
      <c r="FI14" s="73" t="str">
        <f aca="false">IF($B14=FI$12,$O14,"")</f>
        <v/>
      </c>
      <c r="FJ14" s="73" t="str">
        <f aca="false">IF($B14=FJ$12,$O14,"")</f>
        <v/>
      </c>
      <c r="FK14" s="73" t="str">
        <f aca="false">IF($B14=FK$12,$O14,"")</f>
        <v/>
      </c>
      <c r="FL14" s="73" t="str">
        <f aca="false">IF($B14=FL$12,$O14,"")</f>
        <v/>
      </c>
      <c r="FM14" s="73" t="str">
        <f aca="false">IF($B14=FM$12,$O14,"")</f>
        <v/>
      </c>
      <c r="FN14" s="73" t="str">
        <f aca="false">IF($B14=FN$12,$O14,"")</f>
        <v/>
      </c>
      <c r="FO14" s="73" t="str">
        <f aca="false">IF($B14=FO$12,$O14,"")</f>
        <v/>
      </c>
      <c r="FP14" s="73" t="str">
        <f aca="false">IF($B14=FP$12,$O14,"")</f>
        <v/>
      </c>
      <c r="FQ14" s="73" t="str">
        <f aca="false">IF($B14=FQ$12,$O14,"")</f>
        <v/>
      </c>
      <c r="FR14" s="73" t="str">
        <f aca="false">IF($B14=FR$12,$O14,"")</f>
        <v/>
      </c>
      <c r="FS14" s="73" t="str">
        <f aca="false">IF($B14=FS$12,$O14,"")</f>
        <v/>
      </c>
      <c r="FT14" s="73" t="str">
        <f aca="false">IF($B14=FT$12,$O14,"")</f>
        <v/>
      </c>
      <c r="FU14" s="73" t="str">
        <f aca="false">IF($B14=FU$12,$O14,"")</f>
        <v/>
      </c>
      <c r="FV14" s="73" t="str">
        <f aca="false">IF($B14=FV$12,$O14,"")</f>
        <v/>
      </c>
      <c r="FW14" s="73" t="str">
        <f aca="false">IF($B14=FW$12,$O14,"")</f>
        <v/>
      </c>
      <c r="FX14" s="73" t="str">
        <f aca="false">IF($B14=FX$12,$O14,"")</f>
        <v/>
      </c>
      <c r="FY14" s="73" t="str">
        <f aca="false">IF($B14=FY$12,$O14,"")</f>
        <v/>
      </c>
      <c r="FZ14" s="73" t="str">
        <f aca="false">IF($B14=FZ$12,$O14,"")</f>
        <v/>
      </c>
      <c r="GA14" s="73" t="str">
        <f aca="false">IF($B14=GA$12,$O14,"")</f>
        <v/>
      </c>
      <c r="GB14" s="73" t="str">
        <f aca="false">IF($B14=GB$12,$O14,"")</f>
        <v/>
      </c>
      <c r="GC14" s="73" t="str">
        <f aca="false">IF($B14=GC$12,$O14,"")</f>
        <v/>
      </c>
      <c r="GD14" s="73" t="str">
        <f aca="false">IF($B14=GD$12,$O14,"")</f>
        <v/>
      </c>
      <c r="GE14" s="73" t="str">
        <f aca="false">IF($B14=GE$12,$O14,"")</f>
        <v/>
      </c>
      <c r="GF14" s="73" t="str">
        <f aca="false">IF($B14=GF$12,$O14,"")</f>
        <v/>
      </c>
      <c r="GG14" s="73" t="str">
        <f aca="false">IF($B14=GG$12,$O14,"")</f>
        <v/>
      </c>
      <c r="GH14" s="73" t="str">
        <f aca="false">IF($B14=GH$12,$O14,"")</f>
        <v/>
      </c>
      <c r="GI14" s="73" t="str">
        <f aca="false">IF($B14=GI$12,$O14,"")</f>
        <v/>
      </c>
      <c r="GJ14" s="73" t="str">
        <f aca="false">IF($B14=GJ$12,$O14,"")</f>
        <v/>
      </c>
      <c r="GK14" s="73" t="str">
        <f aca="false">IF($B14=GK$12,$O14,"")</f>
        <v/>
      </c>
      <c r="GL14" s="73" t="str">
        <f aca="false">IF($B14=GL$12,$O14,"")</f>
        <v/>
      </c>
      <c r="GM14" s="73" t="str">
        <f aca="false">IF($B14=GM$12,$O14,"")</f>
        <v/>
      </c>
      <c r="GN14" s="73" t="str">
        <f aca="false">IF($B14=GN$12,$O14,"")</f>
        <v/>
      </c>
      <c r="GO14" s="73" t="str">
        <f aca="false">IF($B14=GO$12,$O14,"")</f>
        <v/>
      </c>
      <c r="GP14" s="73" t="str">
        <f aca="false">IF($B14=GP$12,$O14,"")</f>
        <v/>
      </c>
      <c r="GQ14" s="73" t="str">
        <f aca="false">IF($B14=GQ$12,$O14,"")</f>
        <v/>
      </c>
      <c r="GR14" s="73" t="str">
        <f aca="false">IF($B14=GR$12,$O14,"")</f>
        <v/>
      </c>
      <c r="GS14" s="73" t="str">
        <f aca="false">IF($B14=GS$12,$O14,"")</f>
        <v/>
      </c>
      <c r="GT14" s="73" t="str">
        <f aca="false">IF($B14=GT$12,$O14,"")</f>
        <v/>
      </c>
      <c r="GU14" s="73" t="str">
        <f aca="false">IF($B14=GU$12,$O14,"")</f>
        <v/>
      </c>
      <c r="GV14" s="73" t="str">
        <f aca="false">IF($B14=GV$12,$O14,"")</f>
        <v/>
      </c>
      <c r="GW14" s="73" t="str">
        <f aca="false">IF($B14=GW$12,$O14,"")</f>
        <v/>
      </c>
      <c r="GX14" s="73" t="str">
        <f aca="false">IF($B14=GX$12,$O14,"")</f>
        <v/>
      </c>
      <c r="GY14" s="73" t="str">
        <f aca="false">IF($B14=GY$12,$O14,"")</f>
        <v/>
      </c>
      <c r="GZ14" s="73" t="str">
        <f aca="false">IF($B14=GZ$12,$O14,"")</f>
        <v/>
      </c>
      <c r="HA14" s="73" t="str">
        <f aca="false">IF($B14=HA$12,$O14,"")</f>
        <v/>
      </c>
      <c r="HB14" s="73" t="str">
        <f aca="false">IF($B14=HB$12,$O14,"")</f>
        <v/>
      </c>
      <c r="HC14" s="73" t="str">
        <f aca="false">IF($B14=HC$12,$O14,"")</f>
        <v/>
      </c>
      <c r="HD14" s="73" t="str">
        <f aca="false">IF($B14=HD$12,$O14,"")</f>
        <v/>
      </c>
      <c r="HE14" s="73" t="str">
        <f aca="false">IF($B14=HE$12,$O14,"")</f>
        <v/>
      </c>
      <c r="HF14" s="73" t="str">
        <f aca="false">IF($B14=HF$12,$O14,"")</f>
        <v/>
      </c>
      <c r="HG14" s="73" t="str">
        <f aca="false">IF($B14=HG$12,$O14,"")</f>
        <v/>
      </c>
      <c r="HH14" s="73" t="str">
        <f aca="false">IF($B14=HH$12,$O14,"")</f>
        <v/>
      </c>
      <c r="HI14" s="73" t="str">
        <f aca="false">IF($B14=HI$12,$O14,"")</f>
        <v/>
      </c>
      <c r="HJ14" s="73" t="str">
        <f aca="false">IF($B14=HJ$12,$O14,"")</f>
        <v/>
      </c>
      <c r="HK14" s="73" t="str">
        <f aca="false">IF($B14=HK$12,$O14,"")</f>
        <v/>
      </c>
      <c r="HL14" s="73" t="str">
        <f aca="false">IF($B14=HL$12,$O14,"")</f>
        <v/>
      </c>
      <c r="HM14" s="73" t="str">
        <f aca="false">IF($B14=HM$12,$O14,"")</f>
        <v/>
      </c>
      <c r="HN14" s="73" t="str">
        <f aca="false">IF($B14=HN$12,$O14,"")</f>
        <v/>
      </c>
      <c r="HO14" s="73" t="str">
        <f aca="false">IF($B14=HO$12,$O14,"")</f>
        <v/>
      </c>
      <c r="HP14" s="73" t="str">
        <f aca="false">IF($B14=HP$12,$O14,"")</f>
        <v/>
      </c>
      <c r="HQ14" s="73" t="str">
        <f aca="false">IF($B14=HQ$12,$O14,"")</f>
        <v/>
      </c>
      <c r="HR14" s="74" t="str">
        <f aca="false">IF($B14=HR$12,$O14,"")</f>
        <v/>
      </c>
    </row>
    <row r="15" customFormat="false" ht="10.5" hidden="false" customHeight="true" outlineLevel="0" collapsed="false">
      <c r="A15" s="75"/>
      <c r="B15" s="76"/>
      <c r="C15" s="77" t="str">
        <f aca="false">IF(A15=0,"",VLOOKUP(A15,[3]CO!$A$3:$F$5311,2,0))</f>
        <v/>
      </c>
      <c r="D15" s="78"/>
      <c r="E15" s="78"/>
      <c r="F15" s="78"/>
      <c r="G15" s="79" t="str">
        <f aca="false">IF(A15=0,"",VLOOKUP(A15,[3]CO!$A$3:$F$5311,3,0))</f>
        <v/>
      </c>
      <c r="H15" s="78"/>
      <c r="I15" s="80"/>
      <c r="J15" s="80"/>
      <c r="K15" s="80"/>
      <c r="L15" s="80"/>
      <c r="M15" s="81" t="str">
        <f aca="false">IF(L15=0,"",PRODUCT(I15:L15))</f>
        <v/>
      </c>
      <c r="N15" s="81" t="str">
        <f aca="false">IF(B15=0,"",IF(H15="M",HLOOKUP(B15,$Y$12:$DT$13,2),IF(A15=0,"",VLOOKUP(A15,[3]CO!$A$3:$F$5311,4,0))))</f>
        <v/>
      </c>
      <c r="O15" s="81" t="str">
        <f aca="false">IF(L15=0,"",PRODUCT(M15:N15))</f>
        <v/>
      </c>
      <c r="P15" s="82"/>
      <c r="Q15" s="83" t="str">
        <f aca="false">IF(P15=0,"",(HLOOKUP(P15,$DW$12:$HR$13,2)))</f>
        <v/>
      </c>
      <c r="R15" s="84" t="str">
        <f aca="false">IF(S15=0,"",IF(OR(G15="PEON",G15="OF",G15="JARD",G15="CARP",G15="MAESTRO",G15="SOLD",G15="BGRO",G15="CHOFER",G15="AYTE",G15="S.INTTE.",G15="ASEO",G15="P.PISOS",G15="VELADOR",G15="RESID",G15="PINTOR",G15="ELECT",G15="AZULE",G15="AUX CONT.",G15="SECRETARIA",G15="AUXILIAR ADMTVO.",G15="ARQUITECTO",G15="DIBUJANTE",G15="AUX. DE RESIDENTE"),VLOOKUP(B15,P$14:Q$102,2),"")*S15)</f>
        <v/>
      </c>
      <c r="S15" s="66"/>
      <c r="T15" s="67" t="str">
        <f aca="false">IF(A15=0,"",VLOOKUP(A15,[3]CO!$A$3:$F$5302,5,0))</f>
        <v/>
      </c>
      <c r="U15" s="56" t="n">
        <f aca="false">IF(T15=1,O15*0.1,)</f>
        <v>0</v>
      </c>
      <c r="V15" s="68"/>
      <c r="Y15" s="85" t="str">
        <f aca="false">IF($B15=Y$12,$U15,"")</f>
        <v/>
      </c>
      <c r="Z15" s="86" t="str">
        <f aca="false">IF($B15=Z$12,$U15,"")</f>
        <v/>
      </c>
      <c r="AA15" s="86" t="str">
        <f aca="false">IF($B15=AA$12,$U15,"")</f>
        <v/>
      </c>
      <c r="AB15" s="86" t="str">
        <f aca="false">IF($B15=AB$12,$U15,"")</f>
        <v/>
      </c>
      <c r="AC15" s="86" t="str">
        <f aca="false">IF($B15=AC$12,$U15,"")</f>
        <v/>
      </c>
      <c r="AD15" s="86" t="str">
        <f aca="false">IF($B15=AD$12,$U15,"")</f>
        <v/>
      </c>
      <c r="AE15" s="86" t="str">
        <f aca="false">IF($B15=AE$12,$U15,"")</f>
        <v/>
      </c>
      <c r="AF15" s="86" t="str">
        <f aca="false">IF($B15=AF$12,$U15,"")</f>
        <v/>
      </c>
      <c r="AG15" s="86" t="str">
        <f aca="false">IF($B15=AG$12,$U15,"")</f>
        <v/>
      </c>
      <c r="AH15" s="86" t="str">
        <f aca="false">IF($B15=AH$12,$U15,"")</f>
        <v/>
      </c>
      <c r="AI15" s="86" t="str">
        <f aca="false">IF($B15=AI$12,$U15,"")</f>
        <v/>
      </c>
      <c r="AJ15" s="86" t="str">
        <f aca="false">IF($B15=AJ$12,$U15,"")</f>
        <v/>
      </c>
      <c r="AK15" s="86" t="str">
        <f aca="false">IF($B15=AK$12,$U15,"")</f>
        <v/>
      </c>
      <c r="AL15" s="86" t="str">
        <f aca="false">IF($B15=AL$12,$U15,"")</f>
        <v/>
      </c>
      <c r="AM15" s="86" t="str">
        <f aca="false">IF($B15=AM$12,$U15,"")</f>
        <v/>
      </c>
      <c r="AN15" s="86" t="str">
        <f aca="false">IF($B15=AN$12,$U15,"")</f>
        <v/>
      </c>
      <c r="AO15" s="86" t="str">
        <f aca="false">IF($B15=AO$12,$U15,"")</f>
        <v/>
      </c>
      <c r="AP15" s="86" t="str">
        <f aca="false">IF($B15=AP$12,$U15,"")</f>
        <v/>
      </c>
      <c r="AQ15" s="86" t="str">
        <f aca="false">IF($B15=AQ$12,$U15,"")</f>
        <v/>
      </c>
      <c r="AR15" s="86" t="str">
        <f aca="false">IF($B15=AR$12,$U15,"")</f>
        <v/>
      </c>
      <c r="AS15" s="86" t="str">
        <f aca="false">IF($B15=AS$12,$U15,"")</f>
        <v/>
      </c>
      <c r="AT15" s="86" t="str">
        <f aca="false">IF($B15=AT$12,$U15,"")</f>
        <v/>
      </c>
      <c r="AU15" s="86" t="str">
        <f aca="false">IF($B15=AU$12,$U15,"")</f>
        <v/>
      </c>
      <c r="AV15" s="86" t="str">
        <f aca="false">IF($B15=AV$12,$U15,"")</f>
        <v/>
      </c>
      <c r="AW15" s="86" t="str">
        <f aca="false">IF($B15=AW$12,$U15,"")</f>
        <v/>
      </c>
      <c r="AX15" s="86" t="str">
        <f aca="false">IF($B15=AX$12,$U15,"")</f>
        <v/>
      </c>
      <c r="AY15" s="86" t="str">
        <f aca="false">IF($B15=AY$12,$U15,"")</f>
        <v/>
      </c>
      <c r="AZ15" s="86" t="str">
        <f aca="false">IF($B15=AZ$12,$U15,"")</f>
        <v/>
      </c>
      <c r="BA15" s="86" t="str">
        <f aca="false">IF($B15=BA$12,$U15,"")</f>
        <v/>
      </c>
      <c r="BB15" s="86" t="str">
        <f aca="false">IF($B15=BB$12,$U15,"")</f>
        <v/>
      </c>
      <c r="BC15" s="86" t="str">
        <f aca="false">IF($B15=BC$12,$U15,"")</f>
        <v/>
      </c>
      <c r="BD15" s="86" t="str">
        <f aca="false">IF($B15=BD$12,$U15,"")</f>
        <v/>
      </c>
      <c r="BE15" s="86" t="str">
        <f aca="false">IF($B15=BE$12,$U15,"")</f>
        <v/>
      </c>
      <c r="BF15" s="86" t="str">
        <f aca="false">IF($B15=BF$12,$U15,"")</f>
        <v/>
      </c>
      <c r="BG15" s="86" t="str">
        <f aca="false">IF($B15=BG$12,$U15,"")</f>
        <v/>
      </c>
      <c r="BH15" s="86" t="str">
        <f aca="false">IF($B15=BH$12,$U15,"")</f>
        <v/>
      </c>
      <c r="BI15" s="86" t="str">
        <f aca="false">IF($B15=BI$12,$U15,"")</f>
        <v/>
      </c>
      <c r="BJ15" s="86" t="str">
        <f aca="false">IF($B15=BJ$12,$U15,"")</f>
        <v/>
      </c>
      <c r="BK15" s="86" t="str">
        <f aca="false">IF($B15=BK$12,$U15,"")</f>
        <v/>
      </c>
      <c r="BL15" s="86" t="str">
        <f aca="false">IF($B15=BL$12,$U15,"")</f>
        <v/>
      </c>
      <c r="BM15" s="86" t="str">
        <f aca="false">IF($B15=BM$12,$U15,"")</f>
        <v/>
      </c>
      <c r="BN15" s="86" t="str">
        <f aca="false">IF($B15=BN$12,$U15,"")</f>
        <v/>
      </c>
      <c r="BO15" s="86" t="str">
        <f aca="false">IF($B15=BO$12,$U15,"")</f>
        <v/>
      </c>
      <c r="BP15" s="86" t="str">
        <f aca="false">IF($B15=BP$12,$U15,"")</f>
        <v/>
      </c>
      <c r="BQ15" s="86" t="str">
        <f aca="false">IF($B15=BQ$12,$U15,"")</f>
        <v/>
      </c>
      <c r="BR15" s="86" t="str">
        <f aca="false">IF($B15=BR$12,$U15,"")</f>
        <v/>
      </c>
      <c r="BS15" s="86" t="str">
        <f aca="false">IF($B15=BS$12,$U15,"")</f>
        <v/>
      </c>
      <c r="BT15" s="86" t="str">
        <f aca="false">IF($B15=BT$12,$U15,"")</f>
        <v/>
      </c>
      <c r="BU15" s="86" t="str">
        <f aca="false">IF($B15=BU$12,$U15,"")</f>
        <v/>
      </c>
      <c r="BV15" s="86" t="str">
        <f aca="false">IF($B15=BV$12,$U15,"")</f>
        <v/>
      </c>
      <c r="BW15" s="86" t="str">
        <f aca="false">IF($B15=BW$12,$U15,"")</f>
        <v/>
      </c>
      <c r="BX15" s="86" t="str">
        <f aca="false">IF($B15=BX$12,$U15,"")</f>
        <v/>
      </c>
      <c r="BY15" s="86" t="str">
        <f aca="false">IF($B15=BY$12,$U15,"")</f>
        <v/>
      </c>
      <c r="BZ15" s="86" t="str">
        <f aca="false">IF($B15=BZ$12,$U15,"")</f>
        <v/>
      </c>
      <c r="CA15" s="86" t="str">
        <f aca="false">IF($B15=CA$12,$U15,"")</f>
        <v/>
      </c>
      <c r="CB15" s="86" t="str">
        <f aca="false">IF($B15=CB$12,$U15,"")</f>
        <v/>
      </c>
      <c r="CC15" s="86" t="str">
        <f aca="false">IF($B15=CC$12,$U15,"")</f>
        <v/>
      </c>
      <c r="CD15" s="86" t="str">
        <f aca="false">IF($B15=CD$12,$U15,"")</f>
        <v/>
      </c>
      <c r="CE15" s="86" t="str">
        <f aca="false">IF($B15=CE$12,$U15,"")</f>
        <v/>
      </c>
      <c r="CF15" s="86" t="str">
        <f aca="false">IF($B15=CF$12,$U15,"")</f>
        <v/>
      </c>
      <c r="CG15" s="86" t="str">
        <f aca="false">IF($B15=CG$12,$U15,"")</f>
        <v/>
      </c>
      <c r="CH15" s="86" t="str">
        <f aca="false">IF($B15=CH$12,$U15,"")</f>
        <v/>
      </c>
      <c r="CI15" s="86" t="str">
        <f aca="false">IF($B15=CI$12,$U15,"")</f>
        <v/>
      </c>
      <c r="CJ15" s="86" t="str">
        <f aca="false">IF($B15=CJ$12,$U15,"")</f>
        <v/>
      </c>
      <c r="CK15" s="86" t="str">
        <f aca="false">IF($B15=CK$12,$U15,"")</f>
        <v/>
      </c>
      <c r="CL15" s="86" t="str">
        <f aca="false">IF($B15=CL$12,$U15,"")</f>
        <v/>
      </c>
      <c r="CM15" s="86" t="str">
        <f aca="false">IF($B15=CM$12,$U15,"")</f>
        <v/>
      </c>
      <c r="CN15" s="86" t="str">
        <f aca="false">IF($B15=CN$12,$U15,"")</f>
        <v/>
      </c>
      <c r="CO15" s="86" t="str">
        <f aca="false">IF($B15=CO$12,$U15,"")</f>
        <v/>
      </c>
      <c r="CP15" s="86" t="str">
        <f aca="false">IF($B15=CP$12,$U15,"")</f>
        <v/>
      </c>
      <c r="CQ15" s="86" t="str">
        <f aca="false">IF($B15=CQ$12,$U15,"")</f>
        <v/>
      </c>
      <c r="CR15" s="86" t="str">
        <f aca="false">IF($B15=CR$12,$U15,"")</f>
        <v/>
      </c>
      <c r="CS15" s="86" t="str">
        <f aca="false">IF($B15=CS$12,$U15,"")</f>
        <v/>
      </c>
      <c r="CT15" s="86" t="str">
        <f aca="false">IF($B15=CT$12,$U15,"")</f>
        <v/>
      </c>
      <c r="CU15" s="86" t="str">
        <f aca="false">IF($B15=CU$12,$U15,"")</f>
        <v/>
      </c>
      <c r="CV15" s="86" t="str">
        <f aca="false">IF($B15=CV$12,$U15,"")</f>
        <v/>
      </c>
      <c r="CW15" s="86" t="str">
        <f aca="false">IF($B15=CW$12,$U15,"")</f>
        <v/>
      </c>
      <c r="CX15" s="86" t="str">
        <f aca="false">IF($B15=CX$12,$U15,"")</f>
        <v/>
      </c>
      <c r="CY15" s="86" t="str">
        <f aca="false">IF($B15=CY$12,$U15,"")</f>
        <v/>
      </c>
      <c r="CZ15" s="86" t="str">
        <f aca="false">IF($B15=CZ$12,$U15,"")</f>
        <v/>
      </c>
      <c r="DA15" s="86" t="str">
        <f aca="false">IF($B15=DA$12,$U15,"")</f>
        <v/>
      </c>
      <c r="DB15" s="86" t="str">
        <f aca="false">IF($B15=DB$12,$U15,"")</f>
        <v/>
      </c>
      <c r="DC15" s="86" t="str">
        <f aca="false">IF($B15=DC$12,$U15,"")</f>
        <v/>
      </c>
      <c r="DD15" s="86" t="str">
        <f aca="false">IF($B15=DD$12,$U15,"")</f>
        <v/>
      </c>
      <c r="DE15" s="86" t="str">
        <f aca="false">IF($B15=DE$12,$U15,"")</f>
        <v/>
      </c>
      <c r="DF15" s="86" t="str">
        <f aca="false">IF($B15=DF$12,$U15,"")</f>
        <v/>
      </c>
      <c r="DG15" s="86" t="str">
        <f aca="false">IF($B15=DG$12,$U15,"")</f>
        <v/>
      </c>
      <c r="DH15" s="86" t="str">
        <f aca="false">IF($B15=DH$12,$U15,"")</f>
        <v/>
      </c>
      <c r="DI15" s="86" t="str">
        <f aca="false">IF($B15=DI$12,$U15,"")</f>
        <v/>
      </c>
      <c r="DJ15" s="86" t="str">
        <f aca="false">IF($B15=DJ$12,$U15,"")</f>
        <v/>
      </c>
      <c r="DK15" s="86" t="str">
        <f aca="false">IF($B15=DK$12,$U15,"")</f>
        <v/>
      </c>
      <c r="DL15" s="86" t="str">
        <f aca="false">IF($B15=DL$12,$U15,"")</f>
        <v/>
      </c>
      <c r="DM15" s="86" t="str">
        <f aca="false">IF($B15=DM$12,$U15,"")</f>
        <v/>
      </c>
      <c r="DN15" s="86" t="str">
        <f aca="false">IF($B15=DN$12,$U15,"")</f>
        <v/>
      </c>
      <c r="DO15" s="86" t="str">
        <f aca="false">IF($B15=DO$12,$U15,"")</f>
        <v/>
      </c>
      <c r="DP15" s="86" t="str">
        <f aca="false">IF($B15=DP$12,$U15,"")</f>
        <v/>
      </c>
      <c r="DQ15" s="86" t="str">
        <f aca="false">IF($B15=DQ$12,$U15,"")</f>
        <v/>
      </c>
      <c r="DR15" s="86" t="str">
        <f aca="false">IF($B15=DR$12,$U15,"")</f>
        <v/>
      </c>
      <c r="DS15" s="86" t="str">
        <f aca="false">IF($B15=DS$12,$U15,"")</f>
        <v/>
      </c>
      <c r="DT15" s="87" t="str">
        <f aca="false">IF($B15=DT$12,$U15,"")</f>
        <v/>
      </c>
      <c r="DU15" s="56"/>
      <c r="DW15" s="88" t="str">
        <f aca="false">IF($B15=DW$12,$O15,"")</f>
        <v/>
      </c>
      <c r="DX15" s="89" t="str">
        <f aca="false">IF($B15=DX$12,$O15,"")</f>
        <v/>
      </c>
      <c r="DY15" s="89" t="str">
        <f aca="false">IF($B15=DY$12,$O15,"")</f>
        <v/>
      </c>
      <c r="DZ15" s="89" t="str">
        <f aca="false">IF($B15=DZ$12,$O15,"")</f>
        <v/>
      </c>
      <c r="EA15" s="89" t="str">
        <f aca="false">IF($B15=EA$12,$O15,"")</f>
        <v/>
      </c>
      <c r="EB15" s="89" t="str">
        <f aca="false">IF($B15=EB$12,$O15,"")</f>
        <v/>
      </c>
      <c r="EC15" s="89" t="str">
        <f aca="false">IF($B15=EC$12,$O15,"")</f>
        <v/>
      </c>
      <c r="ED15" s="89" t="str">
        <f aca="false">IF($B15=ED$12,$O15,"")</f>
        <v/>
      </c>
      <c r="EE15" s="89" t="str">
        <f aca="false">IF($B15=EE$12,$O15,"")</f>
        <v/>
      </c>
      <c r="EF15" s="89" t="str">
        <f aca="false">IF($B15=EF$12,$O15,"")</f>
        <v/>
      </c>
      <c r="EG15" s="89" t="str">
        <f aca="false">IF($B15=EG$12,$O15,"")</f>
        <v/>
      </c>
      <c r="EH15" s="89" t="str">
        <f aca="false">IF($B15=EH$12,$O15,"")</f>
        <v/>
      </c>
      <c r="EI15" s="89" t="str">
        <f aca="false">IF($B15=EI$12,$O15,"")</f>
        <v/>
      </c>
      <c r="EJ15" s="89" t="str">
        <f aca="false">IF($B15=EJ$12,$O15,"")</f>
        <v/>
      </c>
      <c r="EK15" s="89" t="str">
        <f aca="false">IF($B15=EK$12,$O15,"")</f>
        <v/>
      </c>
      <c r="EL15" s="89" t="str">
        <f aca="false">IF($B15=EL$12,$O15,"")</f>
        <v/>
      </c>
      <c r="EM15" s="89" t="str">
        <f aca="false">IF($B15=EM$12,$O15,"")</f>
        <v/>
      </c>
      <c r="EN15" s="89" t="str">
        <f aca="false">IF($B15=EN$12,$O15,"")</f>
        <v/>
      </c>
      <c r="EO15" s="89" t="str">
        <f aca="false">IF($B15=EO$12,$O15,"")</f>
        <v/>
      </c>
      <c r="EP15" s="89" t="str">
        <f aca="false">IF($B15=EP$12,$O15,"")</f>
        <v/>
      </c>
      <c r="EQ15" s="89" t="str">
        <f aca="false">IF($B15=EQ$12,$O15,"")</f>
        <v/>
      </c>
      <c r="ER15" s="89" t="str">
        <f aca="false">IF($B15=ER$12,$O15,"")</f>
        <v/>
      </c>
      <c r="ES15" s="89" t="str">
        <f aca="false">IF($B15=ES$12,$O15,"")</f>
        <v/>
      </c>
      <c r="ET15" s="89" t="str">
        <f aca="false">IF($B15=ET$12,$O15,"")</f>
        <v/>
      </c>
      <c r="EU15" s="89" t="str">
        <f aca="false">IF($B15=EU$12,$O15,"")</f>
        <v/>
      </c>
      <c r="EV15" s="89" t="str">
        <f aca="false">IF($B15=EV$12,$O15,"")</f>
        <v/>
      </c>
      <c r="EW15" s="89" t="str">
        <f aca="false">IF($B15=EW$12,$O15,"")</f>
        <v/>
      </c>
      <c r="EX15" s="89" t="str">
        <f aca="false">IF($B15=EX$12,$O15,"")</f>
        <v/>
      </c>
      <c r="EY15" s="89" t="str">
        <f aca="false">IF($B15=EY$12,$O15,"")</f>
        <v/>
      </c>
      <c r="EZ15" s="89" t="str">
        <f aca="false">IF($B15=EZ$12,$O15,"")</f>
        <v/>
      </c>
      <c r="FA15" s="89" t="str">
        <f aca="false">IF($B15=FA$12,$O15,"")</f>
        <v/>
      </c>
      <c r="FB15" s="89" t="str">
        <f aca="false">IF($B15=FB$12,$O15,"")</f>
        <v/>
      </c>
      <c r="FC15" s="89" t="str">
        <f aca="false">IF($B15=FC$12,$O15,"")</f>
        <v/>
      </c>
      <c r="FD15" s="89" t="str">
        <f aca="false">IF($B15=FD$12,$O15,"")</f>
        <v/>
      </c>
      <c r="FE15" s="89" t="str">
        <f aca="false">IF($B15=FE$12,$O15,"")</f>
        <v/>
      </c>
      <c r="FF15" s="89" t="str">
        <f aca="false">IF($B15=FF$12,$O15,"")</f>
        <v/>
      </c>
      <c r="FG15" s="89" t="str">
        <f aca="false">IF($B15=FG$12,$O15,"")</f>
        <v/>
      </c>
      <c r="FH15" s="89" t="str">
        <f aca="false">IF($B15=FH$12,$O15,"")</f>
        <v/>
      </c>
      <c r="FI15" s="89" t="str">
        <f aca="false">IF($B15=FI$12,$O15,"")</f>
        <v/>
      </c>
      <c r="FJ15" s="89" t="str">
        <f aca="false">IF($B15=FJ$12,$O15,"")</f>
        <v/>
      </c>
      <c r="FK15" s="89" t="str">
        <f aca="false">IF($B15=FK$12,$O15,"")</f>
        <v/>
      </c>
      <c r="FL15" s="89" t="str">
        <f aca="false">IF($B15=FL$12,$O15,"")</f>
        <v/>
      </c>
      <c r="FM15" s="89" t="str">
        <f aca="false">IF($B15=FM$12,$O15,"")</f>
        <v/>
      </c>
      <c r="FN15" s="89" t="str">
        <f aca="false">IF($B15=FN$12,$O15,"")</f>
        <v/>
      </c>
      <c r="FO15" s="89" t="str">
        <f aca="false">IF($B15=FO$12,$O15,"")</f>
        <v/>
      </c>
      <c r="FP15" s="89" t="str">
        <f aca="false">IF($B15=FP$12,$O15,"")</f>
        <v/>
      </c>
      <c r="FQ15" s="89" t="str">
        <f aca="false">IF($B15=FQ$12,$O15,"")</f>
        <v/>
      </c>
      <c r="FR15" s="89" t="str">
        <f aca="false">IF($B15=FR$12,$O15,"")</f>
        <v/>
      </c>
      <c r="FS15" s="89" t="str">
        <f aca="false">IF($B15=FS$12,$O15,"")</f>
        <v/>
      </c>
      <c r="FT15" s="89" t="str">
        <f aca="false">IF($B15=FT$12,$O15,"")</f>
        <v/>
      </c>
      <c r="FU15" s="89" t="str">
        <f aca="false">IF($B15=FU$12,$O15,"")</f>
        <v/>
      </c>
      <c r="FV15" s="89" t="str">
        <f aca="false">IF($B15=FV$12,$O15,"")</f>
        <v/>
      </c>
      <c r="FW15" s="89" t="str">
        <f aca="false">IF($B15=FW$12,$O15,"")</f>
        <v/>
      </c>
      <c r="FX15" s="89" t="str">
        <f aca="false">IF($B15=FX$12,$O15,"")</f>
        <v/>
      </c>
      <c r="FY15" s="89" t="str">
        <f aca="false">IF($B15=FY$12,$O15,"")</f>
        <v/>
      </c>
      <c r="FZ15" s="89" t="str">
        <f aca="false">IF($B15=FZ$12,$O15,"")</f>
        <v/>
      </c>
      <c r="GA15" s="89" t="str">
        <f aca="false">IF($B15=GA$12,$O15,"")</f>
        <v/>
      </c>
      <c r="GB15" s="89" t="str">
        <f aca="false">IF($B15=GB$12,$O15,"")</f>
        <v/>
      </c>
      <c r="GC15" s="89" t="str">
        <f aca="false">IF($B15=GC$12,$O15,"")</f>
        <v/>
      </c>
      <c r="GD15" s="89" t="str">
        <f aca="false">IF($B15=GD$12,$O15,"")</f>
        <v/>
      </c>
      <c r="GE15" s="89" t="str">
        <f aca="false">IF($B15=GE$12,$O15,"")</f>
        <v/>
      </c>
      <c r="GF15" s="89" t="str">
        <f aca="false">IF($B15=GF$12,$O15,"")</f>
        <v/>
      </c>
      <c r="GG15" s="89" t="str">
        <f aca="false">IF($B15=GG$12,$O15,"")</f>
        <v/>
      </c>
      <c r="GH15" s="89" t="str">
        <f aca="false">IF($B15=GH$12,$O15,"")</f>
        <v/>
      </c>
      <c r="GI15" s="89" t="str">
        <f aca="false">IF($B15=GI$12,$O15,"")</f>
        <v/>
      </c>
      <c r="GJ15" s="89" t="str">
        <f aca="false">IF($B15=GJ$12,$O15,"")</f>
        <v/>
      </c>
      <c r="GK15" s="89" t="str">
        <f aca="false">IF($B15=GK$12,$O15,"")</f>
        <v/>
      </c>
      <c r="GL15" s="89" t="str">
        <f aca="false">IF($B15=GL$12,$O15,"")</f>
        <v/>
      </c>
      <c r="GM15" s="89" t="str">
        <f aca="false">IF($B15=GM$12,$O15,"")</f>
        <v/>
      </c>
      <c r="GN15" s="89" t="str">
        <f aca="false">IF($B15=GN$12,$O15,"")</f>
        <v/>
      </c>
      <c r="GO15" s="89" t="str">
        <f aca="false">IF($B15=GO$12,$O15,"")</f>
        <v/>
      </c>
      <c r="GP15" s="89" t="str">
        <f aca="false">IF($B15=GP$12,$O15,"")</f>
        <v/>
      </c>
      <c r="GQ15" s="89" t="str">
        <f aca="false">IF($B15=GQ$12,$O15,"")</f>
        <v/>
      </c>
      <c r="GR15" s="89" t="str">
        <f aca="false">IF($B15=GR$12,$O15,"")</f>
        <v/>
      </c>
      <c r="GS15" s="89" t="str">
        <f aca="false">IF($B15=GS$12,$O15,"")</f>
        <v/>
      </c>
      <c r="GT15" s="89" t="str">
        <f aca="false">IF($B15=GT$12,$O15,"")</f>
        <v/>
      </c>
      <c r="GU15" s="89" t="str">
        <f aca="false">IF($B15=GU$12,$O15,"")</f>
        <v/>
      </c>
      <c r="GV15" s="89" t="str">
        <f aca="false">IF($B15=GV$12,$O15,"")</f>
        <v/>
      </c>
      <c r="GW15" s="89" t="str">
        <f aca="false">IF($B15=GW$12,$O15,"")</f>
        <v/>
      </c>
      <c r="GX15" s="89" t="str">
        <f aca="false">IF($B15=GX$12,$O15,"")</f>
        <v/>
      </c>
      <c r="GY15" s="89" t="str">
        <f aca="false">IF($B15=GY$12,$O15,"")</f>
        <v/>
      </c>
      <c r="GZ15" s="89" t="str">
        <f aca="false">IF($B15=GZ$12,$O15,"")</f>
        <v/>
      </c>
      <c r="HA15" s="89" t="str">
        <f aca="false">IF($B15=HA$12,$O15,"")</f>
        <v/>
      </c>
      <c r="HB15" s="89" t="str">
        <f aca="false">IF($B15=HB$12,$O15,"")</f>
        <v/>
      </c>
      <c r="HC15" s="89" t="str">
        <f aca="false">IF($B15=HC$12,$O15,"")</f>
        <v/>
      </c>
      <c r="HD15" s="89" t="str">
        <f aca="false">IF($B15=HD$12,$O15,"")</f>
        <v/>
      </c>
      <c r="HE15" s="89" t="str">
        <f aca="false">IF($B15=HE$12,$O15,"")</f>
        <v/>
      </c>
      <c r="HF15" s="89" t="str">
        <f aca="false">IF($B15=HF$12,$O15,"")</f>
        <v/>
      </c>
      <c r="HG15" s="89" t="str">
        <f aca="false">IF($B15=HG$12,$O15,"")</f>
        <v/>
      </c>
      <c r="HH15" s="89" t="str">
        <f aca="false">IF($B15=HH$12,$O15,"")</f>
        <v/>
      </c>
      <c r="HI15" s="89" t="str">
        <f aca="false">IF($B15=HI$12,$O15,"")</f>
        <v/>
      </c>
      <c r="HJ15" s="89" t="str">
        <f aca="false">IF($B15=HJ$12,$O15,"")</f>
        <v/>
      </c>
      <c r="HK15" s="89" t="str">
        <f aca="false">IF($B15=HK$12,$O15,"")</f>
        <v/>
      </c>
      <c r="HL15" s="89" t="str">
        <f aca="false">IF($B15=HL$12,$O15,"")</f>
        <v/>
      </c>
      <c r="HM15" s="89" t="str">
        <f aca="false">IF($B15=HM$12,$O15,"")</f>
        <v/>
      </c>
      <c r="HN15" s="89" t="str">
        <f aca="false">IF($B15=HN$12,$O15,"")</f>
        <v/>
      </c>
      <c r="HO15" s="89" t="str">
        <f aca="false">IF($B15=HO$12,$O15,"")</f>
        <v/>
      </c>
      <c r="HP15" s="89" t="str">
        <f aca="false">IF($B15=HP$12,$O15,"")</f>
        <v/>
      </c>
      <c r="HQ15" s="89" t="str">
        <f aca="false">IF($B15=HQ$12,$O15,"")</f>
        <v/>
      </c>
      <c r="HR15" s="90" t="str">
        <f aca="false">IF($B15=HR$12,$O15,"")</f>
        <v/>
      </c>
    </row>
    <row r="16" customFormat="false" ht="10.5" hidden="false" customHeight="true" outlineLevel="0" collapsed="false">
      <c r="A16" s="75"/>
      <c r="B16" s="76"/>
      <c r="C16" s="77" t="str">
        <f aca="false">IF(A16=0,"",VLOOKUP(A16,[3]CO!$A$3:$F$5311,2,0))</f>
        <v/>
      </c>
      <c r="D16" s="78"/>
      <c r="E16" s="78"/>
      <c r="F16" s="78"/>
      <c r="G16" s="79" t="str">
        <f aca="false">IF(A16=0,"",VLOOKUP(A16,[3]CO!$A$3:$F$5311,3,0))</f>
        <v/>
      </c>
      <c r="H16" s="78"/>
      <c r="I16" s="80"/>
      <c r="J16" s="80"/>
      <c r="K16" s="80"/>
      <c r="L16" s="80"/>
      <c r="M16" s="81" t="str">
        <f aca="false">IF(L16=0,"",PRODUCT(I16:L16))</f>
        <v/>
      </c>
      <c r="N16" s="81" t="str">
        <f aca="false">IF(B16=0,"",IF(H16="M",HLOOKUP(B16,$Y$12:$DT$13,2),IF(A16=0,"",VLOOKUP(A16,[3]CO!$A$3:$F$5311,4,0))))</f>
        <v/>
      </c>
      <c r="O16" s="81" t="str">
        <f aca="false">IF(L16=0,"",PRODUCT(M16:N16))</f>
        <v/>
      </c>
      <c r="P16" s="82"/>
      <c r="Q16" s="83" t="str">
        <f aca="false">IF(P16=0,"",(HLOOKUP(P16,$DW$12:$HR$13,2)))</f>
        <v/>
      </c>
      <c r="R16" s="84" t="str">
        <f aca="false">IF(S16=0,"",IF(OR(G16="PEON",G16="OF",G16="JARD",G16="CARP",G16="MAESTRO",G16="SOLD",G16="BGRO",G16="CHOFER",G16="AYTE",G16="S.INTTE.",G16="ASEO",G16="P.PISOS",G16="VELADOR",G16="RESID",G16="PINTOR",G16="ELECT",G16="AZULE",G16="AUX CONT.",G16="SECRETARIA",G16="AUXILIAR ADMTVO.",G16="ARQUITECTO",G16="DIBUJANTE",G16="AUX. DE RESIDENTE"),VLOOKUP(B16,P$14:Q$57,2),"")*S16)</f>
        <v/>
      </c>
      <c r="S16" s="66"/>
      <c r="T16" s="67" t="str">
        <f aca="false">IF(A16=0,"",VLOOKUP(A16,[3]CO!$A$3:$F$5302,5,0))</f>
        <v/>
      </c>
      <c r="U16" s="56" t="n">
        <f aca="false">IF(T16=1,O16*0.1,)</f>
        <v>0</v>
      </c>
      <c r="V16" s="68"/>
      <c r="W16" s="91"/>
      <c r="X16" s="91"/>
      <c r="Y16" s="85" t="str">
        <f aca="false">IF($B16=Y$12,$U16,"")</f>
        <v/>
      </c>
      <c r="Z16" s="86" t="str">
        <f aca="false">IF($B16=Z$12,$U16,"")</f>
        <v/>
      </c>
      <c r="AA16" s="86" t="str">
        <f aca="false">IF($B16=AA$12,$U16,"")</f>
        <v/>
      </c>
      <c r="AB16" s="86" t="str">
        <f aca="false">IF($B16=AB$12,$U16,"")</f>
        <v/>
      </c>
      <c r="AC16" s="86" t="str">
        <f aca="false">IF($B16=AC$12,$U16,"")</f>
        <v/>
      </c>
      <c r="AD16" s="86" t="str">
        <f aca="false">IF($B16=AD$12,$U16,"")</f>
        <v/>
      </c>
      <c r="AE16" s="86" t="str">
        <f aca="false">IF($B16=AE$12,$U16,"")</f>
        <v/>
      </c>
      <c r="AF16" s="86" t="str">
        <f aca="false">IF($B16=AF$12,$U16,"")</f>
        <v/>
      </c>
      <c r="AG16" s="86" t="str">
        <f aca="false">IF($B16=AG$12,$U16,"")</f>
        <v/>
      </c>
      <c r="AH16" s="86" t="str">
        <f aca="false">IF($B16=AH$12,$U16,"")</f>
        <v/>
      </c>
      <c r="AI16" s="86" t="str">
        <f aca="false">IF($B16=AI$12,$U16,"")</f>
        <v/>
      </c>
      <c r="AJ16" s="86" t="str">
        <f aca="false">IF($B16=AJ$12,$U16,"")</f>
        <v/>
      </c>
      <c r="AK16" s="86" t="str">
        <f aca="false">IF($B16=AK$12,$U16,"")</f>
        <v/>
      </c>
      <c r="AL16" s="86" t="str">
        <f aca="false">IF($B16=AL$12,$U16,"")</f>
        <v/>
      </c>
      <c r="AM16" s="86" t="str">
        <f aca="false">IF($B16=AM$12,$U16,"")</f>
        <v/>
      </c>
      <c r="AN16" s="86" t="str">
        <f aca="false">IF($B16=AN$12,$U16,"")</f>
        <v/>
      </c>
      <c r="AO16" s="86" t="str">
        <f aca="false">IF($B16=AO$12,$U16,"")</f>
        <v/>
      </c>
      <c r="AP16" s="86" t="str">
        <f aca="false">IF($B16=AP$12,$U16,"")</f>
        <v/>
      </c>
      <c r="AQ16" s="86" t="str">
        <f aca="false">IF($B16=AQ$12,$U16,"")</f>
        <v/>
      </c>
      <c r="AR16" s="86" t="str">
        <f aca="false">IF($B16=AR$12,$U16,"")</f>
        <v/>
      </c>
      <c r="AS16" s="86" t="str">
        <f aca="false">IF($B16=AS$12,$U16,"")</f>
        <v/>
      </c>
      <c r="AT16" s="86" t="str">
        <f aca="false">IF($B16=AT$12,$U16,"")</f>
        <v/>
      </c>
      <c r="AU16" s="86" t="str">
        <f aca="false">IF($B16=AU$12,$U16,"")</f>
        <v/>
      </c>
      <c r="AV16" s="86" t="str">
        <f aca="false">IF($B16=AV$12,$U16,"")</f>
        <v/>
      </c>
      <c r="AW16" s="86" t="str">
        <f aca="false">IF($B16=AW$12,$U16,"")</f>
        <v/>
      </c>
      <c r="AX16" s="86" t="str">
        <f aca="false">IF($B16=AX$12,$U16,"")</f>
        <v/>
      </c>
      <c r="AY16" s="86" t="str">
        <f aca="false">IF($B16=AY$12,$U16,"")</f>
        <v/>
      </c>
      <c r="AZ16" s="86" t="str">
        <f aca="false">IF($B16=AZ$12,$U16,"")</f>
        <v/>
      </c>
      <c r="BA16" s="86" t="str">
        <f aca="false">IF($B16=BA$12,$U16,"")</f>
        <v/>
      </c>
      <c r="BB16" s="86" t="str">
        <f aca="false">IF($B16=BB$12,$U16,"")</f>
        <v/>
      </c>
      <c r="BC16" s="86" t="str">
        <f aca="false">IF($B16=BC$12,$U16,"")</f>
        <v/>
      </c>
      <c r="BD16" s="86" t="str">
        <f aca="false">IF($B16=BD$12,$U16,"")</f>
        <v/>
      </c>
      <c r="BE16" s="86" t="str">
        <f aca="false">IF($B16=BE$12,$U16,"")</f>
        <v/>
      </c>
      <c r="BF16" s="86" t="str">
        <f aca="false">IF($B16=BF$12,$U16,"")</f>
        <v/>
      </c>
      <c r="BG16" s="86" t="str">
        <f aca="false">IF($B16=BG$12,$U16,"")</f>
        <v/>
      </c>
      <c r="BH16" s="86" t="str">
        <f aca="false">IF($B16=BH$12,$U16,"")</f>
        <v/>
      </c>
      <c r="BI16" s="86" t="str">
        <f aca="false">IF($B16=BI$12,$U16,"")</f>
        <v/>
      </c>
      <c r="BJ16" s="86" t="str">
        <f aca="false">IF($B16=BJ$12,$U16,"")</f>
        <v/>
      </c>
      <c r="BK16" s="86" t="str">
        <f aca="false">IF($B16=BK$12,$U16,"")</f>
        <v/>
      </c>
      <c r="BL16" s="86" t="str">
        <f aca="false">IF($B16=BL$12,$U16,"")</f>
        <v/>
      </c>
      <c r="BM16" s="86" t="str">
        <f aca="false">IF($B16=BM$12,$U16,"")</f>
        <v/>
      </c>
      <c r="BN16" s="86" t="str">
        <f aca="false">IF($B16=BN$12,$U16,"")</f>
        <v/>
      </c>
      <c r="BO16" s="86" t="str">
        <f aca="false">IF($B16=BO$12,$U16,"")</f>
        <v/>
      </c>
      <c r="BP16" s="86" t="str">
        <f aca="false">IF($B16=BP$12,$U16,"")</f>
        <v/>
      </c>
      <c r="BQ16" s="86" t="str">
        <f aca="false">IF($B16=BQ$12,$U16,"")</f>
        <v/>
      </c>
      <c r="BR16" s="86" t="str">
        <f aca="false">IF($B16=BR$12,$U16,"")</f>
        <v/>
      </c>
      <c r="BS16" s="86" t="str">
        <f aca="false">IF($B16=BS$12,$U16,"")</f>
        <v/>
      </c>
      <c r="BT16" s="86" t="str">
        <f aca="false">IF($B16=BT$12,$U16,"")</f>
        <v/>
      </c>
      <c r="BU16" s="86" t="str">
        <f aca="false">IF($B16=BU$12,$U16,"")</f>
        <v/>
      </c>
      <c r="BV16" s="86" t="str">
        <f aca="false">IF($B16=BV$12,$U16,"")</f>
        <v/>
      </c>
      <c r="BW16" s="86" t="str">
        <f aca="false">IF($B16=BW$12,$U16,"")</f>
        <v/>
      </c>
      <c r="BX16" s="86" t="str">
        <f aca="false">IF($B16=BX$12,$U16,"")</f>
        <v/>
      </c>
      <c r="BY16" s="86" t="str">
        <f aca="false">IF($B16=BY$12,$U16,"")</f>
        <v/>
      </c>
      <c r="BZ16" s="86" t="str">
        <f aca="false">IF($B16=BZ$12,$U16,"")</f>
        <v/>
      </c>
      <c r="CA16" s="86" t="str">
        <f aca="false">IF($B16=CA$12,$U16,"")</f>
        <v/>
      </c>
      <c r="CB16" s="86" t="str">
        <f aca="false">IF($B16=CB$12,$U16,"")</f>
        <v/>
      </c>
      <c r="CC16" s="86" t="str">
        <f aca="false">IF($B16=CC$12,$U16,"")</f>
        <v/>
      </c>
      <c r="CD16" s="86" t="str">
        <f aca="false">IF($B16=CD$12,$U16,"")</f>
        <v/>
      </c>
      <c r="CE16" s="86" t="str">
        <f aca="false">IF($B16=CE$12,$U16,"")</f>
        <v/>
      </c>
      <c r="CF16" s="86" t="str">
        <f aca="false">IF($B16=CF$12,$U16,"")</f>
        <v/>
      </c>
      <c r="CG16" s="86" t="str">
        <f aca="false">IF($B16=CG$12,$U16,"")</f>
        <v/>
      </c>
      <c r="CH16" s="86" t="str">
        <f aca="false">IF($B16=CH$12,$U16,"")</f>
        <v/>
      </c>
      <c r="CI16" s="86" t="str">
        <f aca="false">IF($B16=CI$12,$U16,"")</f>
        <v/>
      </c>
      <c r="CJ16" s="86" t="str">
        <f aca="false">IF($B16=CJ$12,$U16,"")</f>
        <v/>
      </c>
      <c r="CK16" s="86" t="str">
        <f aca="false">IF($B16=CK$12,$U16,"")</f>
        <v/>
      </c>
      <c r="CL16" s="86" t="str">
        <f aca="false">IF($B16=CL$12,$U16,"")</f>
        <v/>
      </c>
      <c r="CM16" s="86" t="str">
        <f aca="false">IF($B16=CM$12,$U16,"")</f>
        <v/>
      </c>
      <c r="CN16" s="86" t="str">
        <f aca="false">IF($B16=CN$12,$U16,"")</f>
        <v/>
      </c>
      <c r="CO16" s="86" t="str">
        <f aca="false">IF($B16=CO$12,$U16,"")</f>
        <v/>
      </c>
      <c r="CP16" s="86" t="str">
        <f aca="false">IF($B16=CP$12,$U16,"")</f>
        <v/>
      </c>
      <c r="CQ16" s="86" t="str">
        <f aca="false">IF($B16=CQ$12,$U16,"")</f>
        <v/>
      </c>
      <c r="CR16" s="86" t="str">
        <f aca="false">IF($B16=CR$12,$U16,"")</f>
        <v/>
      </c>
      <c r="CS16" s="86" t="str">
        <f aca="false">IF($B16=CS$12,$U16,"")</f>
        <v/>
      </c>
      <c r="CT16" s="86" t="str">
        <f aca="false">IF($B16=CT$12,$U16,"")</f>
        <v/>
      </c>
      <c r="CU16" s="86" t="str">
        <f aca="false">IF($B16=CU$12,$U16,"")</f>
        <v/>
      </c>
      <c r="CV16" s="86" t="str">
        <f aca="false">IF($B16=CV$12,$U16,"")</f>
        <v/>
      </c>
      <c r="CW16" s="86" t="str">
        <f aca="false">IF($B16=CW$12,$U16,"")</f>
        <v/>
      </c>
      <c r="CX16" s="86" t="str">
        <f aca="false">IF($B16=CX$12,$U16,"")</f>
        <v/>
      </c>
      <c r="CY16" s="86" t="str">
        <f aca="false">IF($B16=CY$12,$U16,"")</f>
        <v/>
      </c>
      <c r="CZ16" s="86" t="str">
        <f aca="false">IF($B16=CZ$12,$U16,"")</f>
        <v/>
      </c>
      <c r="DA16" s="86" t="str">
        <f aca="false">IF($B16=DA$12,$U16,"")</f>
        <v/>
      </c>
      <c r="DB16" s="86" t="str">
        <f aca="false">IF($B16=DB$12,$U16,"")</f>
        <v/>
      </c>
      <c r="DC16" s="86" t="str">
        <f aca="false">IF($B16=DC$12,$U16,"")</f>
        <v/>
      </c>
      <c r="DD16" s="86" t="str">
        <f aca="false">IF($B16=DD$12,$U16,"")</f>
        <v/>
      </c>
      <c r="DE16" s="86" t="str">
        <f aca="false">IF($B16=DE$12,$U16,"")</f>
        <v/>
      </c>
      <c r="DF16" s="86" t="str">
        <f aca="false">IF($B16=DF$12,$U16,"")</f>
        <v/>
      </c>
      <c r="DG16" s="86" t="str">
        <f aca="false">IF($B16=DG$12,$U16,"")</f>
        <v/>
      </c>
      <c r="DH16" s="86" t="str">
        <f aca="false">IF($B16=DH$12,$U16,"")</f>
        <v/>
      </c>
      <c r="DI16" s="86" t="str">
        <f aca="false">IF($B16=DI$12,$U16,"")</f>
        <v/>
      </c>
      <c r="DJ16" s="86" t="str">
        <f aca="false">IF($B16=DJ$12,$U16,"")</f>
        <v/>
      </c>
      <c r="DK16" s="86" t="str">
        <f aca="false">IF($B16=DK$12,$U16,"")</f>
        <v/>
      </c>
      <c r="DL16" s="86" t="str">
        <f aca="false">IF($B16=DL$12,$U16,"")</f>
        <v/>
      </c>
      <c r="DM16" s="86" t="str">
        <f aca="false">IF($B16=DM$12,$U16,"")</f>
        <v/>
      </c>
      <c r="DN16" s="86" t="str">
        <f aca="false">IF($B16=DN$12,$U16,"")</f>
        <v/>
      </c>
      <c r="DO16" s="86" t="str">
        <f aca="false">IF($B16=DO$12,$U16,"")</f>
        <v/>
      </c>
      <c r="DP16" s="86" t="str">
        <f aca="false">IF($B16=DP$12,$U16,"")</f>
        <v/>
      </c>
      <c r="DQ16" s="86" t="str">
        <f aca="false">IF($B16=DQ$12,$U16,"")</f>
        <v/>
      </c>
      <c r="DR16" s="86" t="str">
        <f aca="false">IF($B16=DR$12,$U16,"")</f>
        <v/>
      </c>
      <c r="DS16" s="86" t="str">
        <f aca="false">IF($B16=DS$12,$U16,"")</f>
        <v/>
      </c>
      <c r="DT16" s="87" t="str">
        <f aca="false">IF($B16=DT$12,$U16,"")</f>
        <v/>
      </c>
      <c r="DU16" s="56"/>
      <c r="DV16" s="91"/>
      <c r="DW16" s="88" t="str">
        <f aca="false">IF($B16=DW$12,$O16,"")</f>
        <v/>
      </c>
      <c r="DX16" s="89" t="str">
        <f aca="false">IF($B16=DX$12,$O16,"")</f>
        <v/>
      </c>
      <c r="DY16" s="89" t="str">
        <f aca="false">IF($B16=DY$12,$O16,"")</f>
        <v/>
      </c>
      <c r="DZ16" s="89" t="str">
        <f aca="false">IF($B16=DZ$12,$O16,"")</f>
        <v/>
      </c>
      <c r="EA16" s="89" t="str">
        <f aca="false">IF($B16=EA$12,$O16,"")</f>
        <v/>
      </c>
      <c r="EB16" s="89" t="str">
        <f aca="false">IF($B16=EB$12,$O16,"")</f>
        <v/>
      </c>
      <c r="EC16" s="89" t="str">
        <f aca="false">IF($B16=EC$12,$O16,"")</f>
        <v/>
      </c>
      <c r="ED16" s="89" t="str">
        <f aca="false">IF($B16=ED$12,$O16,"")</f>
        <v/>
      </c>
      <c r="EE16" s="89" t="str">
        <f aca="false">IF($B16=EE$12,$O16,"")</f>
        <v/>
      </c>
      <c r="EF16" s="89" t="str">
        <f aca="false">IF($B16=EF$12,$O16,"")</f>
        <v/>
      </c>
      <c r="EG16" s="89" t="str">
        <f aca="false">IF($B16=EG$12,$O16,"")</f>
        <v/>
      </c>
      <c r="EH16" s="89" t="str">
        <f aca="false">IF($B16=EH$12,$O16,"")</f>
        <v/>
      </c>
      <c r="EI16" s="89" t="str">
        <f aca="false">IF($B16=EI$12,$O16,"")</f>
        <v/>
      </c>
      <c r="EJ16" s="89" t="str">
        <f aca="false">IF($B16=EJ$12,$O16,"")</f>
        <v/>
      </c>
      <c r="EK16" s="89" t="str">
        <f aca="false">IF($B16=EK$12,$O16,"")</f>
        <v/>
      </c>
      <c r="EL16" s="89" t="str">
        <f aca="false">IF($B16=EL$12,$O16,"")</f>
        <v/>
      </c>
      <c r="EM16" s="89" t="str">
        <f aca="false">IF($B16=EM$12,$O16,"")</f>
        <v/>
      </c>
      <c r="EN16" s="89" t="str">
        <f aca="false">IF($B16=EN$12,$O16,"")</f>
        <v/>
      </c>
      <c r="EO16" s="89" t="str">
        <f aca="false">IF($B16=EO$12,$O16,"")</f>
        <v/>
      </c>
      <c r="EP16" s="89" t="str">
        <f aca="false">IF($B16=EP$12,$O16,"")</f>
        <v/>
      </c>
      <c r="EQ16" s="89" t="str">
        <f aca="false">IF($B16=EQ$12,$O16,"")</f>
        <v/>
      </c>
      <c r="ER16" s="89" t="str">
        <f aca="false">IF($B16=ER$12,$O16,"")</f>
        <v/>
      </c>
      <c r="ES16" s="89" t="str">
        <f aca="false">IF($B16=ES$12,$O16,"")</f>
        <v/>
      </c>
      <c r="ET16" s="89" t="str">
        <f aca="false">IF($B16=ET$12,$O16,"")</f>
        <v/>
      </c>
      <c r="EU16" s="89" t="str">
        <f aca="false">IF($B16=EU$12,$O16,"")</f>
        <v/>
      </c>
      <c r="EV16" s="89" t="str">
        <f aca="false">IF($B16=EV$12,$O16,"")</f>
        <v/>
      </c>
      <c r="EW16" s="89" t="str">
        <f aca="false">IF($B16=EW$12,$O16,"")</f>
        <v/>
      </c>
      <c r="EX16" s="89" t="str">
        <f aca="false">IF($B16=EX$12,$O16,"")</f>
        <v/>
      </c>
      <c r="EY16" s="89" t="str">
        <f aca="false">IF($B16=EY$12,$O16,"")</f>
        <v/>
      </c>
      <c r="EZ16" s="89" t="str">
        <f aca="false">IF($B16=EZ$12,$O16,"")</f>
        <v/>
      </c>
      <c r="FA16" s="89" t="str">
        <f aca="false">IF($B16=FA$12,$O16,"")</f>
        <v/>
      </c>
      <c r="FB16" s="89" t="str">
        <f aca="false">IF($B16=FB$12,$O16,"")</f>
        <v/>
      </c>
      <c r="FC16" s="89" t="str">
        <f aca="false">IF($B16=FC$12,$O16,"")</f>
        <v/>
      </c>
      <c r="FD16" s="89" t="str">
        <f aca="false">IF($B16=FD$12,$O16,"")</f>
        <v/>
      </c>
      <c r="FE16" s="89" t="str">
        <f aca="false">IF($B16=FE$12,$O16,"")</f>
        <v/>
      </c>
      <c r="FF16" s="89" t="str">
        <f aca="false">IF($B16=FF$12,$O16,"")</f>
        <v/>
      </c>
      <c r="FG16" s="89" t="str">
        <f aca="false">IF($B16=FG$12,$O16,"")</f>
        <v/>
      </c>
      <c r="FH16" s="89" t="str">
        <f aca="false">IF($B16=FH$12,$O16,"")</f>
        <v/>
      </c>
      <c r="FI16" s="89" t="str">
        <f aca="false">IF($B16=FI$12,$O16,"")</f>
        <v/>
      </c>
      <c r="FJ16" s="89" t="str">
        <f aca="false">IF($B16=FJ$12,$O16,"")</f>
        <v/>
      </c>
      <c r="FK16" s="89" t="str">
        <f aca="false">IF($B16=FK$12,$O16,"")</f>
        <v/>
      </c>
      <c r="FL16" s="89" t="str">
        <f aca="false">IF($B16=FL$12,$O16,"")</f>
        <v/>
      </c>
      <c r="FM16" s="89" t="str">
        <f aca="false">IF($B16=FM$12,$O16,"")</f>
        <v/>
      </c>
      <c r="FN16" s="89" t="str">
        <f aca="false">IF($B16=FN$12,$O16,"")</f>
        <v/>
      </c>
      <c r="FO16" s="89" t="str">
        <f aca="false">IF($B16=FO$12,$O16,"")</f>
        <v/>
      </c>
      <c r="FP16" s="89" t="str">
        <f aca="false">IF($B16=FP$12,$O16,"")</f>
        <v/>
      </c>
      <c r="FQ16" s="89" t="str">
        <f aca="false">IF($B16=FQ$12,$O16,"")</f>
        <v/>
      </c>
      <c r="FR16" s="89" t="str">
        <f aca="false">IF($B16=FR$12,$O16,"")</f>
        <v/>
      </c>
      <c r="FS16" s="89" t="str">
        <f aca="false">IF($B16=FS$12,$O16,"")</f>
        <v/>
      </c>
      <c r="FT16" s="89" t="str">
        <f aca="false">IF($B16=FT$12,$O16,"")</f>
        <v/>
      </c>
      <c r="FU16" s="89" t="str">
        <f aca="false">IF($B16=FU$12,$O16,"")</f>
        <v/>
      </c>
      <c r="FV16" s="89" t="str">
        <f aca="false">IF($B16=FV$12,$O16,"")</f>
        <v/>
      </c>
      <c r="FW16" s="89" t="str">
        <f aca="false">IF($B16=FW$12,$O16,"")</f>
        <v/>
      </c>
      <c r="FX16" s="89" t="str">
        <f aca="false">IF($B16=FX$12,$O16,"")</f>
        <v/>
      </c>
      <c r="FY16" s="89" t="str">
        <f aca="false">IF($B16=FY$12,$O16,"")</f>
        <v/>
      </c>
      <c r="FZ16" s="89" t="str">
        <f aca="false">IF($B16=FZ$12,$O16,"")</f>
        <v/>
      </c>
      <c r="GA16" s="89" t="str">
        <f aca="false">IF($B16=GA$12,$O16,"")</f>
        <v/>
      </c>
      <c r="GB16" s="89" t="str">
        <f aca="false">IF($B16=GB$12,$O16,"")</f>
        <v/>
      </c>
      <c r="GC16" s="89" t="str">
        <f aca="false">IF($B16=GC$12,$O16,"")</f>
        <v/>
      </c>
      <c r="GD16" s="89" t="str">
        <f aca="false">IF($B16=GD$12,$O16,"")</f>
        <v/>
      </c>
      <c r="GE16" s="89" t="str">
        <f aca="false">IF($B16=GE$12,$O16,"")</f>
        <v/>
      </c>
      <c r="GF16" s="89" t="str">
        <f aca="false">IF($B16=GF$12,$O16,"")</f>
        <v/>
      </c>
      <c r="GG16" s="89" t="str">
        <f aca="false">IF($B16=GG$12,$O16,"")</f>
        <v/>
      </c>
      <c r="GH16" s="89" t="str">
        <f aca="false">IF($B16=GH$12,$O16,"")</f>
        <v/>
      </c>
      <c r="GI16" s="89" t="str">
        <f aca="false">IF($B16=GI$12,$O16,"")</f>
        <v/>
      </c>
      <c r="GJ16" s="89" t="str">
        <f aca="false">IF($B16=GJ$12,$O16,"")</f>
        <v/>
      </c>
      <c r="GK16" s="89" t="str">
        <f aca="false">IF($B16=GK$12,$O16,"")</f>
        <v/>
      </c>
      <c r="GL16" s="89" t="str">
        <f aca="false">IF($B16=GL$12,$O16,"")</f>
        <v/>
      </c>
      <c r="GM16" s="89" t="str">
        <f aca="false">IF($B16=GM$12,$O16,"")</f>
        <v/>
      </c>
      <c r="GN16" s="89" t="str">
        <f aca="false">IF($B16=GN$12,$O16,"")</f>
        <v/>
      </c>
      <c r="GO16" s="89" t="str">
        <f aca="false">IF($B16=GO$12,$O16,"")</f>
        <v/>
      </c>
      <c r="GP16" s="89" t="str">
        <f aca="false">IF($B16=GP$12,$O16,"")</f>
        <v/>
      </c>
      <c r="GQ16" s="89" t="str">
        <f aca="false">IF($B16=GQ$12,$O16,"")</f>
        <v/>
      </c>
      <c r="GR16" s="89" t="str">
        <f aca="false">IF($B16=GR$12,$O16,"")</f>
        <v/>
      </c>
      <c r="GS16" s="89" t="str">
        <f aca="false">IF($B16=GS$12,$O16,"")</f>
        <v/>
      </c>
      <c r="GT16" s="89" t="str">
        <f aca="false">IF($B16=GT$12,$O16,"")</f>
        <v/>
      </c>
      <c r="GU16" s="89" t="str">
        <f aca="false">IF($B16=GU$12,$O16,"")</f>
        <v/>
      </c>
      <c r="GV16" s="89" t="str">
        <f aca="false">IF($B16=GV$12,$O16,"")</f>
        <v/>
      </c>
      <c r="GW16" s="89" t="str">
        <f aca="false">IF($B16=GW$12,$O16,"")</f>
        <v/>
      </c>
      <c r="GX16" s="89" t="str">
        <f aca="false">IF($B16=GX$12,$O16,"")</f>
        <v/>
      </c>
      <c r="GY16" s="89" t="str">
        <f aca="false">IF($B16=GY$12,$O16,"")</f>
        <v/>
      </c>
      <c r="GZ16" s="89" t="str">
        <f aca="false">IF($B16=GZ$12,$O16,"")</f>
        <v/>
      </c>
      <c r="HA16" s="89" t="str">
        <f aca="false">IF($B16=HA$12,$O16,"")</f>
        <v/>
      </c>
      <c r="HB16" s="89" t="str">
        <f aca="false">IF($B16=HB$12,$O16,"")</f>
        <v/>
      </c>
      <c r="HC16" s="89" t="str">
        <f aca="false">IF($B16=HC$12,$O16,"")</f>
        <v/>
      </c>
      <c r="HD16" s="89" t="str">
        <f aca="false">IF($B16=HD$12,$O16,"")</f>
        <v/>
      </c>
      <c r="HE16" s="89" t="str">
        <f aca="false">IF($B16=HE$12,$O16,"")</f>
        <v/>
      </c>
      <c r="HF16" s="89" t="str">
        <f aca="false">IF($B16=HF$12,$O16,"")</f>
        <v/>
      </c>
      <c r="HG16" s="89" t="str">
        <f aca="false">IF($B16=HG$12,$O16,"")</f>
        <v/>
      </c>
      <c r="HH16" s="89" t="str">
        <f aca="false">IF($B16=HH$12,$O16,"")</f>
        <v/>
      </c>
      <c r="HI16" s="89" t="str">
        <f aca="false">IF($B16=HI$12,$O16,"")</f>
        <v/>
      </c>
      <c r="HJ16" s="89" t="str">
        <f aca="false">IF($B16=HJ$12,$O16,"")</f>
        <v/>
      </c>
      <c r="HK16" s="89" t="str">
        <f aca="false">IF($B16=HK$12,$O16,"")</f>
        <v/>
      </c>
      <c r="HL16" s="89" t="str">
        <f aca="false">IF($B16=HL$12,$O16,"")</f>
        <v/>
      </c>
      <c r="HM16" s="89" t="str">
        <f aca="false">IF($B16=HM$12,$O16,"")</f>
        <v/>
      </c>
      <c r="HN16" s="89" t="str">
        <f aca="false">IF($B16=HN$12,$O16,"")</f>
        <v/>
      </c>
      <c r="HO16" s="89" t="str">
        <f aca="false">IF($B16=HO$12,$O16,"")</f>
        <v/>
      </c>
      <c r="HP16" s="89" t="str">
        <f aca="false">IF($B16=HP$12,$O16,"")</f>
        <v/>
      </c>
      <c r="HQ16" s="89" t="str">
        <f aca="false">IF($B16=HQ$12,$O16,"")</f>
        <v/>
      </c>
      <c r="HR16" s="90" t="str">
        <f aca="false">IF($B16=HR$12,$O16,"")</f>
        <v/>
      </c>
    </row>
    <row r="17" customFormat="false" ht="10.5" hidden="false" customHeight="true" outlineLevel="0" collapsed="false">
      <c r="A17" s="75"/>
      <c r="B17" s="76"/>
      <c r="C17" s="77" t="str">
        <f aca="false">IF(A17=0,"",VLOOKUP(A17,[3]CO!$A$3:$F$5311,2,0))</f>
        <v/>
      </c>
      <c r="D17" s="78"/>
      <c r="E17" s="78"/>
      <c r="F17" s="78"/>
      <c r="G17" s="79" t="str">
        <f aca="false">IF(A17=0,"",VLOOKUP(A17,[3]CO!$A$3:$F$5311,3,0))</f>
        <v/>
      </c>
      <c r="H17" s="78"/>
      <c r="I17" s="80"/>
      <c r="J17" s="80"/>
      <c r="K17" s="80"/>
      <c r="L17" s="80"/>
      <c r="M17" s="81" t="str">
        <f aca="false">IF(L17=0,"",PRODUCT(I17:L17))</f>
        <v/>
      </c>
      <c r="N17" s="81" t="str">
        <f aca="false">IF(B17=0,"",IF(H17="M",HLOOKUP(B17,$Y$12:$DT$13,2),IF(A17=0,"",VLOOKUP(A17,[3]CO!$A$3:$F$5311,4,0))))</f>
        <v/>
      </c>
      <c r="O17" s="81" t="str">
        <f aca="false">IF(L17=0,"",PRODUCT(M17:N17))</f>
        <v/>
      </c>
      <c r="P17" s="82"/>
      <c r="Q17" s="83" t="str">
        <f aca="false">IF(P17=0,"",(HLOOKUP(P17,$DW$12:$HR$13,2)))</f>
        <v/>
      </c>
      <c r="R17" s="84" t="str">
        <f aca="false">IF(S17=0,"",IF(OR(G17="PEON",G17="OF",G17="JARD",G17="CARP",G17="MAESTRO",G17="SOLD",G17="BGRO",G17="CHOFER",G17="AYTE",G17="S.INTTE.",G17="ASEO",G17="P.PISOS",G17="VELADOR",G17="RESID",G17="PINTOR",G17="ELECT",G17="AZULE",G17="AUX CONT.",G17="SECRETARIA",G17="AUXILIAR ADMTVO.",G17="ARQUITECTO",G17="DIBUJANTE",G17="AUX. DE RESIDENTE"),VLOOKUP(B17,P$14:Q$57,2),"")*S17)</f>
        <v/>
      </c>
      <c r="S17" s="66"/>
      <c r="T17" s="67" t="str">
        <f aca="false">IF(A17=0,"",VLOOKUP(A17,[3]CO!$A$3:$F$5302,5,0))</f>
        <v/>
      </c>
      <c r="U17" s="56" t="n">
        <f aca="false">IF(T17=1,O17*0.1,)</f>
        <v>0</v>
      </c>
      <c r="V17" s="68"/>
      <c r="W17" s="91"/>
      <c r="X17" s="91"/>
      <c r="Y17" s="85" t="str">
        <f aca="false">IF($B17=Y$12,$U17,"")</f>
        <v/>
      </c>
      <c r="Z17" s="86" t="str">
        <f aca="false">IF($B17=Z$12,$U17,"")</f>
        <v/>
      </c>
      <c r="AA17" s="86" t="str">
        <f aca="false">IF($B17=AA$12,$U17,"")</f>
        <v/>
      </c>
      <c r="AB17" s="86" t="str">
        <f aca="false">IF($B17=AB$12,$U17,"")</f>
        <v/>
      </c>
      <c r="AC17" s="86" t="str">
        <f aca="false">IF($B17=AC$12,$U17,"")</f>
        <v/>
      </c>
      <c r="AD17" s="86" t="str">
        <f aca="false">IF($B17=AD$12,$U17,"")</f>
        <v/>
      </c>
      <c r="AE17" s="86" t="str">
        <f aca="false">IF($B17=AE$12,$U17,"")</f>
        <v/>
      </c>
      <c r="AF17" s="86" t="str">
        <f aca="false">IF($B17=AF$12,$U17,"")</f>
        <v/>
      </c>
      <c r="AG17" s="86" t="str">
        <f aca="false">IF($B17=AG$12,$U17,"")</f>
        <v/>
      </c>
      <c r="AH17" s="86" t="str">
        <f aca="false">IF($B17=AH$12,$U17,"")</f>
        <v/>
      </c>
      <c r="AI17" s="86" t="str">
        <f aca="false">IF($B17=AI$12,$U17,"")</f>
        <v/>
      </c>
      <c r="AJ17" s="86" t="str">
        <f aca="false">IF($B17=AJ$12,$U17,"")</f>
        <v/>
      </c>
      <c r="AK17" s="86" t="str">
        <f aca="false">IF($B17=AK$12,$U17,"")</f>
        <v/>
      </c>
      <c r="AL17" s="86" t="str">
        <f aca="false">IF($B17=AL$12,$U17,"")</f>
        <v/>
      </c>
      <c r="AM17" s="86" t="str">
        <f aca="false">IF($B17=AM$12,$U17,"")</f>
        <v/>
      </c>
      <c r="AN17" s="86" t="str">
        <f aca="false">IF($B17=AN$12,$U17,"")</f>
        <v/>
      </c>
      <c r="AO17" s="86" t="str">
        <f aca="false">IF($B17=AO$12,$U17,"")</f>
        <v/>
      </c>
      <c r="AP17" s="86" t="str">
        <f aca="false">IF($B17=AP$12,$U17,"")</f>
        <v/>
      </c>
      <c r="AQ17" s="86" t="str">
        <f aca="false">IF($B17=AQ$12,$U17,"")</f>
        <v/>
      </c>
      <c r="AR17" s="86" t="str">
        <f aca="false">IF($B17=AR$12,$U17,"")</f>
        <v/>
      </c>
      <c r="AS17" s="86" t="str">
        <f aca="false">IF($B17=AS$12,$U17,"")</f>
        <v/>
      </c>
      <c r="AT17" s="86" t="str">
        <f aca="false">IF($B17=AT$12,$U17,"")</f>
        <v/>
      </c>
      <c r="AU17" s="86" t="str">
        <f aca="false">IF($B17=AU$12,$U17,"")</f>
        <v/>
      </c>
      <c r="AV17" s="86" t="str">
        <f aca="false">IF($B17=AV$12,$U17,"")</f>
        <v/>
      </c>
      <c r="AW17" s="86" t="str">
        <f aca="false">IF($B17=AW$12,$U17,"")</f>
        <v/>
      </c>
      <c r="AX17" s="86" t="str">
        <f aca="false">IF($B17=AX$12,$U17,"")</f>
        <v/>
      </c>
      <c r="AY17" s="86" t="str">
        <f aca="false">IF($B17=AY$12,$U17,"")</f>
        <v/>
      </c>
      <c r="AZ17" s="86" t="str">
        <f aca="false">IF($B17=AZ$12,$U17,"")</f>
        <v/>
      </c>
      <c r="BA17" s="86" t="str">
        <f aca="false">IF($B17=BA$12,$U17,"")</f>
        <v/>
      </c>
      <c r="BB17" s="86" t="str">
        <f aca="false">IF($B17=BB$12,$U17,"")</f>
        <v/>
      </c>
      <c r="BC17" s="86" t="str">
        <f aca="false">IF($B17=BC$12,$U17,"")</f>
        <v/>
      </c>
      <c r="BD17" s="86" t="str">
        <f aca="false">IF($B17=BD$12,$U17,"")</f>
        <v/>
      </c>
      <c r="BE17" s="86" t="str">
        <f aca="false">IF($B17=BE$12,$U17,"")</f>
        <v/>
      </c>
      <c r="BF17" s="86" t="str">
        <f aca="false">IF($B17=BF$12,$U17,"")</f>
        <v/>
      </c>
      <c r="BG17" s="86" t="str">
        <f aca="false">IF($B17=BG$12,$U17,"")</f>
        <v/>
      </c>
      <c r="BH17" s="86" t="str">
        <f aca="false">IF($B17=BH$12,$U17,"")</f>
        <v/>
      </c>
      <c r="BI17" s="86" t="str">
        <f aca="false">IF($B17=BI$12,$U17,"")</f>
        <v/>
      </c>
      <c r="BJ17" s="86" t="str">
        <f aca="false">IF($B17=BJ$12,$U17,"")</f>
        <v/>
      </c>
      <c r="BK17" s="86" t="str">
        <f aca="false">IF($B17=BK$12,$U17,"")</f>
        <v/>
      </c>
      <c r="BL17" s="86" t="str">
        <f aca="false">IF($B17=BL$12,$U17,"")</f>
        <v/>
      </c>
      <c r="BM17" s="86" t="str">
        <f aca="false">IF($B17=BM$12,$U17,"")</f>
        <v/>
      </c>
      <c r="BN17" s="86" t="str">
        <f aca="false">IF($B17=BN$12,$U17,"")</f>
        <v/>
      </c>
      <c r="BO17" s="86" t="str">
        <f aca="false">IF($B17=BO$12,$U17,"")</f>
        <v/>
      </c>
      <c r="BP17" s="86" t="str">
        <f aca="false">IF($B17=BP$12,$U17,"")</f>
        <v/>
      </c>
      <c r="BQ17" s="86" t="str">
        <f aca="false">IF($B17=BQ$12,$U17,"")</f>
        <v/>
      </c>
      <c r="BR17" s="86" t="str">
        <f aca="false">IF($B17=BR$12,$U17,"")</f>
        <v/>
      </c>
      <c r="BS17" s="86" t="str">
        <f aca="false">IF($B17=BS$12,$U17,"")</f>
        <v/>
      </c>
      <c r="BT17" s="86" t="str">
        <f aca="false">IF($B17=BT$12,$U17,"")</f>
        <v/>
      </c>
      <c r="BU17" s="86" t="str">
        <f aca="false">IF($B17=BU$12,$U17,"")</f>
        <v/>
      </c>
      <c r="BV17" s="86" t="str">
        <f aca="false">IF($B17=BV$12,$U17,"")</f>
        <v/>
      </c>
      <c r="BW17" s="86" t="str">
        <f aca="false">IF($B17=BW$12,$U17,"")</f>
        <v/>
      </c>
      <c r="BX17" s="86" t="str">
        <f aca="false">IF($B17=BX$12,$U17,"")</f>
        <v/>
      </c>
      <c r="BY17" s="86" t="str">
        <f aca="false">IF($B17=BY$12,$U17,"")</f>
        <v/>
      </c>
      <c r="BZ17" s="86" t="str">
        <f aca="false">IF($B17=BZ$12,$U17,"")</f>
        <v/>
      </c>
      <c r="CA17" s="86" t="str">
        <f aca="false">IF($B17=CA$12,$U17,"")</f>
        <v/>
      </c>
      <c r="CB17" s="86" t="str">
        <f aca="false">IF($B17=CB$12,$U17,"")</f>
        <v/>
      </c>
      <c r="CC17" s="86" t="str">
        <f aca="false">IF($B17=CC$12,$U17,"")</f>
        <v/>
      </c>
      <c r="CD17" s="86" t="str">
        <f aca="false">IF($B17=CD$12,$U17,"")</f>
        <v/>
      </c>
      <c r="CE17" s="86" t="str">
        <f aca="false">IF($B17=CE$12,$U17,"")</f>
        <v/>
      </c>
      <c r="CF17" s="86" t="str">
        <f aca="false">IF($B17=CF$12,$U17,"")</f>
        <v/>
      </c>
      <c r="CG17" s="86" t="str">
        <f aca="false">IF($B17=CG$12,$U17,"")</f>
        <v/>
      </c>
      <c r="CH17" s="86" t="str">
        <f aca="false">IF($B17=CH$12,$U17,"")</f>
        <v/>
      </c>
      <c r="CI17" s="86" t="str">
        <f aca="false">IF($B17=CI$12,$U17,"")</f>
        <v/>
      </c>
      <c r="CJ17" s="86" t="str">
        <f aca="false">IF($B17=CJ$12,$U17,"")</f>
        <v/>
      </c>
      <c r="CK17" s="86" t="str">
        <f aca="false">IF($B17=CK$12,$U17,"")</f>
        <v/>
      </c>
      <c r="CL17" s="86" t="str">
        <f aca="false">IF($B17=CL$12,$U17,"")</f>
        <v/>
      </c>
      <c r="CM17" s="86" t="str">
        <f aca="false">IF($B17=CM$12,$U17,"")</f>
        <v/>
      </c>
      <c r="CN17" s="86" t="str">
        <f aca="false">IF($B17=CN$12,$U17,"")</f>
        <v/>
      </c>
      <c r="CO17" s="86" t="str">
        <f aca="false">IF($B17=CO$12,$U17,"")</f>
        <v/>
      </c>
      <c r="CP17" s="86" t="str">
        <f aca="false">IF($B17=CP$12,$U17,"")</f>
        <v/>
      </c>
      <c r="CQ17" s="86" t="str">
        <f aca="false">IF($B17=CQ$12,$U17,"")</f>
        <v/>
      </c>
      <c r="CR17" s="86" t="str">
        <f aca="false">IF($B17=CR$12,$U17,"")</f>
        <v/>
      </c>
      <c r="CS17" s="86" t="str">
        <f aca="false">IF($B17=CS$12,$U17,"")</f>
        <v/>
      </c>
      <c r="CT17" s="86" t="str">
        <f aca="false">IF($B17=CT$12,$U17,"")</f>
        <v/>
      </c>
      <c r="CU17" s="86" t="str">
        <f aca="false">IF($B17=CU$12,$U17,"")</f>
        <v/>
      </c>
      <c r="CV17" s="86" t="str">
        <f aca="false">IF($B17=CV$12,$U17,"")</f>
        <v/>
      </c>
      <c r="CW17" s="86" t="str">
        <f aca="false">IF($B17=CW$12,$U17,"")</f>
        <v/>
      </c>
      <c r="CX17" s="86" t="str">
        <f aca="false">IF($B17=CX$12,$U17,"")</f>
        <v/>
      </c>
      <c r="CY17" s="86" t="str">
        <f aca="false">IF($B17=CY$12,$U17,"")</f>
        <v/>
      </c>
      <c r="CZ17" s="86" t="str">
        <f aca="false">IF($B17=CZ$12,$U17,"")</f>
        <v/>
      </c>
      <c r="DA17" s="86" t="str">
        <f aca="false">IF($B17=DA$12,$U17,"")</f>
        <v/>
      </c>
      <c r="DB17" s="86" t="str">
        <f aca="false">IF($B17=DB$12,$U17,"")</f>
        <v/>
      </c>
      <c r="DC17" s="86" t="str">
        <f aca="false">IF($B17=DC$12,$U17,"")</f>
        <v/>
      </c>
      <c r="DD17" s="86" t="str">
        <f aca="false">IF($B17=DD$12,$U17,"")</f>
        <v/>
      </c>
      <c r="DE17" s="86" t="str">
        <f aca="false">IF($B17=DE$12,$U17,"")</f>
        <v/>
      </c>
      <c r="DF17" s="86" t="str">
        <f aca="false">IF($B17=DF$12,$U17,"")</f>
        <v/>
      </c>
      <c r="DG17" s="86" t="str">
        <f aca="false">IF($B17=DG$12,$U17,"")</f>
        <v/>
      </c>
      <c r="DH17" s="86" t="str">
        <f aca="false">IF($B17=DH$12,$U17,"")</f>
        <v/>
      </c>
      <c r="DI17" s="86" t="str">
        <f aca="false">IF($B17=DI$12,$U17,"")</f>
        <v/>
      </c>
      <c r="DJ17" s="86" t="str">
        <f aca="false">IF($B17=DJ$12,$U17,"")</f>
        <v/>
      </c>
      <c r="DK17" s="86" t="str">
        <f aca="false">IF($B17=DK$12,$U17,"")</f>
        <v/>
      </c>
      <c r="DL17" s="86" t="str">
        <f aca="false">IF($B17=DL$12,$U17,"")</f>
        <v/>
      </c>
      <c r="DM17" s="86" t="str">
        <f aca="false">IF($B17=DM$12,$U17,"")</f>
        <v/>
      </c>
      <c r="DN17" s="86" t="str">
        <f aca="false">IF($B17=DN$12,$U17,"")</f>
        <v/>
      </c>
      <c r="DO17" s="86" t="str">
        <f aca="false">IF($B17=DO$12,$U17,"")</f>
        <v/>
      </c>
      <c r="DP17" s="86" t="str">
        <f aca="false">IF($B17=DP$12,$U17,"")</f>
        <v/>
      </c>
      <c r="DQ17" s="86" t="str">
        <f aca="false">IF($B17=DQ$12,$U17,"")</f>
        <v/>
      </c>
      <c r="DR17" s="86" t="str">
        <f aca="false">IF($B17=DR$12,$U17,"")</f>
        <v/>
      </c>
      <c r="DS17" s="86" t="str">
        <f aca="false">IF($B17=DS$12,$U17,"")</f>
        <v/>
      </c>
      <c r="DT17" s="87" t="str">
        <f aca="false">IF($B17=DT$12,$U17,"")</f>
        <v/>
      </c>
      <c r="DU17" s="56"/>
      <c r="DV17" s="91"/>
      <c r="DW17" s="88" t="str">
        <f aca="false">IF($B17=DW$12,$O17,"")</f>
        <v/>
      </c>
      <c r="DX17" s="89" t="str">
        <f aca="false">IF($B17=DX$12,$O17,"")</f>
        <v/>
      </c>
      <c r="DY17" s="89" t="str">
        <f aca="false">IF($B17=DY$12,$O17,"")</f>
        <v/>
      </c>
      <c r="DZ17" s="89" t="str">
        <f aca="false">IF($B17=DZ$12,$O17,"")</f>
        <v/>
      </c>
      <c r="EA17" s="89" t="str">
        <f aca="false">IF($B17=EA$12,$O17,"")</f>
        <v/>
      </c>
      <c r="EB17" s="89" t="str">
        <f aca="false">IF($B17=EB$12,$O17,"")</f>
        <v/>
      </c>
      <c r="EC17" s="89" t="str">
        <f aca="false">IF($B17=EC$12,$O17,"")</f>
        <v/>
      </c>
      <c r="ED17" s="89" t="str">
        <f aca="false">IF($B17=ED$12,$O17,"")</f>
        <v/>
      </c>
      <c r="EE17" s="89" t="str">
        <f aca="false">IF($B17=EE$12,$O17,"")</f>
        <v/>
      </c>
      <c r="EF17" s="89" t="str">
        <f aca="false">IF($B17=EF$12,$O17,"")</f>
        <v/>
      </c>
      <c r="EG17" s="89" t="str">
        <f aca="false">IF($B17=EG$12,$O17,"")</f>
        <v/>
      </c>
      <c r="EH17" s="89" t="str">
        <f aca="false">IF($B17=EH$12,$O17,"")</f>
        <v/>
      </c>
      <c r="EI17" s="89" t="str">
        <f aca="false">IF($B17=EI$12,$O17,"")</f>
        <v/>
      </c>
      <c r="EJ17" s="89" t="str">
        <f aca="false">IF($B17=EJ$12,$O17,"")</f>
        <v/>
      </c>
      <c r="EK17" s="89" t="str">
        <f aca="false">IF($B17=EK$12,$O17,"")</f>
        <v/>
      </c>
      <c r="EL17" s="89" t="str">
        <f aca="false">IF($B17=EL$12,$O17,"")</f>
        <v/>
      </c>
      <c r="EM17" s="89" t="str">
        <f aca="false">IF($B17=EM$12,$O17,"")</f>
        <v/>
      </c>
      <c r="EN17" s="89" t="str">
        <f aca="false">IF($B17=EN$12,$O17,"")</f>
        <v/>
      </c>
      <c r="EO17" s="89" t="str">
        <f aca="false">IF($B17=EO$12,$O17,"")</f>
        <v/>
      </c>
      <c r="EP17" s="89" t="str">
        <f aca="false">IF($B17=EP$12,$O17,"")</f>
        <v/>
      </c>
      <c r="EQ17" s="89" t="str">
        <f aca="false">IF($B17=EQ$12,$O17,"")</f>
        <v/>
      </c>
      <c r="ER17" s="89" t="str">
        <f aca="false">IF($B17=ER$12,$O17,"")</f>
        <v/>
      </c>
      <c r="ES17" s="89" t="str">
        <f aca="false">IF($B17=ES$12,$O17,"")</f>
        <v/>
      </c>
      <c r="ET17" s="89" t="str">
        <f aca="false">IF($B17=ET$12,$O17,"")</f>
        <v/>
      </c>
      <c r="EU17" s="89" t="str">
        <f aca="false">IF($B17=EU$12,$O17,"")</f>
        <v/>
      </c>
      <c r="EV17" s="89" t="str">
        <f aca="false">IF($B17=EV$12,$O17,"")</f>
        <v/>
      </c>
      <c r="EW17" s="89" t="str">
        <f aca="false">IF($B17=EW$12,$O17,"")</f>
        <v/>
      </c>
      <c r="EX17" s="89" t="str">
        <f aca="false">IF($B17=EX$12,$O17,"")</f>
        <v/>
      </c>
      <c r="EY17" s="89" t="str">
        <f aca="false">IF($B17=EY$12,$O17,"")</f>
        <v/>
      </c>
      <c r="EZ17" s="89" t="str">
        <f aca="false">IF($B17=EZ$12,$O17,"")</f>
        <v/>
      </c>
      <c r="FA17" s="89" t="str">
        <f aca="false">IF($B17=FA$12,$O17,"")</f>
        <v/>
      </c>
      <c r="FB17" s="89" t="str">
        <f aca="false">IF($B17=FB$12,$O17,"")</f>
        <v/>
      </c>
      <c r="FC17" s="89" t="str">
        <f aca="false">IF($B17=FC$12,$O17,"")</f>
        <v/>
      </c>
      <c r="FD17" s="89" t="str">
        <f aca="false">IF($B17=FD$12,$O17,"")</f>
        <v/>
      </c>
      <c r="FE17" s="89" t="str">
        <f aca="false">IF($B17=FE$12,$O17,"")</f>
        <v/>
      </c>
      <c r="FF17" s="89" t="str">
        <f aca="false">IF($B17=FF$12,$O17,"")</f>
        <v/>
      </c>
      <c r="FG17" s="89" t="str">
        <f aca="false">IF($B17=FG$12,$O17,"")</f>
        <v/>
      </c>
      <c r="FH17" s="89" t="str">
        <f aca="false">IF($B17=FH$12,$O17,"")</f>
        <v/>
      </c>
      <c r="FI17" s="89" t="str">
        <f aca="false">IF($B17=FI$12,$O17,"")</f>
        <v/>
      </c>
      <c r="FJ17" s="89" t="str">
        <f aca="false">IF($B17=FJ$12,$O17,"")</f>
        <v/>
      </c>
      <c r="FK17" s="89" t="str">
        <f aca="false">IF($B17=FK$12,$O17,"")</f>
        <v/>
      </c>
      <c r="FL17" s="89" t="str">
        <f aca="false">IF($B17=FL$12,$O17,"")</f>
        <v/>
      </c>
      <c r="FM17" s="89" t="str">
        <f aca="false">IF($B17=FM$12,$O17,"")</f>
        <v/>
      </c>
      <c r="FN17" s="89" t="str">
        <f aca="false">IF($B17=FN$12,$O17,"")</f>
        <v/>
      </c>
      <c r="FO17" s="89" t="str">
        <f aca="false">IF($B17=FO$12,$O17,"")</f>
        <v/>
      </c>
      <c r="FP17" s="89" t="str">
        <f aca="false">IF($B17=FP$12,$O17,"")</f>
        <v/>
      </c>
      <c r="FQ17" s="89" t="str">
        <f aca="false">IF($B17=FQ$12,$O17,"")</f>
        <v/>
      </c>
      <c r="FR17" s="89" t="str">
        <f aca="false">IF($B17=FR$12,$O17,"")</f>
        <v/>
      </c>
      <c r="FS17" s="89" t="str">
        <f aca="false">IF($B17=FS$12,$O17,"")</f>
        <v/>
      </c>
      <c r="FT17" s="89" t="str">
        <f aca="false">IF($B17=FT$12,$O17,"")</f>
        <v/>
      </c>
      <c r="FU17" s="89" t="str">
        <f aca="false">IF($B17=FU$12,$O17,"")</f>
        <v/>
      </c>
      <c r="FV17" s="89" t="str">
        <f aca="false">IF($B17=FV$12,$O17,"")</f>
        <v/>
      </c>
      <c r="FW17" s="89" t="str">
        <f aca="false">IF($B17=FW$12,$O17,"")</f>
        <v/>
      </c>
      <c r="FX17" s="89" t="str">
        <f aca="false">IF($B17=FX$12,$O17,"")</f>
        <v/>
      </c>
      <c r="FY17" s="89" t="str">
        <f aca="false">IF($B17=FY$12,$O17,"")</f>
        <v/>
      </c>
      <c r="FZ17" s="89" t="str">
        <f aca="false">IF($B17=FZ$12,$O17,"")</f>
        <v/>
      </c>
      <c r="GA17" s="89" t="str">
        <f aca="false">IF($B17=GA$12,$O17,"")</f>
        <v/>
      </c>
      <c r="GB17" s="89" t="str">
        <f aca="false">IF($B17=GB$12,$O17,"")</f>
        <v/>
      </c>
      <c r="GC17" s="89" t="str">
        <f aca="false">IF($B17=GC$12,$O17,"")</f>
        <v/>
      </c>
      <c r="GD17" s="89" t="str">
        <f aca="false">IF($B17=GD$12,$O17,"")</f>
        <v/>
      </c>
      <c r="GE17" s="89" t="str">
        <f aca="false">IF($B17=GE$12,$O17,"")</f>
        <v/>
      </c>
      <c r="GF17" s="89" t="str">
        <f aca="false">IF($B17=GF$12,$O17,"")</f>
        <v/>
      </c>
      <c r="GG17" s="89" t="str">
        <f aca="false">IF($B17=GG$12,$O17,"")</f>
        <v/>
      </c>
      <c r="GH17" s="89" t="str">
        <f aca="false">IF($B17=GH$12,$O17,"")</f>
        <v/>
      </c>
      <c r="GI17" s="89" t="str">
        <f aca="false">IF($B17=GI$12,$O17,"")</f>
        <v/>
      </c>
      <c r="GJ17" s="89" t="str">
        <f aca="false">IF($B17=GJ$12,$O17,"")</f>
        <v/>
      </c>
      <c r="GK17" s="89" t="str">
        <f aca="false">IF($B17=GK$12,$O17,"")</f>
        <v/>
      </c>
      <c r="GL17" s="89" t="str">
        <f aca="false">IF($B17=GL$12,$O17,"")</f>
        <v/>
      </c>
      <c r="GM17" s="89" t="str">
        <f aca="false">IF($B17=GM$12,$O17,"")</f>
        <v/>
      </c>
      <c r="GN17" s="89" t="str">
        <f aca="false">IF($B17=GN$12,$O17,"")</f>
        <v/>
      </c>
      <c r="GO17" s="89" t="str">
        <f aca="false">IF($B17=GO$12,$O17,"")</f>
        <v/>
      </c>
      <c r="GP17" s="89" t="str">
        <f aca="false">IF($B17=GP$12,$O17,"")</f>
        <v/>
      </c>
      <c r="GQ17" s="89" t="str">
        <f aca="false">IF($B17=GQ$12,$O17,"")</f>
        <v/>
      </c>
      <c r="GR17" s="89" t="str">
        <f aca="false">IF($B17=GR$12,$O17,"")</f>
        <v/>
      </c>
      <c r="GS17" s="89" t="str">
        <f aca="false">IF($B17=GS$12,$O17,"")</f>
        <v/>
      </c>
      <c r="GT17" s="89" t="str">
        <f aca="false">IF($B17=GT$12,$O17,"")</f>
        <v/>
      </c>
      <c r="GU17" s="89" t="str">
        <f aca="false">IF($B17=GU$12,$O17,"")</f>
        <v/>
      </c>
      <c r="GV17" s="89" t="str">
        <f aca="false">IF($B17=GV$12,$O17,"")</f>
        <v/>
      </c>
      <c r="GW17" s="89" t="str">
        <f aca="false">IF($B17=GW$12,$O17,"")</f>
        <v/>
      </c>
      <c r="GX17" s="89" t="str">
        <f aca="false">IF($B17=GX$12,$O17,"")</f>
        <v/>
      </c>
      <c r="GY17" s="89" t="str">
        <f aca="false">IF($B17=GY$12,$O17,"")</f>
        <v/>
      </c>
      <c r="GZ17" s="89" t="str">
        <f aca="false">IF($B17=GZ$12,$O17,"")</f>
        <v/>
      </c>
      <c r="HA17" s="89" t="str">
        <f aca="false">IF($B17=HA$12,$O17,"")</f>
        <v/>
      </c>
      <c r="HB17" s="89" t="str">
        <f aca="false">IF($B17=HB$12,$O17,"")</f>
        <v/>
      </c>
      <c r="HC17" s="89" t="str">
        <f aca="false">IF($B17=HC$12,$O17,"")</f>
        <v/>
      </c>
      <c r="HD17" s="89" t="str">
        <f aca="false">IF($B17=HD$12,$O17,"")</f>
        <v/>
      </c>
      <c r="HE17" s="89" t="str">
        <f aca="false">IF($B17=HE$12,$O17,"")</f>
        <v/>
      </c>
      <c r="HF17" s="89" t="str">
        <f aca="false">IF($B17=HF$12,$O17,"")</f>
        <v/>
      </c>
      <c r="HG17" s="89" t="str">
        <f aca="false">IF($B17=HG$12,$O17,"")</f>
        <v/>
      </c>
      <c r="HH17" s="89" t="str">
        <f aca="false">IF($B17=HH$12,$O17,"")</f>
        <v/>
      </c>
      <c r="HI17" s="89" t="str">
        <f aca="false">IF($B17=HI$12,$O17,"")</f>
        <v/>
      </c>
      <c r="HJ17" s="89" t="str">
        <f aca="false">IF($B17=HJ$12,$O17,"")</f>
        <v/>
      </c>
      <c r="HK17" s="89" t="str">
        <f aca="false">IF($B17=HK$12,$O17,"")</f>
        <v/>
      </c>
      <c r="HL17" s="89" t="str">
        <f aca="false">IF($B17=HL$12,$O17,"")</f>
        <v/>
      </c>
      <c r="HM17" s="89" t="str">
        <f aca="false">IF($B17=HM$12,$O17,"")</f>
        <v/>
      </c>
      <c r="HN17" s="89" t="str">
        <f aca="false">IF($B17=HN$12,$O17,"")</f>
        <v/>
      </c>
      <c r="HO17" s="89" t="str">
        <f aca="false">IF($B17=HO$12,$O17,"")</f>
        <v/>
      </c>
      <c r="HP17" s="89" t="str">
        <f aca="false">IF($B17=HP$12,$O17,"")</f>
        <v/>
      </c>
      <c r="HQ17" s="89" t="str">
        <f aca="false">IF($B17=HQ$12,$O17,"")</f>
        <v/>
      </c>
      <c r="HR17" s="90" t="str">
        <f aca="false">IF($B17=HR$12,$O17,"")</f>
        <v/>
      </c>
    </row>
    <row r="18" customFormat="false" ht="10.5" hidden="false" customHeight="true" outlineLevel="0" collapsed="false">
      <c r="A18" s="75"/>
      <c r="B18" s="76"/>
      <c r="C18" s="77" t="str">
        <f aca="false">IF(A18=0,"",VLOOKUP(A18,[3]CO!$A$3:$F$5311,2,0))</f>
        <v/>
      </c>
      <c r="D18" s="78"/>
      <c r="E18" s="78"/>
      <c r="F18" s="78"/>
      <c r="G18" s="79" t="str">
        <f aca="false">IF(A18=0,"",VLOOKUP(A18,[3]CO!$A$3:$F$5311,3,0))</f>
        <v/>
      </c>
      <c r="H18" s="78"/>
      <c r="I18" s="80"/>
      <c r="J18" s="80"/>
      <c r="K18" s="80"/>
      <c r="L18" s="80"/>
      <c r="M18" s="81" t="str">
        <f aca="false">IF(L18=0,"",PRODUCT(I18:L18))</f>
        <v/>
      </c>
      <c r="N18" s="81" t="str">
        <f aca="false">IF(B18=0,"",IF(H18="M",HLOOKUP(B18,$Y$12:$DT$13,2),IF(A18=0,"",VLOOKUP(A18,[3]CO!$A$3:$F$5311,4,0))))</f>
        <v/>
      </c>
      <c r="O18" s="81" t="str">
        <f aca="false">IF(L18=0,"",PRODUCT(M18:N18))</f>
        <v/>
      </c>
      <c r="P18" s="82"/>
      <c r="Q18" s="83" t="str">
        <f aca="false">IF(P18=0,"",(HLOOKUP(P18,$DW$12:$HR$13,2)))</f>
        <v/>
      </c>
      <c r="R18" s="84" t="str">
        <f aca="false">IF(S18=0,"",IF(OR(G18="PEON",G18="OF",G18="JARD",G18="CARP",G18="MAESTRO",G18="SOLD",G18="BGRO",G18="CHOFER",G18="AYTE",G18="S.INTTE.",G18="ASEO",G18="P.PISOS",G18="VELADOR",G18="RESID",G18="PINTOR",G18="ELECT",G18="AZULE",G18="AUX CONT.",G18="SECRETARIA",G18="AUXILIAR ADMTVO.",G18="ARQUITECTO",G18="DIBUJANTE",G18="AUX. DE RESIDENTE"),VLOOKUP(B18,P$14:Q$57,2),"")*S18)</f>
        <v/>
      </c>
      <c r="S18" s="66"/>
      <c r="T18" s="67" t="str">
        <f aca="false">IF(A18=0,"",VLOOKUP(A18,[3]CO!$A$3:$F$5302,5,0))</f>
        <v/>
      </c>
      <c r="U18" s="56" t="n">
        <f aca="false">IF(T18=1,O18*0.1,)</f>
        <v>0</v>
      </c>
      <c r="V18" s="68"/>
      <c r="W18" s="91"/>
      <c r="X18" s="91"/>
      <c r="Y18" s="85" t="str">
        <f aca="false">IF($B18=Y$12,$U18,"")</f>
        <v/>
      </c>
      <c r="Z18" s="86" t="str">
        <f aca="false">IF($B18=Z$12,$U18,"")</f>
        <v/>
      </c>
      <c r="AA18" s="86" t="str">
        <f aca="false">IF($B18=AA$12,$U18,"")</f>
        <v/>
      </c>
      <c r="AB18" s="86" t="str">
        <f aca="false">IF($B18=AB$12,$U18,"")</f>
        <v/>
      </c>
      <c r="AC18" s="86" t="str">
        <f aca="false">IF($B18=AC$12,$U18,"")</f>
        <v/>
      </c>
      <c r="AD18" s="86" t="str">
        <f aca="false">IF($B18=AD$12,$U18,"")</f>
        <v/>
      </c>
      <c r="AE18" s="86" t="str">
        <f aca="false">IF($B18=AE$12,$U18,"")</f>
        <v/>
      </c>
      <c r="AF18" s="86" t="str">
        <f aca="false">IF($B18=AF$12,$U18,"")</f>
        <v/>
      </c>
      <c r="AG18" s="86" t="str">
        <f aca="false">IF($B18=AG$12,$U18,"")</f>
        <v/>
      </c>
      <c r="AH18" s="86" t="str">
        <f aca="false">IF($B18=AH$12,$U18,"")</f>
        <v/>
      </c>
      <c r="AI18" s="86" t="str">
        <f aca="false">IF($B18=AI$12,$U18,"")</f>
        <v/>
      </c>
      <c r="AJ18" s="86" t="str">
        <f aca="false">IF($B18=AJ$12,$U18,"")</f>
        <v/>
      </c>
      <c r="AK18" s="86" t="str">
        <f aca="false">IF($B18=AK$12,$U18,"")</f>
        <v/>
      </c>
      <c r="AL18" s="86" t="str">
        <f aca="false">IF($B18=AL$12,$U18,"")</f>
        <v/>
      </c>
      <c r="AM18" s="86" t="str">
        <f aca="false">IF($B18=AM$12,$U18,"")</f>
        <v/>
      </c>
      <c r="AN18" s="86" t="str">
        <f aca="false">IF($B18=AN$12,$U18,"")</f>
        <v/>
      </c>
      <c r="AO18" s="86" t="str">
        <f aca="false">IF($B18=AO$12,$U18,"")</f>
        <v/>
      </c>
      <c r="AP18" s="86" t="str">
        <f aca="false">IF($B18=AP$12,$U18,"")</f>
        <v/>
      </c>
      <c r="AQ18" s="86" t="str">
        <f aca="false">IF($B18=AQ$12,$U18,"")</f>
        <v/>
      </c>
      <c r="AR18" s="86" t="str">
        <f aca="false">IF($B18=AR$12,$U18,"")</f>
        <v/>
      </c>
      <c r="AS18" s="86" t="str">
        <f aca="false">IF($B18=AS$12,$U18,"")</f>
        <v/>
      </c>
      <c r="AT18" s="86" t="str">
        <f aca="false">IF($B18=AT$12,$U18,"")</f>
        <v/>
      </c>
      <c r="AU18" s="86" t="str">
        <f aca="false">IF($B18=AU$12,$U18,"")</f>
        <v/>
      </c>
      <c r="AV18" s="86" t="str">
        <f aca="false">IF($B18=AV$12,$U18,"")</f>
        <v/>
      </c>
      <c r="AW18" s="86" t="str">
        <f aca="false">IF($B18=AW$12,$U18,"")</f>
        <v/>
      </c>
      <c r="AX18" s="86" t="str">
        <f aca="false">IF($B18=AX$12,$U18,"")</f>
        <v/>
      </c>
      <c r="AY18" s="86" t="str">
        <f aca="false">IF($B18=AY$12,$U18,"")</f>
        <v/>
      </c>
      <c r="AZ18" s="86" t="str">
        <f aca="false">IF($B18=AZ$12,$U18,"")</f>
        <v/>
      </c>
      <c r="BA18" s="86" t="str">
        <f aca="false">IF($B18=BA$12,$U18,"")</f>
        <v/>
      </c>
      <c r="BB18" s="86" t="str">
        <f aca="false">IF($B18=BB$12,$U18,"")</f>
        <v/>
      </c>
      <c r="BC18" s="86" t="str">
        <f aca="false">IF($B18=BC$12,$U18,"")</f>
        <v/>
      </c>
      <c r="BD18" s="86" t="str">
        <f aca="false">IF($B18=BD$12,$U18,"")</f>
        <v/>
      </c>
      <c r="BE18" s="86" t="str">
        <f aca="false">IF($B18=BE$12,$U18,"")</f>
        <v/>
      </c>
      <c r="BF18" s="86" t="str">
        <f aca="false">IF($B18=BF$12,$U18,"")</f>
        <v/>
      </c>
      <c r="BG18" s="86" t="str">
        <f aca="false">IF($B18=BG$12,$U18,"")</f>
        <v/>
      </c>
      <c r="BH18" s="86" t="str">
        <f aca="false">IF($B18=BH$12,$U18,"")</f>
        <v/>
      </c>
      <c r="BI18" s="86" t="str">
        <f aca="false">IF($B18=BI$12,$U18,"")</f>
        <v/>
      </c>
      <c r="BJ18" s="86" t="str">
        <f aca="false">IF($B18=BJ$12,$U18,"")</f>
        <v/>
      </c>
      <c r="BK18" s="86" t="str">
        <f aca="false">IF($B18=BK$12,$U18,"")</f>
        <v/>
      </c>
      <c r="BL18" s="86" t="str">
        <f aca="false">IF($B18=BL$12,$U18,"")</f>
        <v/>
      </c>
      <c r="BM18" s="86" t="str">
        <f aca="false">IF($B18=BM$12,$U18,"")</f>
        <v/>
      </c>
      <c r="BN18" s="86" t="str">
        <f aca="false">IF($B18=BN$12,$U18,"")</f>
        <v/>
      </c>
      <c r="BO18" s="86" t="str">
        <f aca="false">IF($B18=BO$12,$U18,"")</f>
        <v/>
      </c>
      <c r="BP18" s="86" t="str">
        <f aca="false">IF($B18=BP$12,$U18,"")</f>
        <v/>
      </c>
      <c r="BQ18" s="86" t="str">
        <f aca="false">IF($B18=BQ$12,$U18,"")</f>
        <v/>
      </c>
      <c r="BR18" s="86" t="str">
        <f aca="false">IF($B18=BR$12,$U18,"")</f>
        <v/>
      </c>
      <c r="BS18" s="86" t="str">
        <f aca="false">IF($B18=BS$12,$U18,"")</f>
        <v/>
      </c>
      <c r="BT18" s="86" t="str">
        <f aca="false">IF($B18=BT$12,$U18,"")</f>
        <v/>
      </c>
      <c r="BU18" s="86" t="str">
        <f aca="false">IF($B18=BU$12,$U18,"")</f>
        <v/>
      </c>
      <c r="BV18" s="86" t="str">
        <f aca="false">IF($B18=BV$12,$U18,"")</f>
        <v/>
      </c>
      <c r="BW18" s="86" t="str">
        <f aca="false">IF($B18=BW$12,$U18,"")</f>
        <v/>
      </c>
      <c r="BX18" s="86" t="str">
        <f aca="false">IF($B18=BX$12,$U18,"")</f>
        <v/>
      </c>
      <c r="BY18" s="86" t="str">
        <f aca="false">IF($B18=BY$12,$U18,"")</f>
        <v/>
      </c>
      <c r="BZ18" s="86" t="str">
        <f aca="false">IF($B18=BZ$12,$U18,"")</f>
        <v/>
      </c>
      <c r="CA18" s="86" t="str">
        <f aca="false">IF($B18=CA$12,$U18,"")</f>
        <v/>
      </c>
      <c r="CB18" s="86" t="str">
        <f aca="false">IF($B18=CB$12,$U18,"")</f>
        <v/>
      </c>
      <c r="CC18" s="86" t="str">
        <f aca="false">IF($B18=CC$12,$U18,"")</f>
        <v/>
      </c>
      <c r="CD18" s="86" t="str">
        <f aca="false">IF($B18=CD$12,$U18,"")</f>
        <v/>
      </c>
      <c r="CE18" s="86" t="str">
        <f aca="false">IF($B18=CE$12,$U18,"")</f>
        <v/>
      </c>
      <c r="CF18" s="86" t="str">
        <f aca="false">IF($B18=CF$12,$U18,"")</f>
        <v/>
      </c>
      <c r="CG18" s="86" t="str">
        <f aca="false">IF($B18=CG$12,$U18,"")</f>
        <v/>
      </c>
      <c r="CH18" s="86" t="str">
        <f aca="false">IF($B18=CH$12,$U18,"")</f>
        <v/>
      </c>
      <c r="CI18" s="86" t="str">
        <f aca="false">IF($B18=CI$12,$U18,"")</f>
        <v/>
      </c>
      <c r="CJ18" s="86" t="str">
        <f aca="false">IF($B18=CJ$12,$U18,"")</f>
        <v/>
      </c>
      <c r="CK18" s="86" t="str">
        <f aca="false">IF($B18=CK$12,$U18,"")</f>
        <v/>
      </c>
      <c r="CL18" s="86" t="str">
        <f aca="false">IF($B18=CL$12,$U18,"")</f>
        <v/>
      </c>
      <c r="CM18" s="86" t="str">
        <f aca="false">IF($B18=CM$12,$U18,"")</f>
        <v/>
      </c>
      <c r="CN18" s="86" t="str">
        <f aca="false">IF($B18=CN$12,$U18,"")</f>
        <v/>
      </c>
      <c r="CO18" s="86" t="str">
        <f aca="false">IF($B18=CO$12,$U18,"")</f>
        <v/>
      </c>
      <c r="CP18" s="86" t="str">
        <f aca="false">IF($B18=CP$12,$U18,"")</f>
        <v/>
      </c>
      <c r="CQ18" s="86" t="str">
        <f aca="false">IF($B18=CQ$12,$U18,"")</f>
        <v/>
      </c>
      <c r="CR18" s="86" t="str">
        <f aca="false">IF($B18=CR$12,$U18,"")</f>
        <v/>
      </c>
      <c r="CS18" s="86" t="str">
        <f aca="false">IF($B18=CS$12,$U18,"")</f>
        <v/>
      </c>
      <c r="CT18" s="86" t="str">
        <f aca="false">IF($B18=CT$12,$U18,"")</f>
        <v/>
      </c>
      <c r="CU18" s="86" t="str">
        <f aca="false">IF($B18=CU$12,$U18,"")</f>
        <v/>
      </c>
      <c r="CV18" s="86" t="str">
        <f aca="false">IF($B18=CV$12,$U18,"")</f>
        <v/>
      </c>
      <c r="CW18" s="86" t="str">
        <f aca="false">IF($B18=CW$12,$U18,"")</f>
        <v/>
      </c>
      <c r="CX18" s="86" t="str">
        <f aca="false">IF($B18=CX$12,$U18,"")</f>
        <v/>
      </c>
      <c r="CY18" s="86" t="str">
        <f aca="false">IF($B18=CY$12,$U18,"")</f>
        <v/>
      </c>
      <c r="CZ18" s="86" t="str">
        <f aca="false">IF($B18=CZ$12,$U18,"")</f>
        <v/>
      </c>
      <c r="DA18" s="86" t="str">
        <f aca="false">IF($B18=DA$12,$U18,"")</f>
        <v/>
      </c>
      <c r="DB18" s="86" t="str">
        <f aca="false">IF($B18=DB$12,$U18,"")</f>
        <v/>
      </c>
      <c r="DC18" s="86" t="str">
        <f aca="false">IF($B18=DC$12,$U18,"")</f>
        <v/>
      </c>
      <c r="DD18" s="86" t="str">
        <f aca="false">IF($B18=DD$12,$U18,"")</f>
        <v/>
      </c>
      <c r="DE18" s="86" t="str">
        <f aca="false">IF($B18=DE$12,$U18,"")</f>
        <v/>
      </c>
      <c r="DF18" s="86" t="str">
        <f aca="false">IF($B18=DF$12,$U18,"")</f>
        <v/>
      </c>
      <c r="DG18" s="86" t="str">
        <f aca="false">IF($B18=DG$12,$U18,"")</f>
        <v/>
      </c>
      <c r="DH18" s="86" t="str">
        <f aca="false">IF($B18=DH$12,$U18,"")</f>
        <v/>
      </c>
      <c r="DI18" s="86" t="str">
        <f aca="false">IF($B18=DI$12,$U18,"")</f>
        <v/>
      </c>
      <c r="DJ18" s="86" t="str">
        <f aca="false">IF($B18=DJ$12,$U18,"")</f>
        <v/>
      </c>
      <c r="DK18" s="86" t="str">
        <f aca="false">IF($B18=DK$12,$U18,"")</f>
        <v/>
      </c>
      <c r="DL18" s="86" t="str">
        <f aca="false">IF($B18=DL$12,$U18,"")</f>
        <v/>
      </c>
      <c r="DM18" s="86" t="str">
        <f aca="false">IF($B18=DM$12,$U18,"")</f>
        <v/>
      </c>
      <c r="DN18" s="86" t="str">
        <f aca="false">IF($B18=DN$12,$U18,"")</f>
        <v/>
      </c>
      <c r="DO18" s="86" t="str">
        <f aca="false">IF($B18=DO$12,$U18,"")</f>
        <v/>
      </c>
      <c r="DP18" s="86" t="str">
        <f aca="false">IF($B18=DP$12,$U18,"")</f>
        <v/>
      </c>
      <c r="DQ18" s="86" t="str">
        <f aca="false">IF($B18=DQ$12,$U18,"")</f>
        <v/>
      </c>
      <c r="DR18" s="86" t="str">
        <f aca="false">IF($B18=DR$12,$U18,"")</f>
        <v/>
      </c>
      <c r="DS18" s="86" t="str">
        <f aca="false">IF($B18=DS$12,$U18,"")</f>
        <v/>
      </c>
      <c r="DT18" s="87" t="str">
        <f aca="false">IF($B18=DT$12,$U18,"")</f>
        <v/>
      </c>
      <c r="DU18" s="56"/>
      <c r="DV18" s="91"/>
      <c r="DW18" s="88" t="str">
        <f aca="false">IF($B18=DW$12,$O18,"")</f>
        <v/>
      </c>
      <c r="DX18" s="89" t="str">
        <f aca="false">IF($B18=DX$12,$O18,"")</f>
        <v/>
      </c>
      <c r="DY18" s="89" t="str">
        <f aca="false">IF($B18=DY$12,$O18,"")</f>
        <v/>
      </c>
      <c r="DZ18" s="89" t="str">
        <f aca="false">IF($B18=DZ$12,$O18,"")</f>
        <v/>
      </c>
      <c r="EA18" s="89" t="str">
        <f aca="false">IF($B18=EA$12,$O18,"")</f>
        <v/>
      </c>
      <c r="EB18" s="89" t="str">
        <f aca="false">IF($B18=EB$12,$O18,"")</f>
        <v/>
      </c>
      <c r="EC18" s="89" t="str">
        <f aca="false">IF($B18=EC$12,$O18,"")</f>
        <v/>
      </c>
      <c r="ED18" s="89" t="str">
        <f aca="false">IF($B18=ED$12,$O18,"")</f>
        <v/>
      </c>
      <c r="EE18" s="89" t="str">
        <f aca="false">IF($B18=EE$12,$O18,"")</f>
        <v/>
      </c>
      <c r="EF18" s="89" t="str">
        <f aca="false">IF($B18=EF$12,$O18,"")</f>
        <v/>
      </c>
      <c r="EG18" s="89" t="str">
        <f aca="false">IF($B18=EG$12,$O18,"")</f>
        <v/>
      </c>
      <c r="EH18" s="89" t="str">
        <f aca="false">IF($B18=EH$12,$O18,"")</f>
        <v/>
      </c>
      <c r="EI18" s="89" t="str">
        <f aca="false">IF($B18=EI$12,$O18,"")</f>
        <v/>
      </c>
      <c r="EJ18" s="89" t="str">
        <f aca="false">IF($B18=EJ$12,$O18,"")</f>
        <v/>
      </c>
      <c r="EK18" s="89" t="str">
        <f aca="false">IF($B18=EK$12,$O18,"")</f>
        <v/>
      </c>
      <c r="EL18" s="89" t="str">
        <f aca="false">IF($B18=EL$12,$O18,"")</f>
        <v/>
      </c>
      <c r="EM18" s="89" t="str">
        <f aca="false">IF($B18=EM$12,$O18,"")</f>
        <v/>
      </c>
      <c r="EN18" s="89" t="str">
        <f aca="false">IF($B18=EN$12,$O18,"")</f>
        <v/>
      </c>
      <c r="EO18" s="89" t="str">
        <f aca="false">IF($B18=EO$12,$O18,"")</f>
        <v/>
      </c>
      <c r="EP18" s="89" t="str">
        <f aca="false">IF($B18=EP$12,$O18,"")</f>
        <v/>
      </c>
      <c r="EQ18" s="89" t="str">
        <f aca="false">IF($B18=EQ$12,$O18,"")</f>
        <v/>
      </c>
      <c r="ER18" s="89" t="str">
        <f aca="false">IF($B18=ER$12,$O18,"")</f>
        <v/>
      </c>
      <c r="ES18" s="89" t="str">
        <f aca="false">IF($B18=ES$12,$O18,"")</f>
        <v/>
      </c>
      <c r="ET18" s="89" t="str">
        <f aca="false">IF($B18=ET$12,$O18,"")</f>
        <v/>
      </c>
      <c r="EU18" s="89" t="str">
        <f aca="false">IF($B18=EU$12,$O18,"")</f>
        <v/>
      </c>
      <c r="EV18" s="89" t="str">
        <f aca="false">IF($B18=EV$12,$O18,"")</f>
        <v/>
      </c>
      <c r="EW18" s="89" t="str">
        <f aca="false">IF($B18=EW$12,$O18,"")</f>
        <v/>
      </c>
      <c r="EX18" s="89" t="str">
        <f aca="false">IF($B18=EX$12,$O18,"")</f>
        <v/>
      </c>
      <c r="EY18" s="89" t="str">
        <f aca="false">IF($B18=EY$12,$O18,"")</f>
        <v/>
      </c>
      <c r="EZ18" s="89" t="str">
        <f aca="false">IF($B18=EZ$12,$O18,"")</f>
        <v/>
      </c>
      <c r="FA18" s="89" t="str">
        <f aca="false">IF($B18=FA$12,$O18,"")</f>
        <v/>
      </c>
      <c r="FB18" s="89" t="str">
        <f aca="false">IF($B18=FB$12,$O18,"")</f>
        <v/>
      </c>
      <c r="FC18" s="89" t="str">
        <f aca="false">IF($B18=FC$12,$O18,"")</f>
        <v/>
      </c>
      <c r="FD18" s="89" t="str">
        <f aca="false">IF($B18=FD$12,$O18,"")</f>
        <v/>
      </c>
      <c r="FE18" s="89" t="str">
        <f aca="false">IF($B18=FE$12,$O18,"")</f>
        <v/>
      </c>
      <c r="FF18" s="89" t="str">
        <f aca="false">IF($B18=FF$12,$O18,"")</f>
        <v/>
      </c>
      <c r="FG18" s="89" t="str">
        <f aca="false">IF($B18=FG$12,$O18,"")</f>
        <v/>
      </c>
      <c r="FH18" s="89" t="str">
        <f aca="false">IF($B18=FH$12,$O18,"")</f>
        <v/>
      </c>
      <c r="FI18" s="89" t="str">
        <f aca="false">IF($B18=FI$12,$O18,"")</f>
        <v/>
      </c>
      <c r="FJ18" s="89" t="str">
        <f aca="false">IF($B18=FJ$12,$O18,"")</f>
        <v/>
      </c>
      <c r="FK18" s="89" t="str">
        <f aca="false">IF($B18=FK$12,$O18,"")</f>
        <v/>
      </c>
      <c r="FL18" s="89" t="str">
        <f aca="false">IF($B18=FL$12,$O18,"")</f>
        <v/>
      </c>
      <c r="FM18" s="89" t="str">
        <f aca="false">IF($B18=FM$12,$O18,"")</f>
        <v/>
      </c>
      <c r="FN18" s="89" t="str">
        <f aca="false">IF($B18=FN$12,$O18,"")</f>
        <v/>
      </c>
      <c r="FO18" s="89" t="str">
        <f aca="false">IF($B18=FO$12,$O18,"")</f>
        <v/>
      </c>
      <c r="FP18" s="89" t="str">
        <f aca="false">IF($B18=FP$12,$O18,"")</f>
        <v/>
      </c>
      <c r="FQ18" s="89" t="str">
        <f aca="false">IF($B18=FQ$12,$O18,"")</f>
        <v/>
      </c>
      <c r="FR18" s="89" t="str">
        <f aca="false">IF($B18=FR$12,$O18,"")</f>
        <v/>
      </c>
      <c r="FS18" s="89" t="str">
        <f aca="false">IF($B18=FS$12,$O18,"")</f>
        <v/>
      </c>
      <c r="FT18" s="89" t="str">
        <f aca="false">IF($B18=FT$12,$O18,"")</f>
        <v/>
      </c>
      <c r="FU18" s="89" t="str">
        <f aca="false">IF($B18=FU$12,$O18,"")</f>
        <v/>
      </c>
      <c r="FV18" s="89" t="str">
        <f aca="false">IF($B18=FV$12,$O18,"")</f>
        <v/>
      </c>
      <c r="FW18" s="89" t="str">
        <f aca="false">IF($B18=FW$12,$O18,"")</f>
        <v/>
      </c>
      <c r="FX18" s="89" t="str">
        <f aca="false">IF($B18=FX$12,$O18,"")</f>
        <v/>
      </c>
      <c r="FY18" s="89" t="str">
        <f aca="false">IF($B18=FY$12,$O18,"")</f>
        <v/>
      </c>
      <c r="FZ18" s="89" t="str">
        <f aca="false">IF($B18=FZ$12,$O18,"")</f>
        <v/>
      </c>
      <c r="GA18" s="89" t="str">
        <f aca="false">IF($B18=GA$12,$O18,"")</f>
        <v/>
      </c>
      <c r="GB18" s="89" t="str">
        <f aca="false">IF($B18=GB$12,$O18,"")</f>
        <v/>
      </c>
      <c r="GC18" s="89" t="str">
        <f aca="false">IF($B18=GC$12,$O18,"")</f>
        <v/>
      </c>
      <c r="GD18" s="89" t="str">
        <f aca="false">IF($B18=GD$12,$O18,"")</f>
        <v/>
      </c>
      <c r="GE18" s="89" t="str">
        <f aca="false">IF($B18=GE$12,$O18,"")</f>
        <v/>
      </c>
      <c r="GF18" s="89" t="str">
        <f aca="false">IF($B18=GF$12,$O18,"")</f>
        <v/>
      </c>
      <c r="GG18" s="89" t="str">
        <f aca="false">IF($B18=GG$12,$O18,"")</f>
        <v/>
      </c>
      <c r="GH18" s="89" t="str">
        <f aca="false">IF($B18=GH$12,$O18,"")</f>
        <v/>
      </c>
      <c r="GI18" s="89" t="str">
        <f aca="false">IF($B18=GI$12,$O18,"")</f>
        <v/>
      </c>
      <c r="GJ18" s="89" t="str">
        <f aca="false">IF($B18=GJ$12,$O18,"")</f>
        <v/>
      </c>
      <c r="GK18" s="89" t="str">
        <f aca="false">IF($B18=GK$12,$O18,"")</f>
        <v/>
      </c>
      <c r="GL18" s="89" t="str">
        <f aca="false">IF($B18=GL$12,$O18,"")</f>
        <v/>
      </c>
      <c r="GM18" s="89" t="str">
        <f aca="false">IF($B18=GM$12,$O18,"")</f>
        <v/>
      </c>
      <c r="GN18" s="89" t="str">
        <f aca="false">IF($B18=GN$12,$O18,"")</f>
        <v/>
      </c>
      <c r="GO18" s="89" t="str">
        <f aca="false">IF($B18=GO$12,$O18,"")</f>
        <v/>
      </c>
      <c r="GP18" s="89" t="str">
        <f aca="false">IF($B18=GP$12,$O18,"")</f>
        <v/>
      </c>
      <c r="GQ18" s="89" t="str">
        <f aca="false">IF($B18=GQ$12,$O18,"")</f>
        <v/>
      </c>
      <c r="GR18" s="89" t="str">
        <f aca="false">IF($B18=GR$12,$O18,"")</f>
        <v/>
      </c>
      <c r="GS18" s="89" t="str">
        <f aca="false">IF($B18=GS$12,$O18,"")</f>
        <v/>
      </c>
      <c r="GT18" s="89" t="str">
        <f aca="false">IF($B18=GT$12,$O18,"")</f>
        <v/>
      </c>
      <c r="GU18" s="89" t="str">
        <f aca="false">IF($B18=GU$12,$O18,"")</f>
        <v/>
      </c>
      <c r="GV18" s="89" t="str">
        <f aca="false">IF($B18=GV$12,$O18,"")</f>
        <v/>
      </c>
      <c r="GW18" s="89" t="str">
        <f aca="false">IF($B18=GW$12,$O18,"")</f>
        <v/>
      </c>
      <c r="GX18" s="89" t="str">
        <f aca="false">IF($B18=GX$12,$O18,"")</f>
        <v/>
      </c>
      <c r="GY18" s="89" t="str">
        <f aca="false">IF($B18=GY$12,$O18,"")</f>
        <v/>
      </c>
      <c r="GZ18" s="89" t="str">
        <f aca="false">IF($B18=GZ$12,$O18,"")</f>
        <v/>
      </c>
      <c r="HA18" s="89" t="str">
        <f aca="false">IF($B18=HA$12,$O18,"")</f>
        <v/>
      </c>
      <c r="HB18" s="89" t="str">
        <f aca="false">IF($B18=HB$12,$O18,"")</f>
        <v/>
      </c>
      <c r="HC18" s="89" t="str">
        <f aca="false">IF($B18=HC$12,$O18,"")</f>
        <v/>
      </c>
      <c r="HD18" s="89" t="str">
        <f aca="false">IF($B18=HD$12,$O18,"")</f>
        <v/>
      </c>
      <c r="HE18" s="89" t="str">
        <f aca="false">IF($B18=HE$12,$O18,"")</f>
        <v/>
      </c>
      <c r="HF18" s="89" t="str">
        <f aca="false">IF($B18=HF$12,$O18,"")</f>
        <v/>
      </c>
      <c r="HG18" s="89" t="str">
        <f aca="false">IF($B18=HG$12,$O18,"")</f>
        <v/>
      </c>
      <c r="HH18" s="89" t="str">
        <f aca="false">IF($B18=HH$12,$O18,"")</f>
        <v/>
      </c>
      <c r="HI18" s="89" t="str">
        <f aca="false">IF($B18=HI$12,$O18,"")</f>
        <v/>
      </c>
      <c r="HJ18" s="89" t="str">
        <f aca="false">IF($B18=HJ$12,$O18,"")</f>
        <v/>
      </c>
      <c r="HK18" s="89" t="str">
        <f aca="false">IF($B18=HK$12,$O18,"")</f>
        <v/>
      </c>
      <c r="HL18" s="89" t="str">
        <f aca="false">IF($B18=HL$12,$O18,"")</f>
        <v/>
      </c>
      <c r="HM18" s="89" t="str">
        <f aca="false">IF($B18=HM$12,$O18,"")</f>
        <v/>
      </c>
      <c r="HN18" s="89" t="str">
        <f aca="false">IF($B18=HN$12,$O18,"")</f>
        <v/>
      </c>
      <c r="HO18" s="89" t="str">
        <f aca="false">IF($B18=HO$12,$O18,"")</f>
        <v/>
      </c>
      <c r="HP18" s="89" t="str">
        <f aca="false">IF($B18=HP$12,$O18,"")</f>
        <v/>
      </c>
      <c r="HQ18" s="89" t="str">
        <f aca="false">IF($B18=HQ$12,$O18,"")</f>
        <v/>
      </c>
      <c r="HR18" s="90" t="str">
        <f aca="false">IF($B18=HR$12,$O18,"")</f>
        <v/>
      </c>
    </row>
    <row r="19" customFormat="false" ht="10.5" hidden="false" customHeight="true" outlineLevel="0" collapsed="false">
      <c r="A19" s="75"/>
      <c r="B19" s="76"/>
      <c r="C19" s="77" t="str">
        <f aca="false">IF(A19=0,"",VLOOKUP(A19,[3]CO!$A$3:$F$5311,2,0))</f>
        <v/>
      </c>
      <c r="D19" s="78"/>
      <c r="E19" s="78"/>
      <c r="F19" s="78"/>
      <c r="G19" s="79" t="str">
        <f aca="false">IF(A19=0,"",VLOOKUP(A19,[3]CO!$A$3:$F$5311,3,0))</f>
        <v/>
      </c>
      <c r="H19" s="78"/>
      <c r="I19" s="80"/>
      <c r="J19" s="80"/>
      <c r="K19" s="80"/>
      <c r="L19" s="80"/>
      <c r="M19" s="81" t="str">
        <f aca="false">IF(L19=0,"",PRODUCT(I19:L19))</f>
        <v/>
      </c>
      <c r="N19" s="81" t="str">
        <f aca="false">IF(B19=0,"",IF(H19="M",HLOOKUP(B19,$Y$12:$DT$13,2),IF(A19=0,"",VLOOKUP(A19,[3]CO!$A$3:$F$5311,4,0))))</f>
        <v/>
      </c>
      <c r="O19" s="81" t="str">
        <f aca="false">IF(L19=0,"",PRODUCT(M19:N19))</f>
        <v/>
      </c>
      <c r="P19" s="82"/>
      <c r="Q19" s="83" t="str">
        <f aca="false">IF(P19=0,"",(HLOOKUP(P19,$DW$12:$HR$13,2)))</f>
        <v/>
      </c>
      <c r="R19" s="84" t="str">
        <f aca="false">IF(S19=0,"",IF(OR(G19="PEON",G19="OF",G19="JARD",G19="CARP",G19="MAESTRO",G19="SOLD",G19="BGRO",G19="CHOFER",G19="AYTE",G19="S.INTTE.",G19="ASEO",G19="P.PISOS",G19="VELADOR",G19="RESID",G19="PINTOR",G19="ELECT",G19="AZULE",G19="AUX CONT.",G19="SECRETARIA",G19="AUXILIAR ADMTVO.",G19="ARQUITECTO",G19="DIBUJANTE",G19="AUX. DE RESIDENTE"),VLOOKUP(B19,P$14:Q$57,2),"")*S19)</f>
        <v/>
      </c>
      <c r="S19" s="66"/>
      <c r="T19" s="67" t="str">
        <f aca="false">IF(A19=0,"",VLOOKUP(A19,[3]CO!$A$3:$F$5302,5,0))</f>
        <v/>
      </c>
      <c r="U19" s="56" t="n">
        <f aca="false">IF(T19=1,O19*0.1,)</f>
        <v>0</v>
      </c>
      <c r="V19" s="68"/>
      <c r="W19" s="91"/>
      <c r="X19" s="91"/>
      <c r="Y19" s="85" t="str">
        <f aca="false">IF($B19=Y$12,$U19,"")</f>
        <v/>
      </c>
      <c r="Z19" s="86" t="str">
        <f aca="false">IF($B19=Z$12,$U19,"")</f>
        <v/>
      </c>
      <c r="AA19" s="86" t="str">
        <f aca="false">IF($B19=AA$12,$U19,"")</f>
        <v/>
      </c>
      <c r="AB19" s="86" t="str">
        <f aca="false">IF($B19=AB$12,$U19,"")</f>
        <v/>
      </c>
      <c r="AC19" s="86" t="str">
        <f aca="false">IF($B19=AC$12,$U19,"")</f>
        <v/>
      </c>
      <c r="AD19" s="86" t="str">
        <f aca="false">IF($B19=AD$12,$U19,"")</f>
        <v/>
      </c>
      <c r="AE19" s="86" t="str">
        <f aca="false">IF($B19=AE$12,$U19,"")</f>
        <v/>
      </c>
      <c r="AF19" s="86" t="str">
        <f aca="false">IF($B19=AF$12,$U19,"")</f>
        <v/>
      </c>
      <c r="AG19" s="86" t="str">
        <f aca="false">IF($B19=AG$12,$U19,"")</f>
        <v/>
      </c>
      <c r="AH19" s="86" t="str">
        <f aca="false">IF($B19=AH$12,$U19,"")</f>
        <v/>
      </c>
      <c r="AI19" s="86" t="str">
        <f aca="false">IF($B19=AI$12,$U19,"")</f>
        <v/>
      </c>
      <c r="AJ19" s="86" t="str">
        <f aca="false">IF($B19=AJ$12,$U19,"")</f>
        <v/>
      </c>
      <c r="AK19" s="86" t="str">
        <f aca="false">IF($B19=AK$12,$U19,"")</f>
        <v/>
      </c>
      <c r="AL19" s="86" t="str">
        <f aca="false">IF($B19=AL$12,$U19,"")</f>
        <v/>
      </c>
      <c r="AM19" s="86" t="str">
        <f aca="false">IF($B19=AM$12,$U19,"")</f>
        <v/>
      </c>
      <c r="AN19" s="86" t="str">
        <f aca="false">IF($B19=AN$12,$U19,"")</f>
        <v/>
      </c>
      <c r="AO19" s="86" t="str">
        <f aca="false">IF($B19=AO$12,$U19,"")</f>
        <v/>
      </c>
      <c r="AP19" s="86" t="str">
        <f aca="false">IF($B19=AP$12,$U19,"")</f>
        <v/>
      </c>
      <c r="AQ19" s="86" t="str">
        <f aca="false">IF($B19=AQ$12,$U19,"")</f>
        <v/>
      </c>
      <c r="AR19" s="86" t="str">
        <f aca="false">IF($B19=AR$12,$U19,"")</f>
        <v/>
      </c>
      <c r="AS19" s="86" t="str">
        <f aca="false">IF($B19=AS$12,$U19,"")</f>
        <v/>
      </c>
      <c r="AT19" s="86" t="str">
        <f aca="false">IF($B19=AT$12,$U19,"")</f>
        <v/>
      </c>
      <c r="AU19" s="86" t="str">
        <f aca="false">IF($B19=AU$12,$U19,"")</f>
        <v/>
      </c>
      <c r="AV19" s="86" t="str">
        <f aca="false">IF($B19=AV$12,$U19,"")</f>
        <v/>
      </c>
      <c r="AW19" s="86" t="str">
        <f aca="false">IF($B19=AW$12,$U19,"")</f>
        <v/>
      </c>
      <c r="AX19" s="86" t="str">
        <f aca="false">IF($B19=AX$12,$U19,"")</f>
        <v/>
      </c>
      <c r="AY19" s="86" t="str">
        <f aca="false">IF($B19=AY$12,$U19,"")</f>
        <v/>
      </c>
      <c r="AZ19" s="86" t="str">
        <f aca="false">IF($B19=AZ$12,$U19,"")</f>
        <v/>
      </c>
      <c r="BA19" s="86" t="str">
        <f aca="false">IF($B19=BA$12,$U19,"")</f>
        <v/>
      </c>
      <c r="BB19" s="86" t="str">
        <f aca="false">IF($B19=BB$12,$U19,"")</f>
        <v/>
      </c>
      <c r="BC19" s="86" t="str">
        <f aca="false">IF($B19=BC$12,$U19,"")</f>
        <v/>
      </c>
      <c r="BD19" s="86" t="str">
        <f aca="false">IF($B19=BD$12,$U19,"")</f>
        <v/>
      </c>
      <c r="BE19" s="86" t="str">
        <f aca="false">IF($B19=BE$12,$U19,"")</f>
        <v/>
      </c>
      <c r="BF19" s="86" t="str">
        <f aca="false">IF($B19=BF$12,$U19,"")</f>
        <v/>
      </c>
      <c r="BG19" s="86" t="str">
        <f aca="false">IF($B19=BG$12,$U19,"")</f>
        <v/>
      </c>
      <c r="BH19" s="86" t="str">
        <f aca="false">IF($B19=BH$12,$U19,"")</f>
        <v/>
      </c>
      <c r="BI19" s="86" t="str">
        <f aca="false">IF($B19=BI$12,$U19,"")</f>
        <v/>
      </c>
      <c r="BJ19" s="86" t="str">
        <f aca="false">IF($B19=BJ$12,$U19,"")</f>
        <v/>
      </c>
      <c r="BK19" s="86" t="str">
        <f aca="false">IF($B19=BK$12,$U19,"")</f>
        <v/>
      </c>
      <c r="BL19" s="86" t="str">
        <f aca="false">IF($B19=BL$12,$U19,"")</f>
        <v/>
      </c>
      <c r="BM19" s="86" t="str">
        <f aca="false">IF($B19=BM$12,$U19,"")</f>
        <v/>
      </c>
      <c r="BN19" s="86" t="str">
        <f aca="false">IF($B19=BN$12,$U19,"")</f>
        <v/>
      </c>
      <c r="BO19" s="86" t="str">
        <f aca="false">IF($B19=BO$12,$U19,"")</f>
        <v/>
      </c>
      <c r="BP19" s="86" t="str">
        <f aca="false">IF($B19=BP$12,$U19,"")</f>
        <v/>
      </c>
      <c r="BQ19" s="86" t="str">
        <f aca="false">IF($B19=BQ$12,$U19,"")</f>
        <v/>
      </c>
      <c r="BR19" s="86" t="str">
        <f aca="false">IF($B19=BR$12,$U19,"")</f>
        <v/>
      </c>
      <c r="BS19" s="86" t="str">
        <f aca="false">IF($B19=BS$12,$U19,"")</f>
        <v/>
      </c>
      <c r="BT19" s="86" t="str">
        <f aca="false">IF($B19=BT$12,$U19,"")</f>
        <v/>
      </c>
      <c r="BU19" s="86" t="str">
        <f aca="false">IF($B19=BU$12,$U19,"")</f>
        <v/>
      </c>
      <c r="BV19" s="86" t="str">
        <f aca="false">IF($B19=BV$12,$U19,"")</f>
        <v/>
      </c>
      <c r="BW19" s="86" t="str">
        <f aca="false">IF($B19=BW$12,$U19,"")</f>
        <v/>
      </c>
      <c r="BX19" s="86" t="str">
        <f aca="false">IF($B19=BX$12,$U19,"")</f>
        <v/>
      </c>
      <c r="BY19" s="86" t="str">
        <f aca="false">IF($B19=BY$12,$U19,"")</f>
        <v/>
      </c>
      <c r="BZ19" s="86" t="str">
        <f aca="false">IF($B19=BZ$12,$U19,"")</f>
        <v/>
      </c>
      <c r="CA19" s="86" t="str">
        <f aca="false">IF($B19=CA$12,$U19,"")</f>
        <v/>
      </c>
      <c r="CB19" s="86" t="str">
        <f aca="false">IF($B19=CB$12,$U19,"")</f>
        <v/>
      </c>
      <c r="CC19" s="86" t="str">
        <f aca="false">IF($B19=CC$12,$U19,"")</f>
        <v/>
      </c>
      <c r="CD19" s="86" t="str">
        <f aca="false">IF($B19=CD$12,$U19,"")</f>
        <v/>
      </c>
      <c r="CE19" s="86" t="str">
        <f aca="false">IF($B19=CE$12,$U19,"")</f>
        <v/>
      </c>
      <c r="CF19" s="86" t="str">
        <f aca="false">IF($B19=CF$12,$U19,"")</f>
        <v/>
      </c>
      <c r="CG19" s="86" t="str">
        <f aca="false">IF($B19=CG$12,$U19,"")</f>
        <v/>
      </c>
      <c r="CH19" s="86" t="str">
        <f aca="false">IF($B19=CH$12,$U19,"")</f>
        <v/>
      </c>
      <c r="CI19" s="86" t="str">
        <f aca="false">IF($B19=CI$12,$U19,"")</f>
        <v/>
      </c>
      <c r="CJ19" s="86" t="str">
        <f aca="false">IF($B19=CJ$12,$U19,"")</f>
        <v/>
      </c>
      <c r="CK19" s="86" t="str">
        <f aca="false">IF($B19=CK$12,$U19,"")</f>
        <v/>
      </c>
      <c r="CL19" s="86" t="str">
        <f aca="false">IF($B19=CL$12,$U19,"")</f>
        <v/>
      </c>
      <c r="CM19" s="86" t="str">
        <f aca="false">IF($B19=CM$12,$U19,"")</f>
        <v/>
      </c>
      <c r="CN19" s="86" t="str">
        <f aca="false">IF($B19=CN$12,$U19,"")</f>
        <v/>
      </c>
      <c r="CO19" s="86" t="str">
        <f aca="false">IF($B19=CO$12,$U19,"")</f>
        <v/>
      </c>
      <c r="CP19" s="86" t="str">
        <f aca="false">IF($B19=CP$12,$U19,"")</f>
        <v/>
      </c>
      <c r="CQ19" s="86" t="str">
        <f aca="false">IF($B19=CQ$12,$U19,"")</f>
        <v/>
      </c>
      <c r="CR19" s="86" t="str">
        <f aca="false">IF($B19=CR$12,$U19,"")</f>
        <v/>
      </c>
      <c r="CS19" s="86" t="str">
        <f aca="false">IF($B19=CS$12,$U19,"")</f>
        <v/>
      </c>
      <c r="CT19" s="86" t="str">
        <f aca="false">IF($B19=CT$12,$U19,"")</f>
        <v/>
      </c>
      <c r="CU19" s="86" t="str">
        <f aca="false">IF($B19=CU$12,$U19,"")</f>
        <v/>
      </c>
      <c r="CV19" s="86" t="str">
        <f aca="false">IF($B19=CV$12,$U19,"")</f>
        <v/>
      </c>
      <c r="CW19" s="86" t="str">
        <f aca="false">IF($B19=CW$12,$U19,"")</f>
        <v/>
      </c>
      <c r="CX19" s="86" t="str">
        <f aca="false">IF($B19=CX$12,$U19,"")</f>
        <v/>
      </c>
      <c r="CY19" s="86" t="str">
        <f aca="false">IF($B19=CY$12,$U19,"")</f>
        <v/>
      </c>
      <c r="CZ19" s="86" t="str">
        <f aca="false">IF($B19=CZ$12,$U19,"")</f>
        <v/>
      </c>
      <c r="DA19" s="86" t="str">
        <f aca="false">IF($B19=DA$12,$U19,"")</f>
        <v/>
      </c>
      <c r="DB19" s="86" t="str">
        <f aca="false">IF($B19=DB$12,$U19,"")</f>
        <v/>
      </c>
      <c r="DC19" s="86" t="str">
        <f aca="false">IF($B19=DC$12,$U19,"")</f>
        <v/>
      </c>
      <c r="DD19" s="86" t="str">
        <f aca="false">IF($B19=DD$12,$U19,"")</f>
        <v/>
      </c>
      <c r="DE19" s="86" t="str">
        <f aca="false">IF($B19=DE$12,$U19,"")</f>
        <v/>
      </c>
      <c r="DF19" s="86" t="str">
        <f aca="false">IF($B19=DF$12,$U19,"")</f>
        <v/>
      </c>
      <c r="DG19" s="86" t="str">
        <f aca="false">IF($B19=DG$12,$U19,"")</f>
        <v/>
      </c>
      <c r="DH19" s="86" t="str">
        <f aca="false">IF($B19=DH$12,$U19,"")</f>
        <v/>
      </c>
      <c r="DI19" s="86" t="str">
        <f aca="false">IF($B19=DI$12,$U19,"")</f>
        <v/>
      </c>
      <c r="DJ19" s="86" t="str">
        <f aca="false">IF($B19=DJ$12,$U19,"")</f>
        <v/>
      </c>
      <c r="DK19" s="86" t="str">
        <f aca="false">IF($B19=DK$12,$U19,"")</f>
        <v/>
      </c>
      <c r="DL19" s="86" t="str">
        <f aca="false">IF($B19=DL$12,$U19,"")</f>
        <v/>
      </c>
      <c r="DM19" s="86" t="str">
        <f aca="false">IF($B19=DM$12,$U19,"")</f>
        <v/>
      </c>
      <c r="DN19" s="86" t="str">
        <f aca="false">IF($B19=DN$12,$U19,"")</f>
        <v/>
      </c>
      <c r="DO19" s="86" t="str">
        <f aca="false">IF($B19=DO$12,$U19,"")</f>
        <v/>
      </c>
      <c r="DP19" s="86" t="str">
        <f aca="false">IF($B19=DP$12,$U19,"")</f>
        <v/>
      </c>
      <c r="DQ19" s="86" t="str">
        <f aca="false">IF($B19=DQ$12,$U19,"")</f>
        <v/>
      </c>
      <c r="DR19" s="86" t="str">
        <f aca="false">IF($B19=DR$12,$U19,"")</f>
        <v/>
      </c>
      <c r="DS19" s="86" t="str">
        <f aca="false">IF($B19=DS$12,$U19,"")</f>
        <v/>
      </c>
      <c r="DT19" s="87" t="str">
        <f aca="false">IF($B19=DT$12,$U19,"")</f>
        <v/>
      </c>
      <c r="DU19" s="56"/>
      <c r="DV19" s="91"/>
      <c r="DW19" s="88" t="str">
        <f aca="false">IF($B19=DW$12,$O19,"")</f>
        <v/>
      </c>
      <c r="DX19" s="89" t="str">
        <f aca="false">IF($B19=DX$12,$O19,"")</f>
        <v/>
      </c>
      <c r="DY19" s="89" t="str">
        <f aca="false">IF($B19=DY$12,$O19,"")</f>
        <v/>
      </c>
      <c r="DZ19" s="89" t="str">
        <f aca="false">IF($B19=DZ$12,$O19,"")</f>
        <v/>
      </c>
      <c r="EA19" s="89" t="str">
        <f aca="false">IF($B19=EA$12,$O19,"")</f>
        <v/>
      </c>
      <c r="EB19" s="89" t="str">
        <f aca="false">IF($B19=EB$12,$O19,"")</f>
        <v/>
      </c>
      <c r="EC19" s="89" t="str">
        <f aca="false">IF($B19=EC$12,$O19,"")</f>
        <v/>
      </c>
      <c r="ED19" s="89" t="str">
        <f aca="false">IF($B19=ED$12,$O19,"")</f>
        <v/>
      </c>
      <c r="EE19" s="89" t="str">
        <f aca="false">IF($B19=EE$12,$O19,"")</f>
        <v/>
      </c>
      <c r="EF19" s="89" t="str">
        <f aca="false">IF($B19=EF$12,$O19,"")</f>
        <v/>
      </c>
      <c r="EG19" s="89" t="str">
        <f aca="false">IF($B19=EG$12,$O19,"")</f>
        <v/>
      </c>
      <c r="EH19" s="89" t="str">
        <f aca="false">IF($B19=EH$12,$O19,"")</f>
        <v/>
      </c>
      <c r="EI19" s="89" t="str">
        <f aca="false">IF($B19=EI$12,$O19,"")</f>
        <v/>
      </c>
      <c r="EJ19" s="89" t="str">
        <f aca="false">IF($B19=EJ$12,$O19,"")</f>
        <v/>
      </c>
      <c r="EK19" s="89" t="str">
        <f aca="false">IF($B19=EK$12,$O19,"")</f>
        <v/>
      </c>
      <c r="EL19" s="89" t="str">
        <f aca="false">IF($B19=EL$12,$O19,"")</f>
        <v/>
      </c>
      <c r="EM19" s="89" t="str">
        <f aca="false">IF($B19=EM$12,$O19,"")</f>
        <v/>
      </c>
      <c r="EN19" s="89" t="str">
        <f aca="false">IF($B19=EN$12,$O19,"")</f>
        <v/>
      </c>
      <c r="EO19" s="89" t="str">
        <f aca="false">IF($B19=EO$12,$O19,"")</f>
        <v/>
      </c>
      <c r="EP19" s="89" t="str">
        <f aca="false">IF($B19=EP$12,$O19,"")</f>
        <v/>
      </c>
      <c r="EQ19" s="89" t="str">
        <f aca="false">IF($B19=EQ$12,$O19,"")</f>
        <v/>
      </c>
      <c r="ER19" s="89" t="str">
        <f aca="false">IF($B19=ER$12,$O19,"")</f>
        <v/>
      </c>
      <c r="ES19" s="89" t="str">
        <f aca="false">IF($B19=ES$12,$O19,"")</f>
        <v/>
      </c>
      <c r="ET19" s="89" t="str">
        <f aca="false">IF($B19=ET$12,$O19,"")</f>
        <v/>
      </c>
      <c r="EU19" s="89" t="str">
        <f aca="false">IF($B19=EU$12,$O19,"")</f>
        <v/>
      </c>
      <c r="EV19" s="89" t="str">
        <f aca="false">IF($B19=EV$12,$O19,"")</f>
        <v/>
      </c>
      <c r="EW19" s="89" t="str">
        <f aca="false">IF($B19=EW$12,$O19,"")</f>
        <v/>
      </c>
      <c r="EX19" s="89" t="str">
        <f aca="false">IF($B19=EX$12,$O19,"")</f>
        <v/>
      </c>
      <c r="EY19" s="89" t="str">
        <f aca="false">IF($B19=EY$12,$O19,"")</f>
        <v/>
      </c>
      <c r="EZ19" s="89" t="str">
        <f aca="false">IF($B19=EZ$12,$O19,"")</f>
        <v/>
      </c>
      <c r="FA19" s="89" t="str">
        <f aca="false">IF($B19=FA$12,$O19,"")</f>
        <v/>
      </c>
      <c r="FB19" s="89" t="str">
        <f aca="false">IF($B19=FB$12,$O19,"")</f>
        <v/>
      </c>
      <c r="FC19" s="89" t="str">
        <f aca="false">IF($B19=FC$12,$O19,"")</f>
        <v/>
      </c>
      <c r="FD19" s="89" t="str">
        <f aca="false">IF($B19=FD$12,$O19,"")</f>
        <v/>
      </c>
      <c r="FE19" s="89" t="str">
        <f aca="false">IF($B19=FE$12,$O19,"")</f>
        <v/>
      </c>
      <c r="FF19" s="89" t="str">
        <f aca="false">IF($B19=FF$12,$O19,"")</f>
        <v/>
      </c>
      <c r="FG19" s="89" t="str">
        <f aca="false">IF($B19=FG$12,$O19,"")</f>
        <v/>
      </c>
      <c r="FH19" s="89" t="str">
        <f aca="false">IF($B19=FH$12,$O19,"")</f>
        <v/>
      </c>
      <c r="FI19" s="89" t="str">
        <f aca="false">IF($B19=FI$12,$O19,"")</f>
        <v/>
      </c>
      <c r="FJ19" s="89" t="str">
        <f aca="false">IF($B19=FJ$12,$O19,"")</f>
        <v/>
      </c>
      <c r="FK19" s="89" t="str">
        <f aca="false">IF($B19=FK$12,$O19,"")</f>
        <v/>
      </c>
      <c r="FL19" s="89" t="str">
        <f aca="false">IF($B19=FL$12,$O19,"")</f>
        <v/>
      </c>
      <c r="FM19" s="89" t="str">
        <f aca="false">IF($B19=FM$12,$O19,"")</f>
        <v/>
      </c>
      <c r="FN19" s="89" t="str">
        <f aca="false">IF($B19=FN$12,$O19,"")</f>
        <v/>
      </c>
      <c r="FO19" s="89" t="str">
        <f aca="false">IF($B19=FO$12,$O19,"")</f>
        <v/>
      </c>
      <c r="FP19" s="89" t="str">
        <f aca="false">IF($B19=FP$12,$O19,"")</f>
        <v/>
      </c>
      <c r="FQ19" s="89" t="str">
        <f aca="false">IF($B19=FQ$12,$O19,"")</f>
        <v/>
      </c>
      <c r="FR19" s="89" t="str">
        <f aca="false">IF($B19=FR$12,$O19,"")</f>
        <v/>
      </c>
      <c r="FS19" s="89" t="str">
        <f aca="false">IF($B19=FS$12,$O19,"")</f>
        <v/>
      </c>
      <c r="FT19" s="89" t="str">
        <f aca="false">IF($B19=FT$12,$O19,"")</f>
        <v/>
      </c>
      <c r="FU19" s="89" t="str">
        <f aca="false">IF($B19=FU$12,$O19,"")</f>
        <v/>
      </c>
      <c r="FV19" s="89" t="str">
        <f aca="false">IF($B19=FV$12,$O19,"")</f>
        <v/>
      </c>
      <c r="FW19" s="89" t="str">
        <f aca="false">IF($B19=FW$12,$O19,"")</f>
        <v/>
      </c>
      <c r="FX19" s="89" t="str">
        <f aca="false">IF($B19=FX$12,$O19,"")</f>
        <v/>
      </c>
      <c r="FY19" s="89" t="str">
        <f aca="false">IF($B19=FY$12,$O19,"")</f>
        <v/>
      </c>
      <c r="FZ19" s="89" t="str">
        <f aca="false">IF($B19=FZ$12,$O19,"")</f>
        <v/>
      </c>
      <c r="GA19" s="89" t="str">
        <f aca="false">IF($B19=GA$12,$O19,"")</f>
        <v/>
      </c>
      <c r="GB19" s="89" t="str">
        <f aca="false">IF($B19=GB$12,$O19,"")</f>
        <v/>
      </c>
      <c r="GC19" s="89" t="str">
        <f aca="false">IF($B19=GC$12,$O19,"")</f>
        <v/>
      </c>
      <c r="GD19" s="89" t="str">
        <f aca="false">IF($B19=GD$12,$O19,"")</f>
        <v/>
      </c>
      <c r="GE19" s="89" t="str">
        <f aca="false">IF($B19=GE$12,$O19,"")</f>
        <v/>
      </c>
      <c r="GF19" s="89" t="str">
        <f aca="false">IF($B19=GF$12,$O19,"")</f>
        <v/>
      </c>
      <c r="GG19" s="89" t="str">
        <f aca="false">IF($B19=GG$12,$O19,"")</f>
        <v/>
      </c>
      <c r="GH19" s="89" t="str">
        <f aca="false">IF($B19=GH$12,$O19,"")</f>
        <v/>
      </c>
      <c r="GI19" s="89" t="str">
        <f aca="false">IF($B19=GI$12,$O19,"")</f>
        <v/>
      </c>
      <c r="GJ19" s="89" t="str">
        <f aca="false">IF($B19=GJ$12,$O19,"")</f>
        <v/>
      </c>
      <c r="GK19" s="89" t="str">
        <f aca="false">IF($B19=GK$12,$O19,"")</f>
        <v/>
      </c>
      <c r="GL19" s="89" t="str">
        <f aca="false">IF($B19=GL$12,$O19,"")</f>
        <v/>
      </c>
      <c r="GM19" s="89" t="str">
        <f aca="false">IF($B19=GM$12,$O19,"")</f>
        <v/>
      </c>
      <c r="GN19" s="89" t="str">
        <f aca="false">IF($B19=GN$12,$O19,"")</f>
        <v/>
      </c>
      <c r="GO19" s="89" t="str">
        <f aca="false">IF($B19=GO$12,$O19,"")</f>
        <v/>
      </c>
      <c r="GP19" s="89" t="str">
        <f aca="false">IF($B19=GP$12,$O19,"")</f>
        <v/>
      </c>
      <c r="GQ19" s="89" t="str">
        <f aca="false">IF($B19=GQ$12,$O19,"")</f>
        <v/>
      </c>
      <c r="GR19" s="89" t="str">
        <f aca="false">IF($B19=GR$12,$O19,"")</f>
        <v/>
      </c>
      <c r="GS19" s="89" t="str">
        <f aca="false">IF($B19=GS$12,$O19,"")</f>
        <v/>
      </c>
      <c r="GT19" s="89" t="str">
        <f aca="false">IF($B19=GT$12,$O19,"")</f>
        <v/>
      </c>
      <c r="GU19" s="89" t="str">
        <f aca="false">IF($B19=GU$12,$O19,"")</f>
        <v/>
      </c>
      <c r="GV19" s="89" t="str">
        <f aca="false">IF($B19=GV$12,$O19,"")</f>
        <v/>
      </c>
      <c r="GW19" s="89" t="str">
        <f aca="false">IF($B19=GW$12,$O19,"")</f>
        <v/>
      </c>
      <c r="GX19" s="89" t="str">
        <f aca="false">IF($B19=GX$12,$O19,"")</f>
        <v/>
      </c>
      <c r="GY19" s="89" t="str">
        <f aca="false">IF($B19=GY$12,$O19,"")</f>
        <v/>
      </c>
      <c r="GZ19" s="89" t="str">
        <f aca="false">IF($B19=GZ$12,$O19,"")</f>
        <v/>
      </c>
      <c r="HA19" s="89" t="str">
        <f aca="false">IF($B19=HA$12,$O19,"")</f>
        <v/>
      </c>
      <c r="HB19" s="89" t="str">
        <f aca="false">IF($B19=HB$12,$O19,"")</f>
        <v/>
      </c>
      <c r="HC19" s="89" t="str">
        <f aca="false">IF($B19=HC$12,$O19,"")</f>
        <v/>
      </c>
      <c r="HD19" s="89" t="str">
        <f aca="false">IF($B19=HD$12,$O19,"")</f>
        <v/>
      </c>
      <c r="HE19" s="89" t="str">
        <f aca="false">IF($B19=HE$12,$O19,"")</f>
        <v/>
      </c>
      <c r="HF19" s="89" t="str">
        <f aca="false">IF($B19=HF$12,$O19,"")</f>
        <v/>
      </c>
      <c r="HG19" s="89" t="str">
        <f aca="false">IF($B19=HG$12,$O19,"")</f>
        <v/>
      </c>
      <c r="HH19" s="89" t="str">
        <f aca="false">IF($B19=HH$12,$O19,"")</f>
        <v/>
      </c>
      <c r="HI19" s="89" t="str">
        <f aca="false">IF($B19=HI$12,$O19,"")</f>
        <v/>
      </c>
      <c r="HJ19" s="89" t="str">
        <f aca="false">IF($B19=HJ$12,$O19,"")</f>
        <v/>
      </c>
      <c r="HK19" s="89" t="str">
        <f aca="false">IF($B19=HK$12,$O19,"")</f>
        <v/>
      </c>
      <c r="HL19" s="89" t="str">
        <f aca="false">IF($B19=HL$12,$O19,"")</f>
        <v/>
      </c>
      <c r="HM19" s="89" t="str">
        <f aca="false">IF($B19=HM$12,$O19,"")</f>
        <v/>
      </c>
      <c r="HN19" s="89" t="str">
        <f aca="false">IF($B19=HN$12,$O19,"")</f>
        <v/>
      </c>
      <c r="HO19" s="89" t="str">
        <f aca="false">IF($B19=HO$12,$O19,"")</f>
        <v/>
      </c>
      <c r="HP19" s="89" t="str">
        <f aca="false">IF($B19=HP$12,$O19,"")</f>
        <v/>
      </c>
      <c r="HQ19" s="89" t="str">
        <f aca="false">IF($B19=HQ$12,$O19,"")</f>
        <v/>
      </c>
      <c r="HR19" s="90" t="str">
        <f aca="false">IF($B19=HR$12,$O19,"")</f>
        <v/>
      </c>
    </row>
    <row r="20" customFormat="false" ht="10.5" hidden="false" customHeight="true" outlineLevel="0" collapsed="false">
      <c r="A20" s="75"/>
      <c r="B20" s="76"/>
      <c r="C20" s="77" t="str">
        <f aca="false">IF(A20=0,"",VLOOKUP(A20,[3]CO!$A$3:$F$5311,2,0))</f>
        <v/>
      </c>
      <c r="D20" s="78"/>
      <c r="E20" s="78"/>
      <c r="F20" s="78"/>
      <c r="G20" s="79" t="str">
        <f aca="false">IF(A20=0,"",VLOOKUP(A20,[3]CO!$A$3:$F$5311,3,0))</f>
        <v/>
      </c>
      <c r="H20" s="78"/>
      <c r="I20" s="80"/>
      <c r="J20" s="80"/>
      <c r="K20" s="80"/>
      <c r="L20" s="80"/>
      <c r="M20" s="81" t="str">
        <f aca="false">IF(L20=0,"",PRODUCT(I20:L20))</f>
        <v/>
      </c>
      <c r="N20" s="81" t="str">
        <f aca="false">IF(B20=0,"",IF(H20="M",HLOOKUP(B20,$Y$12:$DT$13,2),IF(A20=0,"",VLOOKUP(A20,[3]CO!$A$3:$F$5311,4,0))))</f>
        <v/>
      </c>
      <c r="O20" s="81" t="str">
        <f aca="false">IF(L20=0,"",PRODUCT(M20:N20))</f>
        <v/>
      </c>
      <c r="P20" s="82"/>
      <c r="Q20" s="83" t="str">
        <f aca="false">IF(P20=0,"",(HLOOKUP(P20,$DW$12:$HR$13,2)))</f>
        <v/>
      </c>
      <c r="R20" s="84" t="str">
        <f aca="false">IF(S20=0,"",IF(OR(G20="PEON",G20="OF",G20="JARD",G20="CARP",G20="MAESTRO",G20="SOLD",G20="BGRO",G20="CHOFER",G20="AYTE",G20="S.INTTE.",G20="ASEO",G20="P.PISOS",G20="VELADOR",G20="RESID",G20="PINTOR",G20="ELECT",G20="AZULE",G20="AUX CONT.",G20="SECRETARIA",G20="AUXILIAR ADMTVO.",G20="ARQUITECTO",G20="DIBUJANTE",G20="AUX. DE RESIDENTE"),VLOOKUP(B20,P$14:Q$57,2),"")*S20)</f>
        <v/>
      </c>
      <c r="S20" s="66"/>
      <c r="T20" s="67" t="str">
        <f aca="false">IF(A20=0,"",VLOOKUP(A20,[3]CO!$A$3:$F$5302,5,0))</f>
        <v/>
      </c>
      <c r="U20" s="56" t="n">
        <f aca="false">IF(T20=1,O20*0.1,)</f>
        <v>0</v>
      </c>
      <c r="V20" s="68"/>
      <c r="W20" s="91"/>
      <c r="X20" s="91"/>
      <c r="Y20" s="85" t="str">
        <f aca="false">IF($B20=Y$12,$U20,"")</f>
        <v/>
      </c>
      <c r="Z20" s="86" t="str">
        <f aca="false">IF($B20=Z$12,$U20,"")</f>
        <v/>
      </c>
      <c r="AA20" s="86" t="str">
        <f aca="false">IF($B20=AA$12,$U20,"")</f>
        <v/>
      </c>
      <c r="AB20" s="86" t="str">
        <f aca="false">IF($B20=AB$12,$U20,"")</f>
        <v/>
      </c>
      <c r="AC20" s="86" t="str">
        <f aca="false">IF($B20=AC$12,$U20,"")</f>
        <v/>
      </c>
      <c r="AD20" s="86" t="str">
        <f aca="false">IF($B20=AD$12,$U20,"")</f>
        <v/>
      </c>
      <c r="AE20" s="86" t="str">
        <f aca="false">IF($B20=AE$12,$U20,"")</f>
        <v/>
      </c>
      <c r="AF20" s="86" t="str">
        <f aca="false">IF($B20=AF$12,$U20,"")</f>
        <v/>
      </c>
      <c r="AG20" s="86" t="str">
        <f aca="false">IF($B20=AG$12,$U20,"")</f>
        <v/>
      </c>
      <c r="AH20" s="86" t="str">
        <f aca="false">IF($B20=AH$12,$U20,"")</f>
        <v/>
      </c>
      <c r="AI20" s="86" t="str">
        <f aca="false">IF($B20=AI$12,$U20,"")</f>
        <v/>
      </c>
      <c r="AJ20" s="86" t="str">
        <f aca="false">IF($B20=AJ$12,$U20,"")</f>
        <v/>
      </c>
      <c r="AK20" s="86" t="str">
        <f aca="false">IF($B20=AK$12,$U20,"")</f>
        <v/>
      </c>
      <c r="AL20" s="86" t="str">
        <f aca="false">IF($B20=AL$12,$U20,"")</f>
        <v/>
      </c>
      <c r="AM20" s="86" t="str">
        <f aca="false">IF($B20=AM$12,$U20,"")</f>
        <v/>
      </c>
      <c r="AN20" s="86" t="str">
        <f aca="false">IF($B20=AN$12,$U20,"")</f>
        <v/>
      </c>
      <c r="AO20" s="86" t="str">
        <f aca="false">IF($B20=AO$12,$U20,"")</f>
        <v/>
      </c>
      <c r="AP20" s="86" t="str">
        <f aca="false">IF($B20=AP$12,$U20,"")</f>
        <v/>
      </c>
      <c r="AQ20" s="86" t="str">
        <f aca="false">IF($B20=AQ$12,$U20,"")</f>
        <v/>
      </c>
      <c r="AR20" s="86" t="str">
        <f aca="false">IF($B20=AR$12,$U20,"")</f>
        <v/>
      </c>
      <c r="AS20" s="86" t="str">
        <f aca="false">IF($B20=AS$12,$U20,"")</f>
        <v/>
      </c>
      <c r="AT20" s="86" t="str">
        <f aca="false">IF($B20=AT$12,$U20,"")</f>
        <v/>
      </c>
      <c r="AU20" s="86" t="str">
        <f aca="false">IF($B20=AU$12,$U20,"")</f>
        <v/>
      </c>
      <c r="AV20" s="86" t="str">
        <f aca="false">IF($B20=AV$12,$U20,"")</f>
        <v/>
      </c>
      <c r="AW20" s="86" t="str">
        <f aca="false">IF($B20=AW$12,$U20,"")</f>
        <v/>
      </c>
      <c r="AX20" s="86" t="str">
        <f aca="false">IF($B20=AX$12,$U20,"")</f>
        <v/>
      </c>
      <c r="AY20" s="86" t="str">
        <f aca="false">IF($B20=AY$12,$U20,"")</f>
        <v/>
      </c>
      <c r="AZ20" s="86" t="str">
        <f aca="false">IF($B20=AZ$12,$U20,"")</f>
        <v/>
      </c>
      <c r="BA20" s="86" t="str">
        <f aca="false">IF($B20=BA$12,$U20,"")</f>
        <v/>
      </c>
      <c r="BB20" s="86" t="str">
        <f aca="false">IF($B20=BB$12,$U20,"")</f>
        <v/>
      </c>
      <c r="BC20" s="86" t="str">
        <f aca="false">IF($B20=BC$12,$U20,"")</f>
        <v/>
      </c>
      <c r="BD20" s="86" t="str">
        <f aca="false">IF($B20=BD$12,$U20,"")</f>
        <v/>
      </c>
      <c r="BE20" s="86" t="str">
        <f aca="false">IF($B20=BE$12,$U20,"")</f>
        <v/>
      </c>
      <c r="BF20" s="86" t="str">
        <f aca="false">IF($B20=BF$12,$U20,"")</f>
        <v/>
      </c>
      <c r="BG20" s="86" t="str">
        <f aca="false">IF($B20=BG$12,$U20,"")</f>
        <v/>
      </c>
      <c r="BH20" s="86" t="str">
        <f aca="false">IF($B20=BH$12,$U20,"")</f>
        <v/>
      </c>
      <c r="BI20" s="86" t="str">
        <f aca="false">IF($B20=BI$12,$U20,"")</f>
        <v/>
      </c>
      <c r="BJ20" s="86" t="str">
        <f aca="false">IF($B20=BJ$12,$U20,"")</f>
        <v/>
      </c>
      <c r="BK20" s="86" t="str">
        <f aca="false">IF($B20=BK$12,$U20,"")</f>
        <v/>
      </c>
      <c r="BL20" s="86" t="str">
        <f aca="false">IF($B20=BL$12,$U20,"")</f>
        <v/>
      </c>
      <c r="BM20" s="86" t="str">
        <f aca="false">IF($B20=BM$12,$U20,"")</f>
        <v/>
      </c>
      <c r="BN20" s="86" t="str">
        <f aca="false">IF($B20=BN$12,$U20,"")</f>
        <v/>
      </c>
      <c r="BO20" s="86" t="str">
        <f aca="false">IF($B20=BO$12,$U20,"")</f>
        <v/>
      </c>
      <c r="BP20" s="86" t="str">
        <f aca="false">IF($B20=BP$12,$U20,"")</f>
        <v/>
      </c>
      <c r="BQ20" s="86" t="str">
        <f aca="false">IF($B20=BQ$12,$U20,"")</f>
        <v/>
      </c>
      <c r="BR20" s="86" t="str">
        <f aca="false">IF($B20=BR$12,$U20,"")</f>
        <v/>
      </c>
      <c r="BS20" s="86" t="str">
        <f aca="false">IF($B20=BS$12,$U20,"")</f>
        <v/>
      </c>
      <c r="BT20" s="86" t="str">
        <f aca="false">IF($B20=BT$12,$U20,"")</f>
        <v/>
      </c>
      <c r="BU20" s="86" t="str">
        <f aca="false">IF($B20=BU$12,$U20,"")</f>
        <v/>
      </c>
      <c r="BV20" s="86" t="str">
        <f aca="false">IF($B20=BV$12,$U20,"")</f>
        <v/>
      </c>
      <c r="BW20" s="86" t="str">
        <f aca="false">IF($B20=BW$12,$U20,"")</f>
        <v/>
      </c>
      <c r="BX20" s="86" t="str">
        <f aca="false">IF($B20=BX$12,$U20,"")</f>
        <v/>
      </c>
      <c r="BY20" s="86" t="str">
        <f aca="false">IF($B20=BY$12,$U20,"")</f>
        <v/>
      </c>
      <c r="BZ20" s="86" t="str">
        <f aca="false">IF($B20=BZ$12,$U20,"")</f>
        <v/>
      </c>
      <c r="CA20" s="86" t="str">
        <f aca="false">IF($B20=CA$12,$U20,"")</f>
        <v/>
      </c>
      <c r="CB20" s="86" t="str">
        <f aca="false">IF($B20=CB$12,$U20,"")</f>
        <v/>
      </c>
      <c r="CC20" s="86" t="str">
        <f aca="false">IF($B20=CC$12,$U20,"")</f>
        <v/>
      </c>
      <c r="CD20" s="86" t="str">
        <f aca="false">IF($B20=CD$12,$U20,"")</f>
        <v/>
      </c>
      <c r="CE20" s="86" t="str">
        <f aca="false">IF($B20=CE$12,$U20,"")</f>
        <v/>
      </c>
      <c r="CF20" s="86" t="str">
        <f aca="false">IF($B20=CF$12,$U20,"")</f>
        <v/>
      </c>
      <c r="CG20" s="86" t="str">
        <f aca="false">IF($B20=CG$12,$U20,"")</f>
        <v/>
      </c>
      <c r="CH20" s="86" t="str">
        <f aca="false">IF($B20=CH$12,$U20,"")</f>
        <v/>
      </c>
      <c r="CI20" s="86" t="str">
        <f aca="false">IF($B20=CI$12,$U20,"")</f>
        <v/>
      </c>
      <c r="CJ20" s="86" t="str">
        <f aca="false">IF($B20=CJ$12,$U20,"")</f>
        <v/>
      </c>
      <c r="CK20" s="86" t="str">
        <f aca="false">IF($B20=CK$12,$U20,"")</f>
        <v/>
      </c>
      <c r="CL20" s="86" t="str">
        <f aca="false">IF($B20=CL$12,$U20,"")</f>
        <v/>
      </c>
      <c r="CM20" s="86" t="str">
        <f aca="false">IF($B20=CM$12,$U20,"")</f>
        <v/>
      </c>
      <c r="CN20" s="86" t="str">
        <f aca="false">IF($B20=CN$12,$U20,"")</f>
        <v/>
      </c>
      <c r="CO20" s="86" t="str">
        <f aca="false">IF($B20=CO$12,$U20,"")</f>
        <v/>
      </c>
      <c r="CP20" s="86" t="str">
        <f aca="false">IF($B20=CP$12,$U20,"")</f>
        <v/>
      </c>
      <c r="CQ20" s="86" t="str">
        <f aca="false">IF($B20=CQ$12,$U20,"")</f>
        <v/>
      </c>
      <c r="CR20" s="86" t="str">
        <f aca="false">IF($B20=CR$12,$U20,"")</f>
        <v/>
      </c>
      <c r="CS20" s="86" t="str">
        <f aca="false">IF($B20=CS$12,$U20,"")</f>
        <v/>
      </c>
      <c r="CT20" s="86" t="str">
        <f aca="false">IF($B20=CT$12,$U20,"")</f>
        <v/>
      </c>
      <c r="CU20" s="86" t="str">
        <f aca="false">IF($B20=CU$12,$U20,"")</f>
        <v/>
      </c>
      <c r="CV20" s="86" t="str">
        <f aca="false">IF($B20=CV$12,$U20,"")</f>
        <v/>
      </c>
      <c r="CW20" s="86" t="str">
        <f aca="false">IF($B20=CW$12,$U20,"")</f>
        <v/>
      </c>
      <c r="CX20" s="86" t="str">
        <f aca="false">IF($B20=CX$12,$U20,"")</f>
        <v/>
      </c>
      <c r="CY20" s="86" t="str">
        <f aca="false">IF($B20=CY$12,$U20,"")</f>
        <v/>
      </c>
      <c r="CZ20" s="86" t="str">
        <f aca="false">IF($B20=CZ$12,$U20,"")</f>
        <v/>
      </c>
      <c r="DA20" s="86" t="str">
        <f aca="false">IF($B20=DA$12,$U20,"")</f>
        <v/>
      </c>
      <c r="DB20" s="86" t="str">
        <f aca="false">IF($B20=DB$12,$U20,"")</f>
        <v/>
      </c>
      <c r="DC20" s="86" t="str">
        <f aca="false">IF($B20=DC$12,$U20,"")</f>
        <v/>
      </c>
      <c r="DD20" s="86" t="str">
        <f aca="false">IF($B20=DD$12,$U20,"")</f>
        <v/>
      </c>
      <c r="DE20" s="86" t="str">
        <f aca="false">IF($B20=DE$12,$U20,"")</f>
        <v/>
      </c>
      <c r="DF20" s="86" t="str">
        <f aca="false">IF($B20=DF$12,$U20,"")</f>
        <v/>
      </c>
      <c r="DG20" s="86" t="str">
        <f aca="false">IF($B20=DG$12,$U20,"")</f>
        <v/>
      </c>
      <c r="DH20" s="86" t="str">
        <f aca="false">IF($B20=DH$12,$U20,"")</f>
        <v/>
      </c>
      <c r="DI20" s="86" t="str">
        <f aca="false">IF($B20=DI$12,$U20,"")</f>
        <v/>
      </c>
      <c r="DJ20" s="86" t="str">
        <f aca="false">IF($B20=DJ$12,$U20,"")</f>
        <v/>
      </c>
      <c r="DK20" s="86" t="str">
        <f aca="false">IF($B20=DK$12,$U20,"")</f>
        <v/>
      </c>
      <c r="DL20" s="86" t="str">
        <f aca="false">IF($B20=DL$12,$U20,"")</f>
        <v/>
      </c>
      <c r="DM20" s="86" t="str">
        <f aca="false">IF($B20=DM$12,$U20,"")</f>
        <v/>
      </c>
      <c r="DN20" s="86" t="str">
        <f aca="false">IF($B20=DN$12,$U20,"")</f>
        <v/>
      </c>
      <c r="DO20" s="86" t="str">
        <f aca="false">IF($B20=DO$12,$U20,"")</f>
        <v/>
      </c>
      <c r="DP20" s="86" t="str">
        <f aca="false">IF($B20=DP$12,$U20,"")</f>
        <v/>
      </c>
      <c r="DQ20" s="86" t="str">
        <f aca="false">IF($B20=DQ$12,$U20,"")</f>
        <v/>
      </c>
      <c r="DR20" s="86" t="str">
        <f aca="false">IF($B20=DR$12,$U20,"")</f>
        <v/>
      </c>
      <c r="DS20" s="86" t="str">
        <f aca="false">IF($B20=DS$12,$U20,"")</f>
        <v/>
      </c>
      <c r="DT20" s="87" t="str">
        <f aca="false">IF($B20=DT$12,$U20,"")</f>
        <v/>
      </c>
      <c r="DU20" s="56"/>
      <c r="DV20" s="91"/>
      <c r="DW20" s="88" t="str">
        <f aca="false">IF($B20=DW$12,$O20,"")</f>
        <v/>
      </c>
      <c r="DX20" s="89" t="str">
        <f aca="false">IF($B20=DX$12,$O20,"")</f>
        <v/>
      </c>
      <c r="DY20" s="89" t="str">
        <f aca="false">IF($B20=DY$12,$O20,"")</f>
        <v/>
      </c>
      <c r="DZ20" s="89" t="str">
        <f aca="false">IF($B20=DZ$12,$O20,"")</f>
        <v/>
      </c>
      <c r="EA20" s="89" t="str">
        <f aca="false">IF($B20=EA$12,$O20,"")</f>
        <v/>
      </c>
      <c r="EB20" s="89" t="str">
        <f aca="false">IF($B20=EB$12,$O20,"")</f>
        <v/>
      </c>
      <c r="EC20" s="89" t="str">
        <f aca="false">IF($B20=EC$12,$O20,"")</f>
        <v/>
      </c>
      <c r="ED20" s="89" t="str">
        <f aca="false">IF($B20=ED$12,$O20,"")</f>
        <v/>
      </c>
      <c r="EE20" s="89" t="str">
        <f aca="false">IF($B20=EE$12,$O20,"")</f>
        <v/>
      </c>
      <c r="EF20" s="89" t="str">
        <f aca="false">IF($B20=EF$12,$O20,"")</f>
        <v/>
      </c>
      <c r="EG20" s="89" t="str">
        <f aca="false">IF($B20=EG$12,$O20,"")</f>
        <v/>
      </c>
      <c r="EH20" s="89" t="str">
        <f aca="false">IF($B20=EH$12,$O20,"")</f>
        <v/>
      </c>
      <c r="EI20" s="89" t="str">
        <f aca="false">IF($B20=EI$12,$O20,"")</f>
        <v/>
      </c>
      <c r="EJ20" s="89" t="str">
        <f aca="false">IF($B20=EJ$12,$O20,"")</f>
        <v/>
      </c>
      <c r="EK20" s="89" t="str">
        <f aca="false">IF($B20=EK$12,$O20,"")</f>
        <v/>
      </c>
      <c r="EL20" s="89" t="str">
        <f aca="false">IF($B20=EL$12,$O20,"")</f>
        <v/>
      </c>
      <c r="EM20" s="89" t="str">
        <f aca="false">IF($B20=EM$12,$O20,"")</f>
        <v/>
      </c>
      <c r="EN20" s="89" t="str">
        <f aca="false">IF($B20=EN$12,$O20,"")</f>
        <v/>
      </c>
      <c r="EO20" s="89" t="str">
        <f aca="false">IF($B20=EO$12,$O20,"")</f>
        <v/>
      </c>
      <c r="EP20" s="89" t="str">
        <f aca="false">IF($B20=EP$12,$O20,"")</f>
        <v/>
      </c>
      <c r="EQ20" s="89" t="str">
        <f aca="false">IF($B20=EQ$12,$O20,"")</f>
        <v/>
      </c>
      <c r="ER20" s="89" t="str">
        <f aca="false">IF($B20=ER$12,$O20,"")</f>
        <v/>
      </c>
      <c r="ES20" s="89" t="str">
        <f aca="false">IF($B20=ES$12,$O20,"")</f>
        <v/>
      </c>
      <c r="ET20" s="89" t="str">
        <f aca="false">IF($B20=ET$12,$O20,"")</f>
        <v/>
      </c>
      <c r="EU20" s="89" t="str">
        <f aca="false">IF($B20=EU$12,$O20,"")</f>
        <v/>
      </c>
      <c r="EV20" s="89" t="str">
        <f aca="false">IF($B20=EV$12,$O20,"")</f>
        <v/>
      </c>
      <c r="EW20" s="89" t="str">
        <f aca="false">IF($B20=EW$12,$O20,"")</f>
        <v/>
      </c>
      <c r="EX20" s="89" t="str">
        <f aca="false">IF($B20=EX$12,$O20,"")</f>
        <v/>
      </c>
      <c r="EY20" s="89" t="str">
        <f aca="false">IF($B20=EY$12,$O20,"")</f>
        <v/>
      </c>
      <c r="EZ20" s="89" t="str">
        <f aca="false">IF($B20=EZ$12,$O20,"")</f>
        <v/>
      </c>
      <c r="FA20" s="89" t="str">
        <f aca="false">IF($B20=FA$12,$O20,"")</f>
        <v/>
      </c>
      <c r="FB20" s="89" t="str">
        <f aca="false">IF($B20=FB$12,$O20,"")</f>
        <v/>
      </c>
      <c r="FC20" s="89" t="str">
        <f aca="false">IF($B20=FC$12,$O20,"")</f>
        <v/>
      </c>
      <c r="FD20" s="89" t="str">
        <f aca="false">IF($B20=FD$12,$O20,"")</f>
        <v/>
      </c>
      <c r="FE20" s="89" t="str">
        <f aca="false">IF($B20=FE$12,$O20,"")</f>
        <v/>
      </c>
      <c r="FF20" s="89" t="str">
        <f aca="false">IF($B20=FF$12,$O20,"")</f>
        <v/>
      </c>
      <c r="FG20" s="89" t="str">
        <f aca="false">IF($B20=FG$12,$O20,"")</f>
        <v/>
      </c>
      <c r="FH20" s="89" t="str">
        <f aca="false">IF($B20=FH$12,$O20,"")</f>
        <v/>
      </c>
      <c r="FI20" s="89" t="str">
        <f aca="false">IF($B20=FI$12,$O20,"")</f>
        <v/>
      </c>
      <c r="FJ20" s="89" t="str">
        <f aca="false">IF($B20=FJ$12,$O20,"")</f>
        <v/>
      </c>
      <c r="FK20" s="89" t="str">
        <f aca="false">IF($B20=FK$12,$O20,"")</f>
        <v/>
      </c>
      <c r="FL20" s="89" t="str">
        <f aca="false">IF($B20=FL$12,$O20,"")</f>
        <v/>
      </c>
      <c r="FM20" s="89" t="str">
        <f aca="false">IF($B20=FM$12,$O20,"")</f>
        <v/>
      </c>
      <c r="FN20" s="89" t="str">
        <f aca="false">IF($B20=FN$12,$O20,"")</f>
        <v/>
      </c>
      <c r="FO20" s="89" t="str">
        <f aca="false">IF($B20=FO$12,$O20,"")</f>
        <v/>
      </c>
      <c r="FP20" s="89" t="str">
        <f aca="false">IF($B20=FP$12,$O20,"")</f>
        <v/>
      </c>
      <c r="FQ20" s="89" t="str">
        <f aca="false">IF($B20=FQ$12,$O20,"")</f>
        <v/>
      </c>
      <c r="FR20" s="89" t="str">
        <f aca="false">IF($B20=FR$12,$O20,"")</f>
        <v/>
      </c>
      <c r="FS20" s="89" t="str">
        <f aca="false">IF($B20=FS$12,$O20,"")</f>
        <v/>
      </c>
      <c r="FT20" s="89" t="str">
        <f aca="false">IF($B20=FT$12,$O20,"")</f>
        <v/>
      </c>
      <c r="FU20" s="89" t="str">
        <f aca="false">IF($B20=FU$12,$O20,"")</f>
        <v/>
      </c>
      <c r="FV20" s="89" t="str">
        <f aca="false">IF($B20=FV$12,$O20,"")</f>
        <v/>
      </c>
      <c r="FW20" s="89" t="str">
        <f aca="false">IF($B20=FW$12,$O20,"")</f>
        <v/>
      </c>
      <c r="FX20" s="89" t="str">
        <f aca="false">IF($B20=FX$12,$O20,"")</f>
        <v/>
      </c>
      <c r="FY20" s="89" t="str">
        <f aca="false">IF($B20=FY$12,$O20,"")</f>
        <v/>
      </c>
      <c r="FZ20" s="89" t="str">
        <f aca="false">IF($B20=FZ$12,$O20,"")</f>
        <v/>
      </c>
      <c r="GA20" s="89" t="str">
        <f aca="false">IF($B20=GA$12,$O20,"")</f>
        <v/>
      </c>
      <c r="GB20" s="89" t="str">
        <f aca="false">IF($B20=GB$12,$O20,"")</f>
        <v/>
      </c>
      <c r="GC20" s="89" t="str">
        <f aca="false">IF($B20=GC$12,$O20,"")</f>
        <v/>
      </c>
      <c r="GD20" s="89" t="str">
        <f aca="false">IF($B20=GD$12,$O20,"")</f>
        <v/>
      </c>
      <c r="GE20" s="89" t="str">
        <f aca="false">IF($B20=GE$12,$O20,"")</f>
        <v/>
      </c>
      <c r="GF20" s="89" t="str">
        <f aca="false">IF($B20=GF$12,$O20,"")</f>
        <v/>
      </c>
      <c r="GG20" s="89" t="str">
        <f aca="false">IF($B20=GG$12,$O20,"")</f>
        <v/>
      </c>
      <c r="GH20" s="89" t="str">
        <f aca="false">IF($B20=GH$12,$O20,"")</f>
        <v/>
      </c>
      <c r="GI20" s="89" t="str">
        <f aca="false">IF($B20=GI$12,$O20,"")</f>
        <v/>
      </c>
      <c r="GJ20" s="89" t="str">
        <f aca="false">IF($B20=GJ$12,$O20,"")</f>
        <v/>
      </c>
      <c r="GK20" s="89" t="str">
        <f aca="false">IF($B20=GK$12,$O20,"")</f>
        <v/>
      </c>
      <c r="GL20" s="89" t="str">
        <f aca="false">IF($B20=GL$12,$O20,"")</f>
        <v/>
      </c>
      <c r="GM20" s="89" t="str">
        <f aca="false">IF($B20=GM$12,$O20,"")</f>
        <v/>
      </c>
      <c r="GN20" s="89" t="str">
        <f aca="false">IF($B20=GN$12,$O20,"")</f>
        <v/>
      </c>
      <c r="GO20" s="89" t="str">
        <f aca="false">IF($B20=GO$12,$O20,"")</f>
        <v/>
      </c>
      <c r="GP20" s="89" t="str">
        <f aca="false">IF($B20=GP$12,$O20,"")</f>
        <v/>
      </c>
      <c r="GQ20" s="89" t="str">
        <f aca="false">IF($B20=GQ$12,$O20,"")</f>
        <v/>
      </c>
      <c r="GR20" s="89" t="str">
        <f aca="false">IF($B20=GR$12,$O20,"")</f>
        <v/>
      </c>
      <c r="GS20" s="89" t="str">
        <f aca="false">IF($B20=GS$12,$O20,"")</f>
        <v/>
      </c>
      <c r="GT20" s="89" t="str">
        <f aca="false">IF($B20=GT$12,$O20,"")</f>
        <v/>
      </c>
      <c r="GU20" s="89" t="str">
        <f aca="false">IF($B20=GU$12,$O20,"")</f>
        <v/>
      </c>
      <c r="GV20" s="89" t="str">
        <f aca="false">IF($B20=GV$12,$O20,"")</f>
        <v/>
      </c>
      <c r="GW20" s="89" t="str">
        <f aca="false">IF($B20=GW$12,$O20,"")</f>
        <v/>
      </c>
      <c r="GX20" s="89" t="str">
        <f aca="false">IF($B20=GX$12,$O20,"")</f>
        <v/>
      </c>
      <c r="GY20" s="89" t="str">
        <f aca="false">IF($B20=GY$12,$O20,"")</f>
        <v/>
      </c>
      <c r="GZ20" s="89" t="str">
        <f aca="false">IF($B20=GZ$12,$O20,"")</f>
        <v/>
      </c>
      <c r="HA20" s="89" t="str">
        <f aca="false">IF($B20=HA$12,$O20,"")</f>
        <v/>
      </c>
      <c r="HB20" s="89" t="str">
        <f aca="false">IF($B20=HB$12,$O20,"")</f>
        <v/>
      </c>
      <c r="HC20" s="89" t="str">
        <f aca="false">IF($B20=HC$12,$O20,"")</f>
        <v/>
      </c>
      <c r="HD20" s="89" t="str">
        <f aca="false">IF($B20=HD$12,$O20,"")</f>
        <v/>
      </c>
      <c r="HE20" s="89" t="str">
        <f aca="false">IF($B20=HE$12,$O20,"")</f>
        <v/>
      </c>
      <c r="HF20" s="89" t="str">
        <f aca="false">IF($B20=HF$12,$O20,"")</f>
        <v/>
      </c>
      <c r="HG20" s="89" t="str">
        <f aca="false">IF($B20=HG$12,$O20,"")</f>
        <v/>
      </c>
      <c r="HH20" s="89" t="str">
        <f aca="false">IF($B20=HH$12,$O20,"")</f>
        <v/>
      </c>
      <c r="HI20" s="89" t="str">
        <f aca="false">IF($B20=HI$12,$O20,"")</f>
        <v/>
      </c>
      <c r="HJ20" s="89" t="str">
        <f aca="false">IF($B20=HJ$12,$O20,"")</f>
        <v/>
      </c>
      <c r="HK20" s="89" t="str">
        <f aca="false">IF($B20=HK$12,$O20,"")</f>
        <v/>
      </c>
      <c r="HL20" s="89" t="str">
        <f aca="false">IF($B20=HL$12,$O20,"")</f>
        <v/>
      </c>
      <c r="HM20" s="89" t="str">
        <f aca="false">IF($B20=HM$12,$O20,"")</f>
        <v/>
      </c>
      <c r="HN20" s="89" t="str">
        <f aca="false">IF($B20=HN$12,$O20,"")</f>
        <v/>
      </c>
      <c r="HO20" s="89" t="str">
        <f aca="false">IF($B20=HO$12,$O20,"")</f>
        <v/>
      </c>
      <c r="HP20" s="89" t="str">
        <f aca="false">IF($B20=HP$12,$O20,"")</f>
        <v/>
      </c>
      <c r="HQ20" s="89" t="str">
        <f aca="false">IF($B20=HQ$12,$O20,"")</f>
        <v/>
      </c>
      <c r="HR20" s="90" t="str">
        <f aca="false">IF($B20=HR$12,$O20,"")</f>
        <v/>
      </c>
    </row>
    <row r="21" customFormat="false" ht="10.5" hidden="false" customHeight="true" outlineLevel="0" collapsed="false">
      <c r="A21" s="75"/>
      <c r="B21" s="76"/>
      <c r="C21" s="77" t="str">
        <f aca="false">IF(A21=0,"",VLOOKUP(A21,[3]CO!$A$3:$F$5311,2,0))</f>
        <v/>
      </c>
      <c r="D21" s="78"/>
      <c r="E21" s="78"/>
      <c r="F21" s="78"/>
      <c r="G21" s="79" t="str">
        <f aca="false">IF(A21=0,"",VLOOKUP(A21,[3]CO!$A$3:$F$5311,3,0))</f>
        <v/>
      </c>
      <c r="H21" s="78"/>
      <c r="I21" s="80"/>
      <c r="J21" s="80"/>
      <c r="K21" s="80"/>
      <c r="L21" s="80"/>
      <c r="M21" s="81" t="str">
        <f aca="false">IF(L21=0,"",PRODUCT(I21:L21))</f>
        <v/>
      </c>
      <c r="N21" s="81" t="str">
        <f aca="false">IF(B21=0,"",IF(H21="M",HLOOKUP(B21,$Y$12:$DT$13,2),IF(A21=0,"",VLOOKUP(A21,[3]CO!$A$3:$F$5311,4,0))))</f>
        <v/>
      </c>
      <c r="O21" s="81" t="str">
        <f aca="false">IF(L21=0,"",PRODUCT(M21:N21))</f>
        <v/>
      </c>
      <c r="P21" s="82"/>
      <c r="Q21" s="83" t="str">
        <f aca="false">IF(P21=0,"",(HLOOKUP(P21,$DW$12:$HR$13,2)))</f>
        <v/>
      </c>
      <c r="R21" s="84" t="str">
        <f aca="false">IF(S21=0,"",IF(OR(G21="PEON",G21="OF",G21="JARD",G21="CARP",G21="MAESTRO",G21="SOLD",G21="BGRO",G21="CHOFER",G21="AYTE",G21="S.INTTE.",G21="ASEO",G21="P.PISOS",G21="VELADOR",G21="RESID",G21="PINTOR",G21="ELECT",G21="AZULE",G21="AUX CONT.",G21="SECRETARIA",G21="AUXILIAR ADMTVO.",G21="ARQUITECTO",G21="DIBUJANTE",G21="AUX. DE RESIDENTE"),VLOOKUP(B21,P$14:Q$57,2),"")*S21)</f>
        <v/>
      </c>
      <c r="S21" s="66"/>
      <c r="T21" s="67" t="str">
        <f aca="false">IF(A21=0,"",VLOOKUP(A21,[3]CO!$A$3:$F$5302,5,0))</f>
        <v/>
      </c>
      <c r="U21" s="56" t="n">
        <f aca="false">IF(T21=1,O21*0.1,)</f>
        <v>0</v>
      </c>
      <c r="V21" s="68"/>
      <c r="W21" s="91"/>
      <c r="X21" s="91"/>
      <c r="Y21" s="85" t="str">
        <f aca="false">IF($B21=Y$12,$U21,"")</f>
        <v/>
      </c>
      <c r="Z21" s="86" t="str">
        <f aca="false">IF($B21=Z$12,$U21,"")</f>
        <v/>
      </c>
      <c r="AA21" s="86" t="str">
        <f aca="false">IF($B21=AA$12,$U21,"")</f>
        <v/>
      </c>
      <c r="AB21" s="86" t="str">
        <f aca="false">IF($B21=AB$12,$U21,"")</f>
        <v/>
      </c>
      <c r="AC21" s="86" t="str">
        <f aca="false">IF($B21=AC$12,$U21,"")</f>
        <v/>
      </c>
      <c r="AD21" s="86" t="str">
        <f aca="false">IF($B21=AD$12,$U21,"")</f>
        <v/>
      </c>
      <c r="AE21" s="86" t="str">
        <f aca="false">IF($B21=AE$12,$U21,"")</f>
        <v/>
      </c>
      <c r="AF21" s="86" t="str">
        <f aca="false">IF($B21=AF$12,$U21,"")</f>
        <v/>
      </c>
      <c r="AG21" s="86" t="str">
        <f aca="false">IF($B21=AG$12,$U21,"")</f>
        <v/>
      </c>
      <c r="AH21" s="86" t="str">
        <f aca="false">IF($B21=AH$12,$U21,"")</f>
        <v/>
      </c>
      <c r="AI21" s="86" t="str">
        <f aca="false">IF($B21=AI$12,$U21,"")</f>
        <v/>
      </c>
      <c r="AJ21" s="86" t="str">
        <f aca="false">IF($B21=AJ$12,$U21,"")</f>
        <v/>
      </c>
      <c r="AK21" s="86" t="str">
        <f aca="false">IF($B21=AK$12,$U21,"")</f>
        <v/>
      </c>
      <c r="AL21" s="86" t="str">
        <f aca="false">IF($B21=AL$12,$U21,"")</f>
        <v/>
      </c>
      <c r="AM21" s="86" t="str">
        <f aca="false">IF($B21=AM$12,$U21,"")</f>
        <v/>
      </c>
      <c r="AN21" s="86" t="str">
        <f aca="false">IF($B21=AN$12,$U21,"")</f>
        <v/>
      </c>
      <c r="AO21" s="86" t="str">
        <f aca="false">IF($B21=AO$12,$U21,"")</f>
        <v/>
      </c>
      <c r="AP21" s="86" t="str">
        <f aca="false">IF($B21=AP$12,$U21,"")</f>
        <v/>
      </c>
      <c r="AQ21" s="86" t="str">
        <f aca="false">IF($B21=AQ$12,$U21,"")</f>
        <v/>
      </c>
      <c r="AR21" s="86" t="str">
        <f aca="false">IF($B21=AR$12,$U21,"")</f>
        <v/>
      </c>
      <c r="AS21" s="86" t="str">
        <f aca="false">IF($B21=AS$12,$U21,"")</f>
        <v/>
      </c>
      <c r="AT21" s="86" t="str">
        <f aca="false">IF($B21=AT$12,$U21,"")</f>
        <v/>
      </c>
      <c r="AU21" s="86" t="str">
        <f aca="false">IF($B21=AU$12,$U21,"")</f>
        <v/>
      </c>
      <c r="AV21" s="86" t="str">
        <f aca="false">IF($B21=AV$12,$U21,"")</f>
        <v/>
      </c>
      <c r="AW21" s="86" t="str">
        <f aca="false">IF($B21=AW$12,$U21,"")</f>
        <v/>
      </c>
      <c r="AX21" s="86" t="str">
        <f aca="false">IF($B21=AX$12,$U21,"")</f>
        <v/>
      </c>
      <c r="AY21" s="86" t="str">
        <f aca="false">IF($B21=AY$12,$U21,"")</f>
        <v/>
      </c>
      <c r="AZ21" s="86" t="str">
        <f aca="false">IF($B21=AZ$12,$U21,"")</f>
        <v/>
      </c>
      <c r="BA21" s="86" t="str">
        <f aca="false">IF($B21=BA$12,$U21,"")</f>
        <v/>
      </c>
      <c r="BB21" s="86" t="str">
        <f aca="false">IF($B21=BB$12,$U21,"")</f>
        <v/>
      </c>
      <c r="BC21" s="86" t="str">
        <f aca="false">IF($B21=BC$12,$U21,"")</f>
        <v/>
      </c>
      <c r="BD21" s="86" t="str">
        <f aca="false">IF($B21=BD$12,$U21,"")</f>
        <v/>
      </c>
      <c r="BE21" s="86" t="str">
        <f aca="false">IF($B21=BE$12,$U21,"")</f>
        <v/>
      </c>
      <c r="BF21" s="86" t="str">
        <f aca="false">IF($B21=BF$12,$U21,"")</f>
        <v/>
      </c>
      <c r="BG21" s="86" t="str">
        <f aca="false">IF($B21=BG$12,$U21,"")</f>
        <v/>
      </c>
      <c r="BH21" s="86" t="str">
        <f aca="false">IF($B21=BH$12,$U21,"")</f>
        <v/>
      </c>
      <c r="BI21" s="86" t="str">
        <f aca="false">IF($B21=BI$12,$U21,"")</f>
        <v/>
      </c>
      <c r="BJ21" s="86" t="str">
        <f aca="false">IF($B21=BJ$12,$U21,"")</f>
        <v/>
      </c>
      <c r="BK21" s="86" t="str">
        <f aca="false">IF($B21=BK$12,$U21,"")</f>
        <v/>
      </c>
      <c r="BL21" s="86" t="str">
        <f aca="false">IF($B21=BL$12,$U21,"")</f>
        <v/>
      </c>
      <c r="BM21" s="86" t="str">
        <f aca="false">IF($B21=BM$12,$U21,"")</f>
        <v/>
      </c>
      <c r="BN21" s="86" t="str">
        <f aca="false">IF($B21=BN$12,$U21,"")</f>
        <v/>
      </c>
      <c r="BO21" s="86" t="str">
        <f aca="false">IF($B21=BO$12,$U21,"")</f>
        <v/>
      </c>
      <c r="BP21" s="86" t="str">
        <f aca="false">IF($B21=BP$12,$U21,"")</f>
        <v/>
      </c>
      <c r="BQ21" s="86" t="str">
        <f aca="false">IF($B21=BQ$12,$U21,"")</f>
        <v/>
      </c>
      <c r="BR21" s="86" t="str">
        <f aca="false">IF($B21=BR$12,$U21,"")</f>
        <v/>
      </c>
      <c r="BS21" s="86" t="str">
        <f aca="false">IF($B21=BS$12,$U21,"")</f>
        <v/>
      </c>
      <c r="BT21" s="86" t="str">
        <f aca="false">IF($B21=BT$12,$U21,"")</f>
        <v/>
      </c>
      <c r="BU21" s="86" t="str">
        <f aca="false">IF($B21=BU$12,$U21,"")</f>
        <v/>
      </c>
      <c r="BV21" s="86" t="str">
        <f aca="false">IF($B21=BV$12,$U21,"")</f>
        <v/>
      </c>
      <c r="BW21" s="86" t="str">
        <f aca="false">IF($B21=BW$12,$U21,"")</f>
        <v/>
      </c>
      <c r="BX21" s="86" t="str">
        <f aca="false">IF($B21=BX$12,$U21,"")</f>
        <v/>
      </c>
      <c r="BY21" s="86" t="str">
        <f aca="false">IF($B21=BY$12,$U21,"")</f>
        <v/>
      </c>
      <c r="BZ21" s="86" t="str">
        <f aca="false">IF($B21=BZ$12,$U21,"")</f>
        <v/>
      </c>
      <c r="CA21" s="86" t="str">
        <f aca="false">IF($B21=CA$12,$U21,"")</f>
        <v/>
      </c>
      <c r="CB21" s="86" t="str">
        <f aca="false">IF($B21=CB$12,$U21,"")</f>
        <v/>
      </c>
      <c r="CC21" s="86" t="str">
        <f aca="false">IF($B21=CC$12,$U21,"")</f>
        <v/>
      </c>
      <c r="CD21" s="86" t="str">
        <f aca="false">IF($B21=CD$12,$U21,"")</f>
        <v/>
      </c>
      <c r="CE21" s="86" t="str">
        <f aca="false">IF($B21=CE$12,$U21,"")</f>
        <v/>
      </c>
      <c r="CF21" s="86" t="str">
        <f aca="false">IF($B21=CF$12,$U21,"")</f>
        <v/>
      </c>
      <c r="CG21" s="86" t="str">
        <f aca="false">IF($B21=CG$12,$U21,"")</f>
        <v/>
      </c>
      <c r="CH21" s="86" t="str">
        <f aca="false">IF($B21=CH$12,$U21,"")</f>
        <v/>
      </c>
      <c r="CI21" s="86" t="str">
        <f aca="false">IF($B21=CI$12,$U21,"")</f>
        <v/>
      </c>
      <c r="CJ21" s="86" t="str">
        <f aca="false">IF($B21=CJ$12,$U21,"")</f>
        <v/>
      </c>
      <c r="CK21" s="86" t="str">
        <f aca="false">IF($B21=CK$12,$U21,"")</f>
        <v/>
      </c>
      <c r="CL21" s="86" t="str">
        <f aca="false">IF($B21=CL$12,$U21,"")</f>
        <v/>
      </c>
      <c r="CM21" s="86" t="str">
        <f aca="false">IF($B21=CM$12,$U21,"")</f>
        <v/>
      </c>
      <c r="CN21" s="86" t="str">
        <f aca="false">IF($B21=CN$12,$U21,"")</f>
        <v/>
      </c>
      <c r="CO21" s="86" t="str">
        <f aca="false">IF($B21=CO$12,$U21,"")</f>
        <v/>
      </c>
      <c r="CP21" s="86" t="str">
        <f aca="false">IF($B21=CP$12,$U21,"")</f>
        <v/>
      </c>
      <c r="CQ21" s="86" t="str">
        <f aca="false">IF($B21=CQ$12,$U21,"")</f>
        <v/>
      </c>
      <c r="CR21" s="86" t="str">
        <f aca="false">IF($B21=CR$12,$U21,"")</f>
        <v/>
      </c>
      <c r="CS21" s="86" t="str">
        <f aca="false">IF($B21=CS$12,$U21,"")</f>
        <v/>
      </c>
      <c r="CT21" s="86" t="str">
        <f aca="false">IF($B21=CT$12,$U21,"")</f>
        <v/>
      </c>
      <c r="CU21" s="86" t="str">
        <f aca="false">IF($B21=CU$12,$U21,"")</f>
        <v/>
      </c>
      <c r="CV21" s="86" t="str">
        <f aca="false">IF($B21=CV$12,$U21,"")</f>
        <v/>
      </c>
      <c r="CW21" s="86" t="str">
        <f aca="false">IF($B21=CW$12,$U21,"")</f>
        <v/>
      </c>
      <c r="CX21" s="86" t="str">
        <f aca="false">IF($B21=CX$12,$U21,"")</f>
        <v/>
      </c>
      <c r="CY21" s="86" t="str">
        <f aca="false">IF($B21=CY$12,$U21,"")</f>
        <v/>
      </c>
      <c r="CZ21" s="86" t="str">
        <f aca="false">IF($B21=CZ$12,$U21,"")</f>
        <v/>
      </c>
      <c r="DA21" s="86" t="str">
        <f aca="false">IF($B21=DA$12,$U21,"")</f>
        <v/>
      </c>
      <c r="DB21" s="86" t="str">
        <f aca="false">IF($B21=DB$12,$U21,"")</f>
        <v/>
      </c>
      <c r="DC21" s="86" t="str">
        <f aca="false">IF($B21=DC$12,$U21,"")</f>
        <v/>
      </c>
      <c r="DD21" s="86" t="str">
        <f aca="false">IF($B21=DD$12,$U21,"")</f>
        <v/>
      </c>
      <c r="DE21" s="86" t="str">
        <f aca="false">IF($B21=DE$12,$U21,"")</f>
        <v/>
      </c>
      <c r="DF21" s="86" t="str">
        <f aca="false">IF($B21=DF$12,$U21,"")</f>
        <v/>
      </c>
      <c r="DG21" s="86" t="str">
        <f aca="false">IF($B21=DG$12,$U21,"")</f>
        <v/>
      </c>
      <c r="DH21" s="86" t="str">
        <f aca="false">IF($B21=DH$12,$U21,"")</f>
        <v/>
      </c>
      <c r="DI21" s="86" t="str">
        <f aca="false">IF($B21=DI$12,$U21,"")</f>
        <v/>
      </c>
      <c r="DJ21" s="86" t="str">
        <f aca="false">IF($B21=DJ$12,$U21,"")</f>
        <v/>
      </c>
      <c r="DK21" s="86" t="str">
        <f aca="false">IF($B21=DK$12,$U21,"")</f>
        <v/>
      </c>
      <c r="DL21" s="86" t="str">
        <f aca="false">IF($B21=DL$12,$U21,"")</f>
        <v/>
      </c>
      <c r="DM21" s="86" t="str">
        <f aca="false">IF($B21=DM$12,$U21,"")</f>
        <v/>
      </c>
      <c r="DN21" s="86" t="str">
        <f aca="false">IF($B21=DN$12,$U21,"")</f>
        <v/>
      </c>
      <c r="DO21" s="86" t="str">
        <f aca="false">IF($B21=DO$12,$U21,"")</f>
        <v/>
      </c>
      <c r="DP21" s="86" t="str">
        <f aca="false">IF($B21=DP$12,$U21,"")</f>
        <v/>
      </c>
      <c r="DQ21" s="86" t="str">
        <f aca="false">IF($B21=DQ$12,$U21,"")</f>
        <v/>
      </c>
      <c r="DR21" s="86" t="str">
        <f aca="false">IF($B21=DR$12,$U21,"")</f>
        <v/>
      </c>
      <c r="DS21" s="86" t="str">
        <f aca="false">IF($B21=DS$12,$U21,"")</f>
        <v/>
      </c>
      <c r="DT21" s="87" t="str">
        <f aca="false">IF($B21=DT$12,$U21,"")</f>
        <v/>
      </c>
      <c r="DU21" s="56"/>
      <c r="DV21" s="91"/>
      <c r="DW21" s="88" t="str">
        <f aca="false">IF($B21=DW$12,$O21,"")</f>
        <v/>
      </c>
      <c r="DX21" s="89" t="str">
        <f aca="false">IF($B21=DX$12,$O21,"")</f>
        <v/>
      </c>
      <c r="DY21" s="89" t="str">
        <f aca="false">IF($B21=DY$12,$O21,"")</f>
        <v/>
      </c>
      <c r="DZ21" s="89" t="str">
        <f aca="false">IF($B21=DZ$12,$O21,"")</f>
        <v/>
      </c>
      <c r="EA21" s="89" t="str">
        <f aca="false">IF($B21=EA$12,$O21,"")</f>
        <v/>
      </c>
      <c r="EB21" s="89" t="str">
        <f aca="false">IF($B21=EB$12,$O21,"")</f>
        <v/>
      </c>
      <c r="EC21" s="89" t="str">
        <f aca="false">IF($B21=EC$12,$O21,"")</f>
        <v/>
      </c>
      <c r="ED21" s="89" t="str">
        <f aca="false">IF($B21=ED$12,$O21,"")</f>
        <v/>
      </c>
      <c r="EE21" s="89" t="str">
        <f aca="false">IF($B21=EE$12,$O21,"")</f>
        <v/>
      </c>
      <c r="EF21" s="89" t="str">
        <f aca="false">IF($B21=EF$12,$O21,"")</f>
        <v/>
      </c>
      <c r="EG21" s="89" t="str">
        <f aca="false">IF($B21=EG$12,$O21,"")</f>
        <v/>
      </c>
      <c r="EH21" s="89" t="str">
        <f aca="false">IF($B21=EH$12,$O21,"")</f>
        <v/>
      </c>
      <c r="EI21" s="89" t="str">
        <f aca="false">IF($B21=EI$12,$O21,"")</f>
        <v/>
      </c>
      <c r="EJ21" s="89" t="str">
        <f aca="false">IF($B21=EJ$12,$O21,"")</f>
        <v/>
      </c>
      <c r="EK21" s="89" t="str">
        <f aca="false">IF($B21=EK$12,$O21,"")</f>
        <v/>
      </c>
      <c r="EL21" s="89" t="str">
        <f aca="false">IF($B21=EL$12,$O21,"")</f>
        <v/>
      </c>
      <c r="EM21" s="89" t="str">
        <f aca="false">IF($B21=EM$12,$O21,"")</f>
        <v/>
      </c>
      <c r="EN21" s="89" t="str">
        <f aca="false">IF($B21=EN$12,$O21,"")</f>
        <v/>
      </c>
      <c r="EO21" s="89" t="str">
        <f aca="false">IF($B21=EO$12,$O21,"")</f>
        <v/>
      </c>
      <c r="EP21" s="89" t="str">
        <f aca="false">IF($B21=EP$12,$O21,"")</f>
        <v/>
      </c>
      <c r="EQ21" s="89" t="str">
        <f aca="false">IF($B21=EQ$12,$O21,"")</f>
        <v/>
      </c>
      <c r="ER21" s="89" t="str">
        <f aca="false">IF($B21=ER$12,$O21,"")</f>
        <v/>
      </c>
      <c r="ES21" s="89" t="str">
        <f aca="false">IF($B21=ES$12,$O21,"")</f>
        <v/>
      </c>
      <c r="ET21" s="89" t="str">
        <f aca="false">IF($B21=ET$12,$O21,"")</f>
        <v/>
      </c>
      <c r="EU21" s="89" t="str">
        <f aca="false">IF($B21=EU$12,$O21,"")</f>
        <v/>
      </c>
      <c r="EV21" s="89" t="str">
        <f aca="false">IF($B21=EV$12,$O21,"")</f>
        <v/>
      </c>
      <c r="EW21" s="89" t="str">
        <f aca="false">IF($B21=EW$12,$O21,"")</f>
        <v/>
      </c>
      <c r="EX21" s="89" t="str">
        <f aca="false">IF($B21=EX$12,$O21,"")</f>
        <v/>
      </c>
      <c r="EY21" s="89" t="str">
        <f aca="false">IF($B21=EY$12,$O21,"")</f>
        <v/>
      </c>
      <c r="EZ21" s="89" t="str">
        <f aca="false">IF($B21=EZ$12,$O21,"")</f>
        <v/>
      </c>
      <c r="FA21" s="89" t="str">
        <f aca="false">IF($B21=FA$12,$O21,"")</f>
        <v/>
      </c>
      <c r="FB21" s="89" t="str">
        <f aca="false">IF($B21=FB$12,$O21,"")</f>
        <v/>
      </c>
      <c r="FC21" s="89" t="str">
        <f aca="false">IF($B21=FC$12,$O21,"")</f>
        <v/>
      </c>
      <c r="FD21" s="89" t="str">
        <f aca="false">IF($B21=FD$12,$O21,"")</f>
        <v/>
      </c>
      <c r="FE21" s="89" t="str">
        <f aca="false">IF($B21=FE$12,$O21,"")</f>
        <v/>
      </c>
      <c r="FF21" s="89" t="str">
        <f aca="false">IF($B21=FF$12,$O21,"")</f>
        <v/>
      </c>
      <c r="FG21" s="89" t="str">
        <f aca="false">IF($B21=FG$12,$O21,"")</f>
        <v/>
      </c>
      <c r="FH21" s="89" t="str">
        <f aca="false">IF($B21=FH$12,$O21,"")</f>
        <v/>
      </c>
      <c r="FI21" s="89" t="str">
        <f aca="false">IF($B21=FI$12,$O21,"")</f>
        <v/>
      </c>
      <c r="FJ21" s="89" t="str">
        <f aca="false">IF($B21=FJ$12,$O21,"")</f>
        <v/>
      </c>
      <c r="FK21" s="89" t="str">
        <f aca="false">IF($B21=FK$12,$O21,"")</f>
        <v/>
      </c>
      <c r="FL21" s="89" t="str">
        <f aca="false">IF($B21=FL$12,$O21,"")</f>
        <v/>
      </c>
      <c r="FM21" s="89" t="str">
        <f aca="false">IF($B21=FM$12,$O21,"")</f>
        <v/>
      </c>
      <c r="FN21" s="89" t="str">
        <f aca="false">IF($B21=FN$12,$O21,"")</f>
        <v/>
      </c>
      <c r="FO21" s="89" t="str">
        <f aca="false">IF($B21=FO$12,$O21,"")</f>
        <v/>
      </c>
      <c r="FP21" s="89" t="str">
        <f aca="false">IF($B21=FP$12,$O21,"")</f>
        <v/>
      </c>
      <c r="FQ21" s="89" t="str">
        <f aca="false">IF($B21=FQ$12,$O21,"")</f>
        <v/>
      </c>
      <c r="FR21" s="89" t="str">
        <f aca="false">IF($B21=FR$12,$O21,"")</f>
        <v/>
      </c>
      <c r="FS21" s="89" t="str">
        <f aca="false">IF($B21=FS$12,$O21,"")</f>
        <v/>
      </c>
      <c r="FT21" s="89" t="str">
        <f aca="false">IF($B21=FT$12,$O21,"")</f>
        <v/>
      </c>
      <c r="FU21" s="89" t="str">
        <f aca="false">IF($B21=FU$12,$O21,"")</f>
        <v/>
      </c>
      <c r="FV21" s="89" t="str">
        <f aca="false">IF($B21=FV$12,$O21,"")</f>
        <v/>
      </c>
      <c r="FW21" s="89" t="str">
        <f aca="false">IF($B21=FW$12,$O21,"")</f>
        <v/>
      </c>
      <c r="FX21" s="89" t="str">
        <f aca="false">IF($B21=FX$12,$O21,"")</f>
        <v/>
      </c>
      <c r="FY21" s="89" t="str">
        <f aca="false">IF($B21=FY$12,$O21,"")</f>
        <v/>
      </c>
      <c r="FZ21" s="89" t="str">
        <f aca="false">IF($B21=FZ$12,$O21,"")</f>
        <v/>
      </c>
      <c r="GA21" s="89" t="str">
        <f aca="false">IF($B21=GA$12,$O21,"")</f>
        <v/>
      </c>
      <c r="GB21" s="89" t="str">
        <f aca="false">IF($B21=GB$12,$O21,"")</f>
        <v/>
      </c>
      <c r="GC21" s="89" t="str">
        <f aca="false">IF($B21=GC$12,$O21,"")</f>
        <v/>
      </c>
      <c r="GD21" s="89" t="str">
        <f aca="false">IF($B21=GD$12,$O21,"")</f>
        <v/>
      </c>
      <c r="GE21" s="89" t="str">
        <f aca="false">IF($B21=GE$12,$O21,"")</f>
        <v/>
      </c>
      <c r="GF21" s="89" t="str">
        <f aca="false">IF($B21=GF$12,$O21,"")</f>
        <v/>
      </c>
      <c r="GG21" s="89" t="str">
        <f aca="false">IF($B21=GG$12,$O21,"")</f>
        <v/>
      </c>
      <c r="GH21" s="89" t="str">
        <f aca="false">IF($B21=GH$12,$O21,"")</f>
        <v/>
      </c>
      <c r="GI21" s="89" t="str">
        <f aca="false">IF($B21=GI$12,$O21,"")</f>
        <v/>
      </c>
      <c r="GJ21" s="89" t="str">
        <f aca="false">IF($B21=GJ$12,$O21,"")</f>
        <v/>
      </c>
      <c r="GK21" s="89" t="str">
        <f aca="false">IF($B21=GK$12,$O21,"")</f>
        <v/>
      </c>
      <c r="GL21" s="89" t="str">
        <f aca="false">IF($B21=GL$12,$O21,"")</f>
        <v/>
      </c>
      <c r="GM21" s="89" t="str">
        <f aca="false">IF($B21=GM$12,$O21,"")</f>
        <v/>
      </c>
      <c r="GN21" s="89" t="str">
        <f aca="false">IF($B21=GN$12,$O21,"")</f>
        <v/>
      </c>
      <c r="GO21" s="89" t="str">
        <f aca="false">IF($B21=GO$12,$O21,"")</f>
        <v/>
      </c>
      <c r="GP21" s="89" t="str">
        <f aca="false">IF($B21=GP$12,$O21,"")</f>
        <v/>
      </c>
      <c r="GQ21" s="89" t="str">
        <f aca="false">IF($B21=GQ$12,$O21,"")</f>
        <v/>
      </c>
      <c r="GR21" s="89" t="str">
        <f aca="false">IF($B21=GR$12,$O21,"")</f>
        <v/>
      </c>
      <c r="GS21" s="89" t="str">
        <f aca="false">IF($B21=GS$12,$O21,"")</f>
        <v/>
      </c>
      <c r="GT21" s="89" t="str">
        <f aca="false">IF($B21=GT$12,$O21,"")</f>
        <v/>
      </c>
      <c r="GU21" s="89" t="str">
        <f aca="false">IF($B21=GU$12,$O21,"")</f>
        <v/>
      </c>
      <c r="GV21" s="89" t="str">
        <f aca="false">IF($B21=GV$12,$O21,"")</f>
        <v/>
      </c>
      <c r="GW21" s="89" t="str">
        <f aca="false">IF($B21=GW$12,$O21,"")</f>
        <v/>
      </c>
      <c r="GX21" s="89" t="str">
        <f aca="false">IF($B21=GX$12,$O21,"")</f>
        <v/>
      </c>
      <c r="GY21" s="89" t="str">
        <f aca="false">IF($B21=GY$12,$O21,"")</f>
        <v/>
      </c>
      <c r="GZ21" s="89" t="str">
        <f aca="false">IF($B21=GZ$12,$O21,"")</f>
        <v/>
      </c>
      <c r="HA21" s="89" t="str">
        <f aca="false">IF($B21=HA$12,$O21,"")</f>
        <v/>
      </c>
      <c r="HB21" s="89" t="str">
        <f aca="false">IF($B21=HB$12,$O21,"")</f>
        <v/>
      </c>
      <c r="HC21" s="89" t="str">
        <f aca="false">IF($B21=HC$12,$O21,"")</f>
        <v/>
      </c>
      <c r="HD21" s="89" t="str">
        <f aca="false">IF($B21=HD$12,$O21,"")</f>
        <v/>
      </c>
      <c r="HE21" s="89" t="str">
        <f aca="false">IF($B21=HE$12,$O21,"")</f>
        <v/>
      </c>
      <c r="HF21" s="89" t="str">
        <f aca="false">IF($B21=HF$12,$O21,"")</f>
        <v/>
      </c>
      <c r="HG21" s="89" t="str">
        <f aca="false">IF($B21=HG$12,$O21,"")</f>
        <v/>
      </c>
      <c r="HH21" s="89" t="str">
        <f aca="false">IF($B21=HH$12,$O21,"")</f>
        <v/>
      </c>
      <c r="HI21" s="89" t="str">
        <f aca="false">IF($B21=HI$12,$O21,"")</f>
        <v/>
      </c>
      <c r="HJ21" s="89" t="str">
        <f aca="false">IF($B21=HJ$12,$O21,"")</f>
        <v/>
      </c>
      <c r="HK21" s="89" t="str">
        <f aca="false">IF($B21=HK$12,$O21,"")</f>
        <v/>
      </c>
      <c r="HL21" s="89" t="str">
        <f aca="false">IF($B21=HL$12,$O21,"")</f>
        <v/>
      </c>
      <c r="HM21" s="89" t="str">
        <f aca="false">IF($B21=HM$12,$O21,"")</f>
        <v/>
      </c>
      <c r="HN21" s="89" t="str">
        <f aca="false">IF($B21=HN$12,$O21,"")</f>
        <v/>
      </c>
      <c r="HO21" s="89" t="str">
        <f aca="false">IF($B21=HO$12,$O21,"")</f>
        <v/>
      </c>
      <c r="HP21" s="89" t="str">
        <f aca="false">IF($B21=HP$12,$O21,"")</f>
        <v/>
      </c>
      <c r="HQ21" s="89" t="str">
        <f aca="false">IF($B21=HQ$12,$O21,"")</f>
        <v/>
      </c>
      <c r="HR21" s="90" t="str">
        <f aca="false">IF($B21=HR$12,$O21,"")</f>
        <v/>
      </c>
    </row>
    <row r="22" customFormat="false" ht="10.5" hidden="false" customHeight="true" outlineLevel="0" collapsed="false">
      <c r="A22" s="75"/>
      <c r="B22" s="76"/>
      <c r="C22" s="77" t="str">
        <f aca="false">IF(A22=0,"",VLOOKUP(A22,[3]CO!$A$3:$F$5311,2,0))</f>
        <v/>
      </c>
      <c r="D22" s="78"/>
      <c r="E22" s="78"/>
      <c r="F22" s="78"/>
      <c r="G22" s="79" t="str">
        <f aca="false">IF(A22=0,"",VLOOKUP(A22,[3]CO!$A$3:$F$5311,3,0))</f>
        <v/>
      </c>
      <c r="H22" s="78"/>
      <c r="I22" s="80"/>
      <c r="J22" s="80"/>
      <c r="K22" s="80"/>
      <c r="L22" s="80"/>
      <c r="M22" s="81" t="str">
        <f aca="false">IF(L22=0,"",PRODUCT(I22:L22))</f>
        <v/>
      </c>
      <c r="N22" s="81" t="str">
        <f aca="false">IF(B22=0,"",IF(H22="M",HLOOKUP(B22,$Y$12:$DT$13,2),IF(A22=0,"",VLOOKUP(A22,[3]CO!$A$3:$F$5311,4,0))))</f>
        <v/>
      </c>
      <c r="O22" s="81" t="str">
        <f aca="false">IF(L22=0,"",PRODUCT(M22:N22))</f>
        <v/>
      </c>
      <c r="P22" s="82"/>
      <c r="Q22" s="83" t="str">
        <f aca="false">IF(P22=0,"",(HLOOKUP(P22,$DW$12:$HR$13,2)))</f>
        <v/>
      </c>
      <c r="R22" s="84" t="str">
        <f aca="false">IF(S22=0,"",IF(OR(G22="PEON",G22="OF",G22="JARD",G22="CARP",G22="MAESTRO",G22="SOLD",G22="BGRO",G22="CHOFER",G22="AYTE",G22="S.INTTE.",G22="ASEO",G22="P.PISOS",G22="VELADOR",G22="RESID",G22="PINTOR",G22="ELECT",G22="AZULE",G22="AUX CONT.",G22="SECRETARIA",G22="AUXILIAR ADMTVO.",G22="ARQUITECTO",G22="DIBUJANTE",G22="AUX. DE RESIDENTE"),VLOOKUP(B22,P$14:Q$57,2),"")*S22)</f>
        <v/>
      </c>
      <c r="S22" s="66"/>
      <c r="T22" s="67" t="str">
        <f aca="false">IF(A22=0,"",VLOOKUP(A22,[3]CO!$A$3:$F$5302,5,0))</f>
        <v/>
      </c>
      <c r="U22" s="56" t="n">
        <f aca="false">IF(T22=1,O22*0.1,)</f>
        <v>0</v>
      </c>
      <c r="V22" s="68"/>
      <c r="W22" s="91"/>
      <c r="X22" s="91"/>
      <c r="Y22" s="85" t="str">
        <f aca="false">IF($B22=Y$12,$U22,"")</f>
        <v/>
      </c>
      <c r="Z22" s="86" t="str">
        <f aca="false">IF($B22=Z$12,$U22,"")</f>
        <v/>
      </c>
      <c r="AA22" s="86" t="str">
        <f aca="false">IF($B22=AA$12,$U22,"")</f>
        <v/>
      </c>
      <c r="AB22" s="86" t="str">
        <f aca="false">IF($B22=AB$12,$U22,"")</f>
        <v/>
      </c>
      <c r="AC22" s="86" t="str">
        <f aca="false">IF($B22=AC$12,$U22,"")</f>
        <v/>
      </c>
      <c r="AD22" s="86" t="str">
        <f aca="false">IF($B22=AD$12,$U22,"")</f>
        <v/>
      </c>
      <c r="AE22" s="86" t="str">
        <f aca="false">IF($B22=AE$12,$U22,"")</f>
        <v/>
      </c>
      <c r="AF22" s="86" t="str">
        <f aca="false">IF($B22=AF$12,$U22,"")</f>
        <v/>
      </c>
      <c r="AG22" s="86" t="str">
        <f aca="false">IF($B22=AG$12,$U22,"")</f>
        <v/>
      </c>
      <c r="AH22" s="86" t="str">
        <f aca="false">IF($B22=AH$12,$U22,"")</f>
        <v/>
      </c>
      <c r="AI22" s="86" t="str">
        <f aca="false">IF($B22=AI$12,$U22,"")</f>
        <v/>
      </c>
      <c r="AJ22" s="86" t="str">
        <f aca="false">IF($B22=AJ$12,$U22,"")</f>
        <v/>
      </c>
      <c r="AK22" s="86" t="str">
        <f aca="false">IF($B22=AK$12,$U22,"")</f>
        <v/>
      </c>
      <c r="AL22" s="86" t="str">
        <f aca="false">IF($B22=AL$12,$U22,"")</f>
        <v/>
      </c>
      <c r="AM22" s="86" t="str">
        <f aca="false">IF($B22=AM$12,$U22,"")</f>
        <v/>
      </c>
      <c r="AN22" s="86" t="str">
        <f aca="false">IF($B22=AN$12,$U22,"")</f>
        <v/>
      </c>
      <c r="AO22" s="86" t="str">
        <f aca="false">IF($B22=AO$12,$U22,"")</f>
        <v/>
      </c>
      <c r="AP22" s="86" t="str">
        <f aca="false">IF($B22=AP$12,$U22,"")</f>
        <v/>
      </c>
      <c r="AQ22" s="86" t="str">
        <f aca="false">IF($B22=AQ$12,$U22,"")</f>
        <v/>
      </c>
      <c r="AR22" s="86" t="str">
        <f aca="false">IF($B22=AR$12,$U22,"")</f>
        <v/>
      </c>
      <c r="AS22" s="86" t="str">
        <f aca="false">IF($B22=AS$12,$U22,"")</f>
        <v/>
      </c>
      <c r="AT22" s="86" t="str">
        <f aca="false">IF($B22=AT$12,$U22,"")</f>
        <v/>
      </c>
      <c r="AU22" s="86" t="str">
        <f aca="false">IF($B22=AU$12,$U22,"")</f>
        <v/>
      </c>
      <c r="AV22" s="86" t="str">
        <f aca="false">IF($B22=AV$12,$U22,"")</f>
        <v/>
      </c>
      <c r="AW22" s="86" t="str">
        <f aca="false">IF($B22=AW$12,$U22,"")</f>
        <v/>
      </c>
      <c r="AX22" s="86" t="str">
        <f aca="false">IF($B22=AX$12,$U22,"")</f>
        <v/>
      </c>
      <c r="AY22" s="86" t="str">
        <f aca="false">IF($B22=AY$12,$U22,"")</f>
        <v/>
      </c>
      <c r="AZ22" s="86" t="str">
        <f aca="false">IF($B22=AZ$12,$U22,"")</f>
        <v/>
      </c>
      <c r="BA22" s="86" t="str">
        <f aca="false">IF($B22=BA$12,$U22,"")</f>
        <v/>
      </c>
      <c r="BB22" s="86" t="str">
        <f aca="false">IF($B22=BB$12,$U22,"")</f>
        <v/>
      </c>
      <c r="BC22" s="86" t="str">
        <f aca="false">IF($B22=BC$12,$U22,"")</f>
        <v/>
      </c>
      <c r="BD22" s="86" t="str">
        <f aca="false">IF($B22=BD$12,$U22,"")</f>
        <v/>
      </c>
      <c r="BE22" s="86" t="str">
        <f aca="false">IF($B22=BE$12,$U22,"")</f>
        <v/>
      </c>
      <c r="BF22" s="86" t="str">
        <f aca="false">IF($B22=BF$12,$U22,"")</f>
        <v/>
      </c>
      <c r="BG22" s="86" t="str">
        <f aca="false">IF($B22=BG$12,$U22,"")</f>
        <v/>
      </c>
      <c r="BH22" s="86" t="str">
        <f aca="false">IF($B22=BH$12,$U22,"")</f>
        <v/>
      </c>
      <c r="BI22" s="86" t="str">
        <f aca="false">IF($B22=BI$12,$U22,"")</f>
        <v/>
      </c>
      <c r="BJ22" s="86" t="str">
        <f aca="false">IF($B22=BJ$12,$U22,"")</f>
        <v/>
      </c>
      <c r="BK22" s="86" t="str">
        <f aca="false">IF($B22=BK$12,$U22,"")</f>
        <v/>
      </c>
      <c r="BL22" s="86" t="str">
        <f aca="false">IF($B22=BL$12,$U22,"")</f>
        <v/>
      </c>
      <c r="BM22" s="86" t="str">
        <f aca="false">IF($B22=BM$12,$U22,"")</f>
        <v/>
      </c>
      <c r="BN22" s="86" t="str">
        <f aca="false">IF($B22=BN$12,$U22,"")</f>
        <v/>
      </c>
      <c r="BO22" s="86" t="str">
        <f aca="false">IF($B22=BO$12,$U22,"")</f>
        <v/>
      </c>
      <c r="BP22" s="86" t="str">
        <f aca="false">IF($B22=BP$12,$U22,"")</f>
        <v/>
      </c>
      <c r="BQ22" s="86" t="str">
        <f aca="false">IF($B22=BQ$12,$U22,"")</f>
        <v/>
      </c>
      <c r="BR22" s="86" t="str">
        <f aca="false">IF($B22=BR$12,$U22,"")</f>
        <v/>
      </c>
      <c r="BS22" s="86" t="str">
        <f aca="false">IF($B22=BS$12,$U22,"")</f>
        <v/>
      </c>
      <c r="BT22" s="86" t="str">
        <f aca="false">IF($B22=BT$12,$U22,"")</f>
        <v/>
      </c>
      <c r="BU22" s="86" t="str">
        <f aca="false">IF($B22=BU$12,$U22,"")</f>
        <v/>
      </c>
      <c r="BV22" s="86" t="str">
        <f aca="false">IF($B22=BV$12,$U22,"")</f>
        <v/>
      </c>
      <c r="BW22" s="86" t="str">
        <f aca="false">IF($B22=BW$12,$U22,"")</f>
        <v/>
      </c>
      <c r="BX22" s="86" t="str">
        <f aca="false">IF($B22=BX$12,$U22,"")</f>
        <v/>
      </c>
      <c r="BY22" s="86" t="str">
        <f aca="false">IF($B22=BY$12,$U22,"")</f>
        <v/>
      </c>
      <c r="BZ22" s="86" t="str">
        <f aca="false">IF($B22=BZ$12,$U22,"")</f>
        <v/>
      </c>
      <c r="CA22" s="86" t="str">
        <f aca="false">IF($B22=CA$12,$U22,"")</f>
        <v/>
      </c>
      <c r="CB22" s="86" t="str">
        <f aca="false">IF($B22=CB$12,$U22,"")</f>
        <v/>
      </c>
      <c r="CC22" s="86" t="str">
        <f aca="false">IF($B22=CC$12,$U22,"")</f>
        <v/>
      </c>
      <c r="CD22" s="86" t="str">
        <f aca="false">IF($B22=CD$12,$U22,"")</f>
        <v/>
      </c>
      <c r="CE22" s="86" t="str">
        <f aca="false">IF($B22=CE$12,$U22,"")</f>
        <v/>
      </c>
      <c r="CF22" s="86" t="str">
        <f aca="false">IF($B22=CF$12,$U22,"")</f>
        <v/>
      </c>
      <c r="CG22" s="86" t="str">
        <f aca="false">IF($B22=CG$12,$U22,"")</f>
        <v/>
      </c>
      <c r="CH22" s="86" t="str">
        <f aca="false">IF($B22=CH$12,$U22,"")</f>
        <v/>
      </c>
      <c r="CI22" s="86" t="str">
        <f aca="false">IF($B22=CI$12,$U22,"")</f>
        <v/>
      </c>
      <c r="CJ22" s="86" t="str">
        <f aca="false">IF($B22=CJ$12,$U22,"")</f>
        <v/>
      </c>
      <c r="CK22" s="86" t="str">
        <f aca="false">IF($B22=CK$12,$U22,"")</f>
        <v/>
      </c>
      <c r="CL22" s="86" t="str">
        <f aca="false">IF($B22=CL$12,$U22,"")</f>
        <v/>
      </c>
      <c r="CM22" s="86" t="str">
        <f aca="false">IF($B22=CM$12,$U22,"")</f>
        <v/>
      </c>
      <c r="CN22" s="86" t="str">
        <f aca="false">IF($B22=CN$12,$U22,"")</f>
        <v/>
      </c>
      <c r="CO22" s="86" t="str">
        <f aca="false">IF($B22=CO$12,$U22,"")</f>
        <v/>
      </c>
      <c r="CP22" s="86" t="str">
        <f aca="false">IF($B22=CP$12,$U22,"")</f>
        <v/>
      </c>
      <c r="CQ22" s="86" t="str">
        <f aca="false">IF($B22=CQ$12,$U22,"")</f>
        <v/>
      </c>
      <c r="CR22" s="86" t="str">
        <f aca="false">IF($B22=CR$12,$U22,"")</f>
        <v/>
      </c>
      <c r="CS22" s="86" t="str">
        <f aca="false">IF($B22=CS$12,$U22,"")</f>
        <v/>
      </c>
      <c r="CT22" s="86" t="str">
        <f aca="false">IF($B22=CT$12,$U22,"")</f>
        <v/>
      </c>
      <c r="CU22" s="86" t="str">
        <f aca="false">IF($B22=CU$12,$U22,"")</f>
        <v/>
      </c>
      <c r="CV22" s="86" t="str">
        <f aca="false">IF($B22=CV$12,$U22,"")</f>
        <v/>
      </c>
      <c r="CW22" s="86" t="str">
        <f aca="false">IF($B22=CW$12,$U22,"")</f>
        <v/>
      </c>
      <c r="CX22" s="86" t="str">
        <f aca="false">IF($B22=CX$12,$U22,"")</f>
        <v/>
      </c>
      <c r="CY22" s="86" t="str">
        <f aca="false">IF($B22=CY$12,$U22,"")</f>
        <v/>
      </c>
      <c r="CZ22" s="86" t="str">
        <f aca="false">IF($B22=CZ$12,$U22,"")</f>
        <v/>
      </c>
      <c r="DA22" s="86" t="str">
        <f aca="false">IF($B22=DA$12,$U22,"")</f>
        <v/>
      </c>
      <c r="DB22" s="86" t="str">
        <f aca="false">IF($B22=DB$12,$U22,"")</f>
        <v/>
      </c>
      <c r="DC22" s="86" t="str">
        <f aca="false">IF($B22=DC$12,$U22,"")</f>
        <v/>
      </c>
      <c r="DD22" s="86" t="str">
        <f aca="false">IF($B22=DD$12,$U22,"")</f>
        <v/>
      </c>
      <c r="DE22" s="86" t="str">
        <f aca="false">IF($B22=DE$12,$U22,"")</f>
        <v/>
      </c>
      <c r="DF22" s="86" t="str">
        <f aca="false">IF($B22=DF$12,$U22,"")</f>
        <v/>
      </c>
      <c r="DG22" s="86" t="str">
        <f aca="false">IF($B22=DG$12,$U22,"")</f>
        <v/>
      </c>
      <c r="DH22" s="86" t="str">
        <f aca="false">IF($B22=DH$12,$U22,"")</f>
        <v/>
      </c>
      <c r="DI22" s="86" t="str">
        <f aca="false">IF($B22=DI$12,$U22,"")</f>
        <v/>
      </c>
      <c r="DJ22" s="86" t="str">
        <f aca="false">IF($B22=DJ$12,$U22,"")</f>
        <v/>
      </c>
      <c r="DK22" s="86" t="str">
        <f aca="false">IF($B22=DK$12,$U22,"")</f>
        <v/>
      </c>
      <c r="DL22" s="86" t="str">
        <f aca="false">IF($B22=DL$12,$U22,"")</f>
        <v/>
      </c>
      <c r="DM22" s="86" t="str">
        <f aca="false">IF($B22=DM$12,$U22,"")</f>
        <v/>
      </c>
      <c r="DN22" s="86" t="str">
        <f aca="false">IF($B22=DN$12,$U22,"")</f>
        <v/>
      </c>
      <c r="DO22" s="86" t="str">
        <f aca="false">IF($B22=DO$12,$U22,"")</f>
        <v/>
      </c>
      <c r="DP22" s="86" t="str">
        <f aca="false">IF($B22=DP$12,$U22,"")</f>
        <v/>
      </c>
      <c r="DQ22" s="86" t="str">
        <f aca="false">IF($B22=DQ$12,$U22,"")</f>
        <v/>
      </c>
      <c r="DR22" s="86" t="str">
        <f aca="false">IF($B22=DR$12,$U22,"")</f>
        <v/>
      </c>
      <c r="DS22" s="86" t="str">
        <f aca="false">IF($B22=DS$12,$U22,"")</f>
        <v/>
      </c>
      <c r="DT22" s="87" t="str">
        <f aca="false">IF($B22=DT$12,$U22,"")</f>
        <v/>
      </c>
      <c r="DU22" s="56"/>
      <c r="DV22" s="91"/>
      <c r="DW22" s="88" t="str">
        <f aca="false">IF($B22=DW$12,$O22,"")</f>
        <v/>
      </c>
      <c r="DX22" s="89" t="str">
        <f aca="false">IF($B22=DX$12,$O22,"")</f>
        <v/>
      </c>
      <c r="DY22" s="89" t="str">
        <f aca="false">IF($B22=DY$12,$O22,"")</f>
        <v/>
      </c>
      <c r="DZ22" s="89" t="str">
        <f aca="false">IF($B22=DZ$12,$O22,"")</f>
        <v/>
      </c>
      <c r="EA22" s="89" t="str">
        <f aca="false">IF($B22=EA$12,$O22,"")</f>
        <v/>
      </c>
      <c r="EB22" s="89" t="str">
        <f aca="false">IF($B22=EB$12,$O22,"")</f>
        <v/>
      </c>
      <c r="EC22" s="89" t="str">
        <f aca="false">IF($B22=EC$12,$O22,"")</f>
        <v/>
      </c>
      <c r="ED22" s="89" t="str">
        <f aca="false">IF($B22=ED$12,$O22,"")</f>
        <v/>
      </c>
      <c r="EE22" s="89" t="str">
        <f aca="false">IF($B22=EE$12,$O22,"")</f>
        <v/>
      </c>
      <c r="EF22" s="89" t="str">
        <f aca="false">IF($B22=EF$12,$O22,"")</f>
        <v/>
      </c>
      <c r="EG22" s="89" t="str">
        <f aca="false">IF($B22=EG$12,$O22,"")</f>
        <v/>
      </c>
      <c r="EH22" s="89" t="str">
        <f aca="false">IF($B22=EH$12,$O22,"")</f>
        <v/>
      </c>
      <c r="EI22" s="89" t="str">
        <f aca="false">IF($B22=EI$12,$O22,"")</f>
        <v/>
      </c>
      <c r="EJ22" s="89" t="str">
        <f aca="false">IF($B22=EJ$12,$O22,"")</f>
        <v/>
      </c>
      <c r="EK22" s="89" t="str">
        <f aca="false">IF($B22=EK$12,$O22,"")</f>
        <v/>
      </c>
      <c r="EL22" s="89" t="str">
        <f aca="false">IF($B22=EL$12,$O22,"")</f>
        <v/>
      </c>
      <c r="EM22" s="89" t="str">
        <f aca="false">IF($B22=EM$12,$O22,"")</f>
        <v/>
      </c>
      <c r="EN22" s="89" t="str">
        <f aca="false">IF($B22=EN$12,$O22,"")</f>
        <v/>
      </c>
      <c r="EO22" s="89" t="str">
        <f aca="false">IF($B22=EO$12,$O22,"")</f>
        <v/>
      </c>
      <c r="EP22" s="89" t="str">
        <f aca="false">IF($B22=EP$12,$O22,"")</f>
        <v/>
      </c>
      <c r="EQ22" s="89" t="str">
        <f aca="false">IF($B22=EQ$12,$O22,"")</f>
        <v/>
      </c>
      <c r="ER22" s="89" t="str">
        <f aca="false">IF($B22=ER$12,$O22,"")</f>
        <v/>
      </c>
      <c r="ES22" s="89" t="str">
        <f aca="false">IF($B22=ES$12,$O22,"")</f>
        <v/>
      </c>
      <c r="ET22" s="89" t="str">
        <f aca="false">IF($B22=ET$12,$O22,"")</f>
        <v/>
      </c>
      <c r="EU22" s="89" t="str">
        <f aca="false">IF($B22=EU$12,$O22,"")</f>
        <v/>
      </c>
      <c r="EV22" s="89" t="str">
        <f aca="false">IF($B22=EV$12,$O22,"")</f>
        <v/>
      </c>
      <c r="EW22" s="89" t="str">
        <f aca="false">IF($B22=EW$12,$O22,"")</f>
        <v/>
      </c>
      <c r="EX22" s="89" t="str">
        <f aca="false">IF($B22=EX$12,$O22,"")</f>
        <v/>
      </c>
      <c r="EY22" s="89" t="str">
        <f aca="false">IF($B22=EY$12,$O22,"")</f>
        <v/>
      </c>
      <c r="EZ22" s="89" t="str">
        <f aca="false">IF($B22=EZ$12,$O22,"")</f>
        <v/>
      </c>
      <c r="FA22" s="89" t="str">
        <f aca="false">IF($B22=FA$12,$O22,"")</f>
        <v/>
      </c>
      <c r="FB22" s="89" t="str">
        <f aca="false">IF($B22=FB$12,$O22,"")</f>
        <v/>
      </c>
      <c r="FC22" s="89" t="str">
        <f aca="false">IF($B22=FC$12,$O22,"")</f>
        <v/>
      </c>
      <c r="FD22" s="89" t="str">
        <f aca="false">IF($B22=FD$12,$O22,"")</f>
        <v/>
      </c>
      <c r="FE22" s="89" t="str">
        <f aca="false">IF($B22=FE$12,$O22,"")</f>
        <v/>
      </c>
      <c r="FF22" s="89" t="str">
        <f aca="false">IF($B22=FF$12,$O22,"")</f>
        <v/>
      </c>
      <c r="FG22" s="89" t="str">
        <f aca="false">IF($B22=FG$12,$O22,"")</f>
        <v/>
      </c>
      <c r="FH22" s="89" t="str">
        <f aca="false">IF($B22=FH$12,$O22,"")</f>
        <v/>
      </c>
      <c r="FI22" s="89" t="str">
        <f aca="false">IF($B22=FI$12,$O22,"")</f>
        <v/>
      </c>
      <c r="FJ22" s="89" t="str">
        <f aca="false">IF($B22=FJ$12,$O22,"")</f>
        <v/>
      </c>
      <c r="FK22" s="89" t="str">
        <f aca="false">IF($B22=FK$12,$O22,"")</f>
        <v/>
      </c>
      <c r="FL22" s="89" t="str">
        <f aca="false">IF($B22=FL$12,$O22,"")</f>
        <v/>
      </c>
      <c r="FM22" s="89" t="str">
        <f aca="false">IF($B22=FM$12,$O22,"")</f>
        <v/>
      </c>
      <c r="FN22" s="89" t="str">
        <f aca="false">IF($B22=FN$12,$O22,"")</f>
        <v/>
      </c>
      <c r="FO22" s="89" t="str">
        <f aca="false">IF($B22=FO$12,$O22,"")</f>
        <v/>
      </c>
      <c r="FP22" s="89" t="str">
        <f aca="false">IF($B22=FP$12,$O22,"")</f>
        <v/>
      </c>
      <c r="FQ22" s="89" t="str">
        <f aca="false">IF($B22=FQ$12,$O22,"")</f>
        <v/>
      </c>
      <c r="FR22" s="89" t="str">
        <f aca="false">IF($B22=FR$12,$O22,"")</f>
        <v/>
      </c>
      <c r="FS22" s="89" t="str">
        <f aca="false">IF($B22=FS$12,$O22,"")</f>
        <v/>
      </c>
      <c r="FT22" s="89" t="str">
        <f aca="false">IF($B22=FT$12,$O22,"")</f>
        <v/>
      </c>
      <c r="FU22" s="89" t="str">
        <f aca="false">IF($B22=FU$12,$O22,"")</f>
        <v/>
      </c>
      <c r="FV22" s="89" t="str">
        <f aca="false">IF($B22=FV$12,$O22,"")</f>
        <v/>
      </c>
      <c r="FW22" s="89" t="str">
        <f aca="false">IF($B22=FW$12,$O22,"")</f>
        <v/>
      </c>
      <c r="FX22" s="89" t="str">
        <f aca="false">IF($B22=FX$12,$O22,"")</f>
        <v/>
      </c>
      <c r="FY22" s="89" t="str">
        <f aca="false">IF($B22=FY$12,$O22,"")</f>
        <v/>
      </c>
      <c r="FZ22" s="89" t="str">
        <f aca="false">IF($B22=FZ$12,$O22,"")</f>
        <v/>
      </c>
      <c r="GA22" s="89" t="str">
        <f aca="false">IF($B22=GA$12,$O22,"")</f>
        <v/>
      </c>
      <c r="GB22" s="89" t="str">
        <f aca="false">IF($B22=GB$12,$O22,"")</f>
        <v/>
      </c>
      <c r="GC22" s="89" t="str">
        <f aca="false">IF($B22=GC$12,$O22,"")</f>
        <v/>
      </c>
      <c r="GD22" s="89" t="str">
        <f aca="false">IF($B22=GD$12,$O22,"")</f>
        <v/>
      </c>
      <c r="GE22" s="89" t="str">
        <f aca="false">IF($B22=GE$12,$O22,"")</f>
        <v/>
      </c>
      <c r="GF22" s="89" t="str">
        <f aca="false">IF($B22=GF$12,$O22,"")</f>
        <v/>
      </c>
      <c r="GG22" s="89" t="str">
        <f aca="false">IF($B22=GG$12,$O22,"")</f>
        <v/>
      </c>
      <c r="GH22" s="89" t="str">
        <f aca="false">IF($B22=GH$12,$O22,"")</f>
        <v/>
      </c>
      <c r="GI22" s="89" t="str">
        <f aca="false">IF($B22=GI$12,$O22,"")</f>
        <v/>
      </c>
      <c r="GJ22" s="89" t="str">
        <f aca="false">IF($B22=GJ$12,$O22,"")</f>
        <v/>
      </c>
      <c r="GK22" s="89" t="str">
        <f aca="false">IF($B22=GK$12,$O22,"")</f>
        <v/>
      </c>
      <c r="GL22" s="89" t="str">
        <f aca="false">IF($B22=GL$12,$O22,"")</f>
        <v/>
      </c>
      <c r="GM22" s="89" t="str">
        <f aca="false">IF($B22=GM$12,$O22,"")</f>
        <v/>
      </c>
      <c r="GN22" s="89" t="str">
        <f aca="false">IF($B22=GN$12,$O22,"")</f>
        <v/>
      </c>
      <c r="GO22" s="89" t="str">
        <f aca="false">IF($B22=GO$12,$O22,"")</f>
        <v/>
      </c>
      <c r="GP22" s="89" t="str">
        <f aca="false">IF($B22=GP$12,$O22,"")</f>
        <v/>
      </c>
      <c r="GQ22" s="89" t="str">
        <f aca="false">IF($B22=GQ$12,$O22,"")</f>
        <v/>
      </c>
      <c r="GR22" s="89" t="str">
        <f aca="false">IF($B22=GR$12,$O22,"")</f>
        <v/>
      </c>
      <c r="GS22" s="89" t="str">
        <f aca="false">IF($B22=GS$12,$O22,"")</f>
        <v/>
      </c>
      <c r="GT22" s="89" t="str">
        <f aca="false">IF($B22=GT$12,$O22,"")</f>
        <v/>
      </c>
      <c r="GU22" s="89" t="str">
        <f aca="false">IF($B22=GU$12,$O22,"")</f>
        <v/>
      </c>
      <c r="GV22" s="89" t="str">
        <f aca="false">IF($B22=GV$12,$O22,"")</f>
        <v/>
      </c>
      <c r="GW22" s="89" t="str">
        <f aca="false">IF($B22=GW$12,$O22,"")</f>
        <v/>
      </c>
      <c r="GX22" s="89" t="str">
        <f aca="false">IF($B22=GX$12,$O22,"")</f>
        <v/>
      </c>
      <c r="GY22" s="89" t="str">
        <f aca="false">IF($B22=GY$12,$O22,"")</f>
        <v/>
      </c>
      <c r="GZ22" s="89" t="str">
        <f aca="false">IF($B22=GZ$12,$O22,"")</f>
        <v/>
      </c>
      <c r="HA22" s="89" t="str">
        <f aca="false">IF($B22=HA$12,$O22,"")</f>
        <v/>
      </c>
      <c r="HB22" s="89" t="str">
        <f aca="false">IF($B22=HB$12,$O22,"")</f>
        <v/>
      </c>
      <c r="HC22" s="89" t="str">
        <f aca="false">IF($B22=HC$12,$O22,"")</f>
        <v/>
      </c>
      <c r="HD22" s="89" t="str">
        <f aca="false">IF($B22=HD$12,$O22,"")</f>
        <v/>
      </c>
      <c r="HE22" s="89" t="str">
        <f aca="false">IF($B22=HE$12,$O22,"")</f>
        <v/>
      </c>
      <c r="HF22" s="89" t="str">
        <f aca="false">IF($B22=HF$12,$O22,"")</f>
        <v/>
      </c>
      <c r="HG22" s="89" t="str">
        <f aca="false">IF($B22=HG$12,$O22,"")</f>
        <v/>
      </c>
      <c r="HH22" s="89" t="str">
        <f aca="false">IF($B22=HH$12,$O22,"")</f>
        <v/>
      </c>
      <c r="HI22" s="89" t="str">
        <f aca="false">IF($B22=HI$12,$O22,"")</f>
        <v/>
      </c>
      <c r="HJ22" s="89" t="str">
        <f aca="false">IF($B22=HJ$12,$O22,"")</f>
        <v/>
      </c>
      <c r="HK22" s="89" t="str">
        <f aca="false">IF($B22=HK$12,$O22,"")</f>
        <v/>
      </c>
      <c r="HL22" s="89" t="str">
        <f aca="false">IF($B22=HL$12,$O22,"")</f>
        <v/>
      </c>
      <c r="HM22" s="89" t="str">
        <f aca="false">IF($B22=HM$12,$O22,"")</f>
        <v/>
      </c>
      <c r="HN22" s="89" t="str">
        <f aca="false">IF($B22=HN$12,$O22,"")</f>
        <v/>
      </c>
      <c r="HO22" s="89" t="str">
        <f aca="false">IF($B22=HO$12,$O22,"")</f>
        <v/>
      </c>
      <c r="HP22" s="89" t="str">
        <f aca="false">IF($B22=HP$12,$O22,"")</f>
        <v/>
      </c>
      <c r="HQ22" s="89" t="str">
        <f aca="false">IF($B22=HQ$12,$O22,"")</f>
        <v/>
      </c>
      <c r="HR22" s="90" t="str">
        <f aca="false">IF($B22=HR$12,$O22,"")</f>
        <v/>
      </c>
    </row>
    <row r="23" customFormat="false" ht="10.5" hidden="false" customHeight="true" outlineLevel="0" collapsed="false">
      <c r="A23" s="75"/>
      <c r="B23" s="76"/>
      <c r="C23" s="77" t="str">
        <f aca="false">IF(A23=0,"",VLOOKUP(A23,[3]CO!$A$3:$F$5311,2,0))</f>
        <v/>
      </c>
      <c r="D23" s="78"/>
      <c r="E23" s="78"/>
      <c r="F23" s="78"/>
      <c r="G23" s="79" t="str">
        <f aca="false">IF(A23=0,"",VLOOKUP(A23,[3]CO!$A$3:$F$5311,3,0))</f>
        <v/>
      </c>
      <c r="H23" s="78"/>
      <c r="I23" s="80"/>
      <c r="J23" s="80"/>
      <c r="K23" s="80"/>
      <c r="L23" s="80"/>
      <c r="M23" s="81" t="str">
        <f aca="false">IF(L23=0,"",PRODUCT(I23:L23))</f>
        <v/>
      </c>
      <c r="N23" s="81" t="str">
        <f aca="false">IF(B23=0,"",IF(H23="M",HLOOKUP(B23,$Y$12:$DT$13,2),IF(A23=0,"",VLOOKUP(A23,[3]CO!$A$3:$F$5311,4,0))))</f>
        <v/>
      </c>
      <c r="O23" s="81" t="str">
        <f aca="false">IF(L23=0,"",PRODUCT(M23:N23))</f>
        <v/>
      </c>
      <c r="P23" s="82"/>
      <c r="Q23" s="83" t="str">
        <f aca="false">IF(P23=0,"",(HLOOKUP(P23,$DW$12:$HR$13,2)))</f>
        <v/>
      </c>
      <c r="R23" s="84" t="str">
        <f aca="false">IF(S23=0,"",IF(OR(G23="PEON",G23="OF",G23="JARD",G23="CARP",G23="MAESTRO",G23="SOLD",G23="BGRO",G23="CHOFER",G23="AYTE",G23="S.INTTE.",G23="ASEO",G23="P.PISOS",G23="VELADOR",G23="RESID",G23="PINTOR",G23="ELECT",G23="AZULE",G23="AUX CONT.",G23="SECRETARIA",G23="AUXILIAR ADMTVO.",G23="ARQUITECTO",G23="DIBUJANTE",G23="AUX. DE RESIDENTE"),VLOOKUP(B23,P$14:Q$57,2),"")*S23)</f>
        <v/>
      </c>
      <c r="S23" s="66"/>
      <c r="T23" s="67" t="str">
        <f aca="false">IF(A23=0,"",VLOOKUP(A23,[3]CO!$A$3:$F$5302,5,0))</f>
        <v/>
      </c>
      <c r="U23" s="56" t="n">
        <f aca="false">IF(T23=1,O23*0.1,)</f>
        <v>0</v>
      </c>
      <c r="V23" s="68"/>
      <c r="W23" s="91"/>
      <c r="X23" s="91"/>
      <c r="Y23" s="85" t="str">
        <f aca="false">IF($B23=Y$12,$U23,"")</f>
        <v/>
      </c>
      <c r="Z23" s="86" t="str">
        <f aca="false">IF($B23=Z$12,$U23,"")</f>
        <v/>
      </c>
      <c r="AA23" s="86" t="str">
        <f aca="false">IF($B23=AA$12,$U23,"")</f>
        <v/>
      </c>
      <c r="AB23" s="86" t="str">
        <f aca="false">IF($B23=AB$12,$U23,"")</f>
        <v/>
      </c>
      <c r="AC23" s="86" t="str">
        <f aca="false">IF($B23=AC$12,$U23,"")</f>
        <v/>
      </c>
      <c r="AD23" s="86" t="str">
        <f aca="false">IF($B23=AD$12,$U23,"")</f>
        <v/>
      </c>
      <c r="AE23" s="86" t="str">
        <f aca="false">IF($B23=AE$12,$U23,"")</f>
        <v/>
      </c>
      <c r="AF23" s="86" t="str">
        <f aca="false">IF($B23=AF$12,$U23,"")</f>
        <v/>
      </c>
      <c r="AG23" s="86" t="str">
        <f aca="false">IF($B23=AG$12,$U23,"")</f>
        <v/>
      </c>
      <c r="AH23" s="86" t="str">
        <f aca="false">IF($B23=AH$12,$U23,"")</f>
        <v/>
      </c>
      <c r="AI23" s="86" t="str">
        <f aca="false">IF($B23=AI$12,$U23,"")</f>
        <v/>
      </c>
      <c r="AJ23" s="86" t="str">
        <f aca="false">IF($B23=AJ$12,$U23,"")</f>
        <v/>
      </c>
      <c r="AK23" s="86" t="str">
        <f aca="false">IF($B23=AK$12,$U23,"")</f>
        <v/>
      </c>
      <c r="AL23" s="86" t="str">
        <f aca="false">IF($B23=AL$12,$U23,"")</f>
        <v/>
      </c>
      <c r="AM23" s="86" t="str">
        <f aca="false">IF($B23=AM$12,$U23,"")</f>
        <v/>
      </c>
      <c r="AN23" s="86" t="str">
        <f aca="false">IF($B23=AN$12,$U23,"")</f>
        <v/>
      </c>
      <c r="AO23" s="86" t="str">
        <f aca="false">IF($B23=AO$12,$U23,"")</f>
        <v/>
      </c>
      <c r="AP23" s="86" t="str">
        <f aca="false">IF($B23=AP$12,$U23,"")</f>
        <v/>
      </c>
      <c r="AQ23" s="86" t="str">
        <f aca="false">IF($B23=AQ$12,$U23,"")</f>
        <v/>
      </c>
      <c r="AR23" s="86" t="str">
        <f aca="false">IF($B23=AR$12,$U23,"")</f>
        <v/>
      </c>
      <c r="AS23" s="86" t="str">
        <f aca="false">IF($B23=AS$12,$U23,"")</f>
        <v/>
      </c>
      <c r="AT23" s="86" t="str">
        <f aca="false">IF($B23=AT$12,$U23,"")</f>
        <v/>
      </c>
      <c r="AU23" s="86" t="str">
        <f aca="false">IF($B23=AU$12,$U23,"")</f>
        <v/>
      </c>
      <c r="AV23" s="86" t="str">
        <f aca="false">IF($B23=AV$12,$U23,"")</f>
        <v/>
      </c>
      <c r="AW23" s="86" t="str">
        <f aca="false">IF($B23=AW$12,$U23,"")</f>
        <v/>
      </c>
      <c r="AX23" s="86" t="str">
        <f aca="false">IF($B23=AX$12,$U23,"")</f>
        <v/>
      </c>
      <c r="AY23" s="86" t="str">
        <f aca="false">IF($B23=AY$12,$U23,"")</f>
        <v/>
      </c>
      <c r="AZ23" s="86" t="str">
        <f aca="false">IF($B23=AZ$12,$U23,"")</f>
        <v/>
      </c>
      <c r="BA23" s="86" t="str">
        <f aca="false">IF($B23=BA$12,$U23,"")</f>
        <v/>
      </c>
      <c r="BB23" s="86" t="str">
        <f aca="false">IF($B23=BB$12,$U23,"")</f>
        <v/>
      </c>
      <c r="BC23" s="86" t="str">
        <f aca="false">IF($B23=BC$12,$U23,"")</f>
        <v/>
      </c>
      <c r="BD23" s="86" t="str">
        <f aca="false">IF($B23=BD$12,$U23,"")</f>
        <v/>
      </c>
      <c r="BE23" s="86" t="str">
        <f aca="false">IF($B23=BE$12,$U23,"")</f>
        <v/>
      </c>
      <c r="BF23" s="86" t="str">
        <f aca="false">IF($B23=BF$12,$U23,"")</f>
        <v/>
      </c>
      <c r="BG23" s="86" t="str">
        <f aca="false">IF($B23=BG$12,$U23,"")</f>
        <v/>
      </c>
      <c r="BH23" s="86" t="str">
        <f aca="false">IF($B23=BH$12,$U23,"")</f>
        <v/>
      </c>
      <c r="BI23" s="86" t="str">
        <f aca="false">IF($B23=BI$12,$U23,"")</f>
        <v/>
      </c>
      <c r="BJ23" s="86" t="str">
        <f aca="false">IF($B23=BJ$12,$U23,"")</f>
        <v/>
      </c>
      <c r="BK23" s="86" t="str">
        <f aca="false">IF($B23=BK$12,$U23,"")</f>
        <v/>
      </c>
      <c r="BL23" s="86" t="str">
        <f aca="false">IF($B23=BL$12,$U23,"")</f>
        <v/>
      </c>
      <c r="BM23" s="86" t="str">
        <f aca="false">IF($B23=BM$12,$U23,"")</f>
        <v/>
      </c>
      <c r="BN23" s="86" t="str">
        <f aca="false">IF($B23=BN$12,$U23,"")</f>
        <v/>
      </c>
      <c r="BO23" s="86" t="str">
        <f aca="false">IF($B23=BO$12,$U23,"")</f>
        <v/>
      </c>
      <c r="BP23" s="86" t="str">
        <f aca="false">IF($B23=BP$12,$U23,"")</f>
        <v/>
      </c>
      <c r="BQ23" s="86" t="str">
        <f aca="false">IF($B23=BQ$12,$U23,"")</f>
        <v/>
      </c>
      <c r="BR23" s="86" t="str">
        <f aca="false">IF($B23=BR$12,$U23,"")</f>
        <v/>
      </c>
      <c r="BS23" s="86" t="str">
        <f aca="false">IF($B23=BS$12,$U23,"")</f>
        <v/>
      </c>
      <c r="BT23" s="86" t="str">
        <f aca="false">IF($B23=BT$12,$U23,"")</f>
        <v/>
      </c>
      <c r="BU23" s="86" t="str">
        <f aca="false">IF($B23=BU$12,$U23,"")</f>
        <v/>
      </c>
      <c r="BV23" s="86" t="str">
        <f aca="false">IF($B23=BV$12,$U23,"")</f>
        <v/>
      </c>
      <c r="BW23" s="86" t="str">
        <f aca="false">IF($B23=BW$12,$U23,"")</f>
        <v/>
      </c>
      <c r="BX23" s="86" t="str">
        <f aca="false">IF($B23=BX$12,$U23,"")</f>
        <v/>
      </c>
      <c r="BY23" s="86" t="str">
        <f aca="false">IF($B23=BY$12,$U23,"")</f>
        <v/>
      </c>
      <c r="BZ23" s="86" t="str">
        <f aca="false">IF($B23=BZ$12,$U23,"")</f>
        <v/>
      </c>
      <c r="CA23" s="86" t="str">
        <f aca="false">IF($B23=CA$12,$U23,"")</f>
        <v/>
      </c>
      <c r="CB23" s="86" t="str">
        <f aca="false">IF($B23=CB$12,$U23,"")</f>
        <v/>
      </c>
      <c r="CC23" s="86" t="str">
        <f aca="false">IF($B23=CC$12,$U23,"")</f>
        <v/>
      </c>
      <c r="CD23" s="86" t="str">
        <f aca="false">IF($B23=CD$12,$U23,"")</f>
        <v/>
      </c>
      <c r="CE23" s="86" t="str">
        <f aca="false">IF($B23=CE$12,$U23,"")</f>
        <v/>
      </c>
      <c r="CF23" s="86" t="str">
        <f aca="false">IF($B23=CF$12,$U23,"")</f>
        <v/>
      </c>
      <c r="CG23" s="86" t="str">
        <f aca="false">IF($B23=CG$12,$U23,"")</f>
        <v/>
      </c>
      <c r="CH23" s="86" t="str">
        <f aca="false">IF($B23=CH$12,$U23,"")</f>
        <v/>
      </c>
      <c r="CI23" s="86" t="str">
        <f aca="false">IF($B23=CI$12,$U23,"")</f>
        <v/>
      </c>
      <c r="CJ23" s="86" t="str">
        <f aca="false">IF($B23=CJ$12,$U23,"")</f>
        <v/>
      </c>
      <c r="CK23" s="86" t="str">
        <f aca="false">IF($B23=CK$12,$U23,"")</f>
        <v/>
      </c>
      <c r="CL23" s="86" t="str">
        <f aca="false">IF($B23=CL$12,$U23,"")</f>
        <v/>
      </c>
      <c r="CM23" s="86" t="str">
        <f aca="false">IF($B23=CM$12,$U23,"")</f>
        <v/>
      </c>
      <c r="CN23" s="86" t="str">
        <f aca="false">IF($B23=CN$12,$U23,"")</f>
        <v/>
      </c>
      <c r="CO23" s="86" t="str">
        <f aca="false">IF($B23=CO$12,$U23,"")</f>
        <v/>
      </c>
      <c r="CP23" s="86" t="str">
        <f aca="false">IF($B23=CP$12,$U23,"")</f>
        <v/>
      </c>
      <c r="CQ23" s="86" t="str">
        <f aca="false">IF($B23=CQ$12,$U23,"")</f>
        <v/>
      </c>
      <c r="CR23" s="86" t="str">
        <f aca="false">IF($B23=CR$12,$U23,"")</f>
        <v/>
      </c>
      <c r="CS23" s="86" t="str">
        <f aca="false">IF($B23=CS$12,$U23,"")</f>
        <v/>
      </c>
      <c r="CT23" s="86" t="str">
        <f aca="false">IF($B23=CT$12,$U23,"")</f>
        <v/>
      </c>
      <c r="CU23" s="86" t="str">
        <f aca="false">IF($B23=CU$12,$U23,"")</f>
        <v/>
      </c>
      <c r="CV23" s="86" t="str">
        <f aca="false">IF($B23=CV$12,$U23,"")</f>
        <v/>
      </c>
      <c r="CW23" s="86" t="str">
        <f aca="false">IF($B23=CW$12,$U23,"")</f>
        <v/>
      </c>
      <c r="CX23" s="86" t="str">
        <f aca="false">IF($B23=CX$12,$U23,"")</f>
        <v/>
      </c>
      <c r="CY23" s="86" t="str">
        <f aca="false">IF($B23=CY$12,$U23,"")</f>
        <v/>
      </c>
      <c r="CZ23" s="86" t="str">
        <f aca="false">IF($B23=CZ$12,$U23,"")</f>
        <v/>
      </c>
      <c r="DA23" s="86" t="str">
        <f aca="false">IF($B23=DA$12,$U23,"")</f>
        <v/>
      </c>
      <c r="DB23" s="86" t="str">
        <f aca="false">IF($B23=DB$12,$U23,"")</f>
        <v/>
      </c>
      <c r="DC23" s="86" t="str">
        <f aca="false">IF($B23=DC$12,$U23,"")</f>
        <v/>
      </c>
      <c r="DD23" s="86" t="str">
        <f aca="false">IF($B23=DD$12,$U23,"")</f>
        <v/>
      </c>
      <c r="DE23" s="86" t="str">
        <f aca="false">IF($B23=DE$12,$U23,"")</f>
        <v/>
      </c>
      <c r="DF23" s="86" t="str">
        <f aca="false">IF($B23=DF$12,$U23,"")</f>
        <v/>
      </c>
      <c r="DG23" s="86" t="str">
        <f aca="false">IF($B23=DG$12,$U23,"")</f>
        <v/>
      </c>
      <c r="DH23" s="86" t="str">
        <f aca="false">IF($B23=DH$12,$U23,"")</f>
        <v/>
      </c>
      <c r="DI23" s="86" t="str">
        <f aca="false">IF($B23=DI$12,$U23,"")</f>
        <v/>
      </c>
      <c r="DJ23" s="86" t="str">
        <f aca="false">IF($B23=DJ$12,$U23,"")</f>
        <v/>
      </c>
      <c r="DK23" s="86" t="str">
        <f aca="false">IF($B23=DK$12,$U23,"")</f>
        <v/>
      </c>
      <c r="DL23" s="86" t="str">
        <f aca="false">IF($B23=DL$12,$U23,"")</f>
        <v/>
      </c>
      <c r="DM23" s="86" t="str">
        <f aca="false">IF($B23=DM$12,$U23,"")</f>
        <v/>
      </c>
      <c r="DN23" s="86" t="str">
        <f aca="false">IF($B23=DN$12,$U23,"")</f>
        <v/>
      </c>
      <c r="DO23" s="86" t="str">
        <f aca="false">IF($B23=DO$12,$U23,"")</f>
        <v/>
      </c>
      <c r="DP23" s="86" t="str">
        <f aca="false">IF($B23=DP$12,$U23,"")</f>
        <v/>
      </c>
      <c r="DQ23" s="86" t="str">
        <f aca="false">IF($B23=DQ$12,$U23,"")</f>
        <v/>
      </c>
      <c r="DR23" s="86" t="str">
        <f aca="false">IF($B23=DR$12,$U23,"")</f>
        <v/>
      </c>
      <c r="DS23" s="86" t="str">
        <f aca="false">IF($B23=DS$12,$U23,"")</f>
        <v/>
      </c>
      <c r="DT23" s="87" t="str">
        <f aca="false">IF($B23=DT$12,$U23,"")</f>
        <v/>
      </c>
      <c r="DU23" s="56"/>
      <c r="DV23" s="91"/>
      <c r="DW23" s="88" t="str">
        <f aca="false">IF($B23=DW$12,$O23,"")</f>
        <v/>
      </c>
      <c r="DX23" s="89" t="str">
        <f aca="false">IF($B23=DX$12,$O23,"")</f>
        <v/>
      </c>
      <c r="DY23" s="89" t="str">
        <f aca="false">IF($B23=DY$12,$O23,"")</f>
        <v/>
      </c>
      <c r="DZ23" s="89" t="str">
        <f aca="false">IF($B23=DZ$12,$O23,"")</f>
        <v/>
      </c>
      <c r="EA23" s="89" t="str">
        <f aca="false">IF($B23=EA$12,$O23,"")</f>
        <v/>
      </c>
      <c r="EB23" s="89" t="str">
        <f aca="false">IF($B23=EB$12,$O23,"")</f>
        <v/>
      </c>
      <c r="EC23" s="89" t="str">
        <f aca="false">IF($B23=EC$12,$O23,"")</f>
        <v/>
      </c>
      <c r="ED23" s="89" t="str">
        <f aca="false">IF($B23=ED$12,$O23,"")</f>
        <v/>
      </c>
      <c r="EE23" s="89" t="str">
        <f aca="false">IF($B23=EE$12,$O23,"")</f>
        <v/>
      </c>
      <c r="EF23" s="89" t="str">
        <f aca="false">IF($B23=EF$12,$O23,"")</f>
        <v/>
      </c>
      <c r="EG23" s="89" t="str">
        <f aca="false">IF($B23=EG$12,$O23,"")</f>
        <v/>
      </c>
      <c r="EH23" s="89" t="str">
        <f aca="false">IF($B23=EH$12,$O23,"")</f>
        <v/>
      </c>
      <c r="EI23" s="89" t="str">
        <f aca="false">IF($B23=EI$12,$O23,"")</f>
        <v/>
      </c>
      <c r="EJ23" s="89" t="str">
        <f aca="false">IF($B23=EJ$12,$O23,"")</f>
        <v/>
      </c>
      <c r="EK23" s="89" t="str">
        <f aca="false">IF($B23=EK$12,$O23,"")</f>
        <v/>
      </c>
      <c r="EL23" s="89" t="str">
        <f aca="false">IF($B23=EL$12,$O23,"")</f>
        <v/>
      </c>
      <c r="EM23" s="89" t="str">
        <f aca="false">IF($B23=EM$12,$O23,"")</f>
        <v/>
      </c>
      <c r="EN23" s="89" t="str">
        <f aca="false">IF($B23=EN$12,$O23,"")</f>
        <v/>
      </c>
      <c r="EO23" s="89" t="str">
        <f aca="false">IF($B23=EO$12,$O23,"")</f>
        <v/>
      </c>
      <c r="EP23" s="89" t="str">
        <f aca="false">IF($B23=EP$12,$O23,"")</f>
        <v/>
      </c>
      <c r="EQ23" s="89" t="str">
        <f aca="false">IF($B23=EQ$12,$O23,"")</f>
        <v/>
      </c>
      <c r="ER23" s="89" t="str">
        <f aca="false">IF($B23=ER$12,$O23,"")</f>
        <v/>
      </c>
      <c r="ES23" s="89" t="str">
        <f aca="false">IF($B23=ES$12,$O23,"")</f>
        <v/>
      </c>
      <c r="ET23" s="89" t="str">
        <f aca="false">IF($B23=ET$12,$O23,"")</f>
        <v/>
      </c>
      <c r="EU23" s="89" t="str">
        <f aca="false">IF($B23=EU$12,$O23,"")</f>
        <v/>
      </c>
      <c r="EV23" s="89" t="str">
        <f aca="false">IF($B23=EV$12,$O23,"")</f>
        <v/>
      </c>
      <c r="EW23" s="89" t="str">
        <f aca="false">IF($B23=EW$12,$O23,"")</f>
        <v/>
      </c>
      <c r="EX23" s="89" t="str">
        <f aca="false">IF($B23=EX$12,$O23,"")</f>
        <v/>
      </c>
      <c r="EY23" s="89" t="str">
        <f aca="false">IF($B23=EY$12,$O23,"")</f>
        <v/>
      </c>
      <c r="EZ23" s="89" t="str">
        <f aca="false">IF($B23=EZ$12,$O23,"")</f>
        <v/>
      </c>
      <c r="FA23" s="89" t="str">
        <f aca="false">IF($B23=FA$12,$O23,"")</f>
        <v/>
      </c>
      <c r="FB23" s="89" t="str">
        <f aca="false">IF($B23=FB$12,$O23,"")</f>
        <v/>
      </c>
      <c r="FC23" s="89" t="str">
        <f aca="false">IF($B23=FC$12,$O23,"")</f>
        <v/>
      </c>
      <c r="FD23" s="89" t="str">
        <f aca="false">IF($B23=FD$12,$O23,"")</f>
        <v/>
      </c>
      <c r="FE23" s="89" t="str">
        <f aca="false">IF($B23=FE$12,$O23,"")</f>
        <v/>
      </c>
      <c r="FF23" s="89" t="str">
        <f aca="false">IF($B23=FF$12,$O23,"")</f>
        <v/>
      </c>
      <c r="FG23" s="89" t="str">
        <f aca="false">IF($B23=FG$12,$O23,"")</f>
        <v/>
      </c>
      <c r="FH23" s="89" t="str">
        <f aca="false">IF($B23=FH$12,$O23,"")</f>
        <v/>
      </c>
      <c r="FI23" s="89" t="str">
        <f aca="false">IF($B23=FI$12,$O23,"")</f>
        <v/>
      </c>
      <c r="FJ23" s="89" t="str">
        <f aca="false">IF($B23=FJ$12,$O23,"")</f>
        <v/>
      </c>
      <c r="FK23" s="89" t="str">
        <f aca="false">IF($B23=FK$12,$O23,"")</f>
        <v/>
      </c>
      <c r="FL23" s="89" t="str">
        <f aca="false">IF($B23=FL$12,$O23,"")</f>
        <v/>
      </c>
      <c r="FM23" s="89" t="str">
        <f aca="false">IF($B23=FM$12,$O23,"")</f>
        <v/>
      </c>
      <c r="FN23" s="89" t="str">
        <f aca="false">IF($B23=FN$12,$O23,"")</f>
        <v/>
      </c>
      <c r="FO23" s="89" t="str">
        <f aca="false">IF($B23=FO$12,$O23,"")</f>
        <v/>
      </c>
      <c r="FP23" s="89" t="str">
        <f aca="false">IF($B23=FP$12,$O23,"")</f>
        <v/>
      </c>
      <c r="FQ23" s="89" t="str">
        <f aca="false">IF($B23=FQ$12,$O23,"")</f>
        <v/>
      </c>
      <c r="FR23" s="89" t="str">
        <f aca="false">IF($B23=FR$12,$O23,"")</f>
        <v/>
      </c>
      <c r="FS23" s="89" t="str">
        <f aca="false">IF($B23=FS$12,$O23,"")</f>
        <v/>
      </c>
      <c r="FT23" s="89" t="str">
        <f aca="false">IF($B23=FT$12,$O23,"")</f>
        <v/>
      </c>
      <c r="FU23" s="89" t="str">
        <f aca="false">IF($B23=FU$12,$O23,"")</f>
        <v/>
      </c>
      <c r="FV23" s="89" t="str">
        <f aca="false">IF($B23=FV$12,$O23,"")</f>
        <v/>
      </c>
      <c r="FW23" s="89" t="str">
        <f aca="false">IF($B23=FW$12,$O23,"")</f>
        <v/>
      </c>
      <c r="FX23" s="89" t="str">
        <f aca="false">IF($B23=FX$12,$O23,"")</f>
        <v/>
      </c>
      <c r="FY23" s="89" t="str">
        <f aca="false">IF($B23=FY$12,$O23,"")</f>
        <v/>
      </c>
      <c r="FZ23" s="89" t="str">
        <f aca="false">IF($B23=FZ$12,$O23,"")</f>
        <v/>
      </c>
      <c r="GA23" s="89" t="str">
        <f aca="false">IF($B23=GA$12,$O23,"")</f>
        <v/>
      </c>
      <c r="GB23" s="89" t="str">
        <f aca="false">IF($B23=GB$12,$O23,"")</f>
        <v/>
      </c>
      <c r="GC23" s="89" t="str">
        <f aca="false">IF($B23=GC$12,$O23,"")</f>
        <v/>
      </c>
      <c r="GD23" s="89" t="str">
        <f aca="false">IF($B23=GD$12,$O23,"")</f>
        <v/>
      </c>
      <c r="GE23" s="89" t="str">
        <f aca="false">IF($B23=GE$12,$O23,"")</f>
        <v/>
      </c>
      <c r="GF23" s="89" t="str">
        <f aca="false">IF($B23=GF$12,$O23,"")</f>
        <v/>
      </c>
      <c r="GG23" s="89" t="str">
        <f aca="false">IF($B23=GG$12,$O23,"")</f>
        <v/>
      </c>
      <c r="GH23" s="89" t="str">
        <f aca="false">IF($B23=GH$12,$O23,"")</f>
        <v/>
      </c>
      <c r="GI23" s="89" t="str">
        <f aca="false">IF($B23=GI$12,$O23,"")</f>
        <v/>
      </c>
      <c r="GJ23" s="89" t="str">
        <f aca="false">IF($B23=GJ$12,$O23,"")</f>
        <v/>
      </c>
      <c r="GK23" s="89" t="str">
        <f aca="false">IF($B23=GK$12,$O23,"")</f>
        <v/>
      </c>
      <c r="GL23" s="89" t="str">
        <f aca="false">IF($B23=GL$12,$O23,"")</f>
        <v/>
      </c>
      <c r="GM23" s="89" t="str">
        <f aca="false">IF($B23=GM$12,$O23,"")</f>
        <v/>
      </c>
      <c r="GN23" s="89" t="str">
        <f aca="false">IF($B23=GN$12,$O23,"")</f>
        <v/>
      </c>
      <c r="GO23" s="89" t="str">
        <f aca="false">IF($B23=GO$12,$O23,"")</f>
        <v/>
      </c>
      <c r="GP23" s="89" t="str">
        <f aca="false">IF($B23=GP$12,$O23,"")</f>
        <v/>
      </c>
      <c r="GQ23" s="89" t="str">
        <f aca="false">IF($B23=GQ$12,$O23,"")</f>
        <v/>
      </c>
      <c r="GR23" s="89" t="str">
        <f aca="false">IF($B23=GR$12,$O23,"")</f>
        <v/>
      </c>
      <c r="GS23" s="89" t="str">
        <f aca="false">IF($B23=GS$12,$O23,"")</f>
        <v/>
      </c>
      <c r="GT23" s="89" t="str">
        <f aca="false">IF($B23=GT$12,$O23,"")</f>
        <v/>
      </c>
      <c r="GU23" s="89" t="str">
        <f aca="false">IF($B23=GU$12,$O23,"")</f>
        <v/>
      </c>
      <c r="GV23" s="89" t="str">
        <f aca="false">IF($B23=GV$12,$O23,"")</f>
        <v/>
      </c>
      <c r="GW23" s="89" t="str">
        <f aca="false">IF($B23=GW$12,$O23,"")</f>
        <v/>
      </c>
      <c r="GX23" s="89" t="str">
        <f aca="false">IF($B23=GX$12,$O23,"")</f>
        <v/>
      </c>
      <c r="GY23" s="89" t="str">
        <f aca="false">IF($B23=GY$12,$O23,"")</f>
        <v/>
      </c>
      <c r="GZ23" s="89" t="str">
        <f aca="false">IF($B23=GZ$12,$O23,"")</f>
        <v/>
      </c>
      <c r="HA23" s="89" t="str">
        <f aca="false">IF($B23=HA$12,$O23,"")</f>
        <v/>
      </c>
      <c r="HB23" s="89" t="str">
        <f aca="false">IF($B23=HB$12,$O23,"")</f>
        <v/>
      </c>
      <c r="HC23" s="89" t="str">
        <f aca="false">IF($B23=HC$12,$O23,"")</f>
        <v/>
      </c>
      <c r="HD23" s="89" t="str">
        <f aca="false">IF($B23=HD$12,$O23,"")</f>
        <v/>
      </c>
      <c r="HE23" s="89" t="str">
        <f aca="false">IF($B23=HE$12,$O23,"")</f>
        <v/>
      </c>
      <c r="HF23" s="89" t="str">
        <f aca="false">IF($B23=HF$12,$O23,"")</f>
        <v/>
      </c>
      <c r="HG23" s="89" t="str">
        <f aca="false">IF($B23=HG$12,$O23,"")</f>
        <v/>
      </c>
      <c r="HH23" s="89" t="str">
        <f aca="false">IF($B23=HH$12,$O23,"")</f>
        <v/>
      </c>
      <c r="HI23" s="89" t="str">
        <f aca="false">IF($B23=HI$12,$O23,"")</f>
        <v/>
      </c>
      <c r="HJ23" s="89" t="str">
        <f aca="false">IF($B23=HJ$12,$O23,"")</f>
        <v/>
      </c>
      <c r="HK23" s="89" t="str">
        <f aca="false">IF($B23=HK$12,$O23,"")</f>
        <v/>
      </c>
      <c r="HL23" s="89" t="str">
        <f aca="false">IF($B23=HL$12,$O23,"")</f>
        <v/>
      </c>
      <c r="HM23" s="89" t="str">
        <f aca="false">IF($B23=HM$12,$O23,"")</f>
        <v/>
      </c>
      <c r="HN23" s="89" t="str">
        <f aca="false">IF($B23=HN$12,$O23,"")</f>
        <v/>
      </c>
      <c r="HO23" s="89" t="str">
        <f aca="false">IF($B23=HO$12,$O23,"")</f>
        <v/>
      </c>
      <c r="HP23" s="89" t="str">
        <f aca="false">IF($B23=HP$12,$O23,"")</f>
        <v/>
      </c>
      <c r="HQ23" s="89" t="str">
        <f aca="false">IF($B23=HQ$12,$O23,"")</f>
        <v/>
      </c>
      <c r="HR23" s="90" t="str">
        <f aca="false">IF($B23=HR$12,$O23,"")</f>
        <v/>
      </c>
    </row>
    <row r="24" customFormat="false" ht="10.5" hidden="false" customHeight="true" outlineLevel="0" collapsed="false">
      <c r="A24" s="75"/>
      <c r="B24" s="76"/>
      <c r="C24" s="77" t="str">
        <f aca="false">IF(A24=0,"",VLOOKUP(A24,[3]CO!$A$3:$F$5311,2,0))</f>
        <v/>
      </c>
      <c r="D24" s="78"/>
      <c r="E24" s="78"/>
      <c r="F24" s="78"/>
      <c r="G24" s="79" t="str">
        <f aca="false">IF(A24=0,"",VLOOKUP(A24,[3]CO!$A$3:$F$5311,3,0))</f>
        <v/>
      </c>
      <c r="H24" s="78"/>
      <c r="I24" s="80"/>
      <c r="J24" s="80"/>
      <c r="K24" s="80"/>
      <c r="L24" s="80"/>
      <c r="M24" s="81" t="str">
        <f aca="false">IF(L24=0,"",PRODUCT(I24:L24))</f>
        <v/>
      </c>
      <c r="N24" s="81" t="str">
        <f aca="false">IF(B24=0,"",IF(H24="M",HLOOKUP(B24,$Y$12:$DT$13,2),IF(A24=0,"",VLOOKUP(A24,[3]CO!$A$3:$F$5311,4,0))))</f>
        <v/>
      </c>
      <c r="O24" s="81" t="str">
        <f aca="false">IF(L24=0,"",PRODUCT(M24:N24))</f>
        <v/>
      </c>
      <c r="P24" s="82"/>
      <c r="Q24" s="83" t="str">
        <f aca="false">IF(P24=0,"",(HLOOKUP(P24,$DW$12:$HR$13,2)))</f>
        <v/>
      </c>
      <c r="R24" s="84" t="str">
        <f aca="false">IF(S24=0,"",IF(OR(G24="PEON",G24="OF",G24="JARD",G24="CARP",G24="MAESTRO",G24="SOLD",G24="BGRO",G24="CHOFER",G24="AYTE",G24="S.INTTE.",G24="ASEO",G24="P.PISOS",G24="VELADOR",G24="RESID",G24="PINTOR",G24="ELECT",G24="AZULE",G24="AUX CONT.",G24="SECRETARIA",G24="AUXILIAR ADMTVO.",G24="ARQUITECTO",G24="DIBUJANTE",G24="AUX. DE RESIDENTE"),VLOOKUP(B24,P$14:Q$57,2),"")*S24)</f>
        <v/>
      </c>
      <c r="S24" s="66"/>
      <c r="T24" s="67" t="str">
        <f aca="false">IF(A24=0,"",VLOOKUP(A24,[3]CO!$A$3:$F$5302,5,0))</f>
        <v/>
      </c>
      <c r="U24" s="56" t="n">
        <f aca="false">IF(T24=1,O24*0.1,)</f>
        <v>0</v>
      </c>
      <c r="V24" s="68"/>
      <c r="W24" s="91"/>
      <c r="X24" s="91"/>
      <c r="Y24" s="85" t="str">
        <f aca="false">IF($B24=Y$12,$U24,"")</f>
        <v/>
      </c>
      <c r="Z24" s="86" t="str">
        <f aca="false">IF($B24=Z$12,$U24,"")</f>
        <v/>
      </c>
      <c r="AA24" s="86" t="str">
        <f aca="false">IF($B24=AA$12,$U24,"")</f>
        <v/>
      </c>
      <c r="AB24" s="86" t="str">
        <f aca="false">IF($B24=AB$12,$U24,"")</f>
        <v/>
      </c>
      <c r="AC24" s="86" t="str">
        <f aca="false">IF($B24=AC$12,$U24,"")</f>
        <v/>
      </c>
      <c r="AD24" s="86" t="str">
        <f aca="false">IF($B24=AD$12,$U24,"")</f>
        <v/>
      </c>
      <c r="AE24" s="86" t="str">
        <f aca="false">IF($B24=AE$12,$U24,"")</f>
        <v/>
      </c>
      <c r="AF24" s="86" t="str">
        <f aca="false">IF($B24=AF$12,$U24,"")</f>
        <v/>
      </c>
      <c r="AG24" s="86" t="str">
        <f aca="false">IF($B24=AG$12,$U24,"")</f>
        <v/>
      </c>
      <c r="AH24" s="86" t="str">
        <f aca="false">IF($B24=AH$12,$U24,"")</f>
        <v/>
      </c>
      <c r="AI24" s="86" t="str">
        <f aca="false">IF($B24=AI$12,$U24,"")</f>
        <v/>
      </c>
      <c r="AJ24" s="86" t="str">
        <f aca="false">IF($B24=AJ$12,$U24,"")</f>
        <v/>
      </c>
      <c r="AK24" s="86" t="str">
        <f aca="false">IF($B24=AK$12,$U24,"")</f>
        <v/>
      </c>
      <c r="AL24" s="86" t="str">
        <f aca="false">IF($B24=AL$12,$U24,"")</f>
        <v/>
      </c>
      <c r="AM24" s="86" t="str">
        <f aca="false">IF($B24=AM$12,$U24,"")</f>
        <v/>
      </c>
      <c r="AN24" s="86" t="str">
        <f aca="false">IF($B24=AN$12,$U24,"")</f>
        <v/>
      </c>
      <c r="AO24" s="86" t="str">
        <f aca="false">IF($B24=AO$12,$U24,"")</f>
        <v/>
      </c>
      <c r="AP24" s="86" t="str">
        <f aca="false">IF($B24=AP$12,$U24,"")</f>
        <v/>
      </c>
      <c r="AQ24" s="86" t="str">
        <f aca="false">IF($B24=AQ$12,$U24,"")</f>
        <v/>
      </c>
      <c r="AR24" s="86" t="str">
        <f aca="false">IF($B24=AR$12,$U24,"")</f>
        <v/>
      </c>
      <c r="AS24" s="86" t="str">
        <f aca="false">IF($B24=AS$12,$U24,"")</f>
        <v/>
      </c>
      <c r="AT24" s="86" t="str">
        <f aca="false">IF($B24=AT$12,$U24,"")</f>
        <v/>
      </c>
      <c r="AU24" s="86" t="str">
        <f aca="false">IF($B24=AU$12,$U24,"")</f>
        <v/>
      </c>
      <c r="AV24" s="86" t="str">
        <f aca="false">IF($B24=AV$12,$U24,"")</f>
        <v/>
      </c>
      <c r="AW24" s="86" t="str">
        <f aca="false">IF($B24=AW$12,$U24,"")</f>
        <v/>
      </c>
      <c r="AX24" s="86" t="str">
        <f aca="false">IF($B24=AX$12,$U24,"")</f>
        <v/>
      </c>
      <c r="AY24" s="86" t="str">
        <f aca="false">IF($B24=AY$12,$U24,"")</f>
        <v/>
      </c>
      <c r="AZ24" s="86" t="str">
        <f aca="false">IF($B24=AZ$12,$U24,"")</f>
        <v/>
      </c>
      <c r="BA24" s="86" t="str">
        <f aca="false">IF($B24=BA$12,$U24,"")</f>
        <v/>
      </c>
      <c r="BB24" s="86" t="str">
        <f aca="false">IF($B24=BB$12,$U24,"")</f>
        <v/>
      </c>
      <c r="BC24" s="86" t="str">
        <f aca="false">IF($B24=BC$12,$U24,"")</f>
        <v/>
      </c>
      <c r="BD24" s="86" t="str">
        <f aca="false">IF($B24=BD$12,$U24,"")</f>
        <v/>
      </c>
      <c r="BE24" s="86" t="str">
        <f aca="false">IF($B24=BE$12,$U24,"")</f>
        <v/>
      </c>
      <c r="BF24" s="86" t="str">
        <f aca="false">IF($B24=BF$12,$U24,"")</f>
        <v/>
      </c>
      <c r="BG24" s="86" t="str">
        <f aca="false">IF($B24=BG$12,$U24,"")</f>
        <v/>
      </c>
      <c r="BH24" s="86" t="str">
        <f aca="false">IF($B24=BH$12,$U24,"")</f>
        <v/>
      </c>
      <c r="BI24" s="86" t="str">
        <f aca="false">IF($B24=BI$12,$U24,"")</f>
        <v/>
      </c>
      <c r="BJ24" s="86" t="str">
        <f aca="false">IF($B24=BJ$12,$U24,"")</f>
        <v/>
      </c>
      <c r="BK24" s="86" t="str">
        <f aca="false">IF($B24=BK$12,$U24,"")</f>
        <v/>
      </c>
      <c r="BL24" s="86" t="str">
        <f aca="false">IF($B24=BL$12,$U24,"")</f>
        <v/>
      </c>
      <c r="BM24" s="86" t="str">
        <f aca="false">IF($B24=BM$12,$U24,"")</f>
        <v/>
      </c>
      <c r="BN24" s="86" t="str">
        <f aca="false">IF($B24=BN$12,$U24,"")</f>
        <v/>
      </c>
      <c r="BO24" s="86" t="str">
        <f aca="false">IF($B24=BO$12,$U24,"")</f>
        <v/>
      </c>
      <c r="BP24" s="86" t="str">
        <f aca="false">IF($B24=BP$12,$U24,"")</f>
        <v/>
      </c>
      <c r="BQ24" s="86" t="str">
        <f aca="false">IF($B24=BQ$12,$U24,"")</f>
        <v/>
      </c>
      <c r="BR24" s="86" t="str">
        <f aca="false">IF($B24=BR$12,$U24,"")</f>
        <v/>
      </c>
      <c r="BS24" s="86" t="str">
        <f aca="false">IF($B24=BS$12,$U24,"")</f>
        <v/>
      </c>
      <c r="BT24" s="86" t="str">
        <f aca="false">IF($B24=BT$12,$U24,"")</f>
        <v/>
      </c>
      <c r="BU24" s="86" t="str">
        <f aca="false">IF($B24=BU$12,$U24,"")</f>
        <v/>
      </c>
      <c r="BV24" s="86" t="str">
        <f aca="false">IF($B24=BV$12,$U24,"")</f>
        <v/>
      </c>
      <c r="BW24" s="86" t="str">
        <f aca="false">IF($B24=BW$12,$U24,"")</f>
        <v/>
      </c>
      <c r="BX24" s="86" t="str">
        <f aca="false">IF($B24=BX$12,$U24,"")</f>
        <v/>
      </c>
      <c r="BY24" s="86" t="str">
        <f aca="false">IF($B24=BY$12,$U24,"")</f>
        <v/>
      </c>
      <c r="BZ24" s="86" t="str">
        <f aca="false">IF($B24=BZ$12,$U24,"")</f>
        <v/>
      </c>
      <c r="CA24" s="86" t="str">
        <f aca="false">IF($B24=CA$12,$U24,"")</f>
        <v/>
      </c>
      <c r="CB24" s="86" t="str">
        <f aca="false">IF($B24=CB$12,$U24,"")</f>
        <v/>
      </c>
      <c r="CC24" s="86" t="str">
        <f aca="false">IF($B24=CC$12,$U24,"")</f>
        <v/>
      </c>
      <c r="CD24" s="86" t="str">
        <f aca="false">IF($B24=CD$12,$U24,"")</f>
        <v/>
      </c>
      <c r="CE24" s="86" t="str">
        <f aca="false">IF($B24=CE$12,$U24,"")</f>
        <v/>
      </c>
      <c r="CF24" s="86" t="str">
        <f aca="false">IF($B24=CF$12,$U24,"")</f>
        <v/>
      </c>
      <c r="CG24" s="86" t="str">
        <f aca="false">IF($B24=CG$12,$U24,"")</f>
        <v/>
      </c>
      <c r="CH24" s="86" t="str">
        <f aca="false">IF($B24=CH$12,$U24,"")</f>
        <v/>
      </c>
      <c r="CI24" s="86" t="str">
        <f aca="false">IF($B24=CI$12,$U24,"")</f>
        <v/>
      </c>
      <c r="CJ24" s="86" t="str">
        <f aca="false">IF($B24=CJ$12,$U24,"")</f>
        <v/>
      </c>
      <c r="CK24" s="86" t="str">
        <f aca="false">IF($B24=CK$12,$U24,"")</f>
        <v/>
      </c>
      <c r="CL24" s="86" t="str">
        <f aca="false">IF($B24=CL$12,$U24,"")</f>
        <v/>
      </c>
      <c r="CM24" s="86" t="str">
        <f aca="false">IF($B24=CM$12,$U24,"")</f>
        <v/>
      </c>
      <c r="CN24" s="86" t="str">
        <f aca="false">IF($B24=CN$12,$U24,"")</f>
        <v/>
      </c>
      <c r="CO24" s="86" t="str">
        <f aca="false">IF($B24=CO$12,$U24,"")</f>
        <v/>
      </c>
      <c r="CP24" s="86" t="str">
        <f aca="false">IF($B24=CP$12,$U24,"")</f>
        <v/>
      </c>
      <c r="CQ24" s="86" t="str">
        <f aca="false">IF($B24=CQ$12,$U24,"")</f>
        <v/>
      </c>
      <c r="CR24" s="86" t="str">
        <f aca="false">IF($B24=CR$12,$U24,"")</f>
        <v/>
      </c>
      <c r="CS24" s="86" t="str">
        <f aca="false">IF($B24=CS$12,$U24,"")</f>
        <v/>
      </c>
      <c r="CT24" s="86" t="str">
        <f aca="false">IF($B24=CT$12,$U24,"")</f>
        <v/>
      </c>
      <c r="CU24" s="86" t="str">
        <f aca="false">IF($B24=CU$12,$U24,"")</f>
        <v/>
      </c>
      <c r="CV24" s="86" t="str">
        <f aca="false">IF($B24=CV$12,$U24,"")</f>
        <v/>
      </c>
      <c r="CW24" s="86" t="str">
        <f aca="false">IF($B24=CW$12,$U24,"")</f>
        <v/>
      </c>
      <c r="CX24" s="86" t="str">
        <f aca="false">IF($B24=CX$12,$U24,"")</f>
        <v/>
      </c>
      <c r="CY24" s="86" t="str">
        <f aca="false">IF($B24=CY$12,$U24,"")</f>
        <v/>
      </c>
      <c r="CZ24" s="86" t="str">
        <f aca="false">IF($B24=CZ$12,$U24,"")</f>
        <v/>
      </c>
      <c r="DA24" s="86" t="str">
        <f aca="false">IF($B24=DA$12,$U24,"")</f>
        <v/>
      </c>
      <c r="DB24" s="86" t="str">
        <f aca="false">IF($B24=DB$12,$U24,"")</f>
        <v/>
      </c>
      <c r="DC24" s="86" t="str">
        <f aca="false">IF($B24=DC$12,$U24,"")</f>
        <v/>
      </c>
      <c r="DD24" s="86" t="str">
        <f aca="false">IF($B24=DD$12,$U24,"")</f>
        <v/>
      </c>
      <c r="DE24" s="86" t="str">
        <f aca="false">IF($B24=DE$12,$U24,"")</f>
        <v/>
      </c>
      <c r="DF24" s="86" t="str">
        <f aca="false">IF($B24=DF$12,$U24,"")</f>
        <v/>
      </c>
      <c r="DG24" s="86" t="str">
        <f aca="false">IF($B24=DG$12,$U24,"")</f>
        <v/>
      </c>
      <c r="DH24" s="86" t="str">
        <f aca="false">IF($B24=DH$12,$U24,"")</f>
        <v/>
      </c>
      <c r="DI24" s="86" t="str">
        <f aca="false">IF($B24=DI$12,$U24,"")</f>
        <v/>
      </c>
      <c r="DJ24" s="86" t="str">
        <f aca="false">IF($B24=DJ$12,$U24,"")</f>
        <v/>
      </c>
      <c r="DK24" s="86" t="str">
        <f aca="false">IF($B24=DK$12,$U24,"")</f>
        <v/>
      </c>
      <c r="DL24" s="86" t="str">
        <f aca="false">IF($B24=DL$12,$U24,"")</f>
        <v/>
      </c>
      <c r="DM24" s="86" t="str">
        <f aca="false">IF($B24=DM$12,$U24,"")</f>
        <v/>
      </c>
      <c r="DN24" s="86" t="str">
        <f aca="false">IF($B24=DN$12,$U24,"")</f>
        <v/>
      </c>
      <c r="DO24" s="86" t="str">
        <f aca="false">IF($B24=DO$12,$U24,"")</f>
        <v/>
      </c>
      <c r="DP24" s="86" t="str">
        <f aca="false">IF($B24=DP$12,$U24,"")</f>
        <v/>
      </c>
      <c r="DQ24" s="86" t="str">
        <f aca="false">IF($B24=DQ$12,$U24,"")</f>
        <v/>
      </c>
      <c r="DR24" s="86" t="str">
        <f aca="false">IF($B24=DR$12,$U24,"")</f>
        <v/>
      </c>
      <c r="DS24" s="86" t="str">
        <f aca="false">IF($B24=DS$12,$U24,"")</f>
        <v/>
      </c>
      <c r="DT24" s="87" t="str">
        <f aca="false">IF($B24=DT$12,$U24,"")</f>
        <v/>
      </c>
      <c r="DU24" s="56"/>
      <c r="DV24" s="91"/>
      <c r="DW24" s="88" t="str">
        <f aca="false">IF($B24=DW$12,$O24,"")</f>
        <v/>
      </c>
      <c r="DX24" s="89" t="str">
        <f aca="false">IF($B24=DX$12,$O24,"")</f>
        <v/>
      </c>
      <c r="DY24" s="89" t="str">
        <f aca="false">IF($B24=DY$12,$O24,"")</f>
        <v/>
      </c>
      <c r="DZ24" s="89" t="str">
        <f aca="false">IF($B24=DZ$12,$O24,"")</f>
        <v/>
      </c>
      <c r="EA24" s="89" t="str">
        <f aca="false">IF($B24=EA$12,$O24,"")</f>
        <v/>
      </c>
      <c r="EB24" s="89" t="str">
        <f aca="false">IF($B24=EB$12,$O24,"")</f>
        <v/>
      </c>
      <c r="EC24" s="89" t="str">
        <f aca="false">IF($B24=EC$12,$O24,"")</f>
        <v/>
      </c>
      <c r="ED24" s="89" t="str">
        <f aca="false">IF($B24=ED$12,$O24,"")</f>
        <v/>
      </c>
      <c r="EE24" s="89" t="str">
        <f aca="false">IF($B24=EE$12,$O24,"")</f>
        <v/>
      </c>
      <c r="EF24" s="89" t="str">
        <f aca="false">IF($B24=EF$12,$O24,"")</f>
        <v/>
      </c>
      <c r="EG24" s="89" t="str">
        <f aca="false">IF($B24=EG$12,$O24,"")</f>
        <v/>
      </c>
      <c r="EH24" s="89" t="str">
        <f aca="false">IF($B24=EH$12,$O24,"")</f>
        <v/>
      </c>
      <c r="EI24" s="89" t="str">
        <f aca="false">IF($B24=EI$12,$O24,"")</f>
        <v/>
      </c>
      <c r="EJ24" s="89" t="str">
        <f aca="false">IF($B24=EJ$12,$O24,"")</f>
        <v/>
      </c>
      <c r="EK24" s="89" t="str">
        <f aca="false">IF($B24=EK$12,$O24,"")</f>
        <v/>
      </c>
      <c r="EL24" s="89" t="str">
        <f aca="false">IF($B24=EL$12,$O24,"")</f>
        <v/>
      </c>
      <c r="EM24" s="89" t="str">
        <f aca="false">IF($B24=EM$12,$O24,"")</f>
        <v/>
      </c>
      <c r="EN24" s="89" t="str">
        <f aca="false">IF($B24=EN$12,$O24,"")</f>
        <v/>
      </c>
      <c r="EO24" s="89" t="str">
        <f aca="false">IF($B24=EO$12,$O24,"")</f>
        <v/>
      </c>
      <c r="EP24" s="89" t="str">
        <f aca="false">IF($B24=EP$12,$O24,"")</f>
        <v/>
      </c>
      <c r="EQ24" s="89" t="str">
        <f aca="false">IF($B24=EQ$12,$O24,"")</f>
        <v/>
      </c>
      <c r="ER24" s="89" t="str">
        <f aca="false">IF($B24=ER$12,$O24,"")</f>
        <v/>
      </c>
      <c r="ES24" s="89" t="str">
        <f aca="false">IF($B24=ES$12,$O24,"")</f>
        <v/>
      </c>
      <c r="ET24" s="89" t="str">
        <f aca="false">IF($B24=ET$12,$O24,"")</f>
        <v/>
      </c>
      <c r="EU24" s="89" t="str">
        <f aca="false">IF($B24=EU$12,$O24,"")</f>
        <v/>
      </c>
      <c r="EV24" s="89" t="str">
        <f aca="false">IF($B24=EV$12,$O24,"")</f>
        <v/>
      </c>
      <c r="EW24" s="89" t="str">
        <f aca="false">IF($B24=EW$12,$O24,"")</f>
        <v/>
      </c>
      <c r="EX24" s="89" t="str">
        <f aca="false">IF($B24=EX$12,$O24,"")</f>
        <v/>
      </c>
      <c r="EY24" s="89" t="str">
        <f aca="false">IF($B24=EY$12,$O24,"")</f>
        <v/>
      </c>
      <c r="EZ24" s="89" t="str">
        <f aca="false">IF($B24=EZ$12,$O24,"")</f>
        <v/>
      </c>
      <c r="FA24" s="89" t="str">
        <f aca="false">IF($B24=FA$12,$O24,"")</f>
        <v/>
      </c>
      <c r="FB24" s="89" t="str">
        <f aca="false">IF($B24=FB$12,$O24,"")</f>
        <v/>
      </c>
      <c r="FC24" s="89" t="str">
        <f aca="false">IF($B24=FC$12,$O24,"")</f>
        <v/>
      </c>
      <c r="FD24" s="89" t="str">
        <f aca="false">IF($B24=FD$12,$O24,"")</f>
        <v/>
      </c>
      <c r="FE24" s="89" t="str">
        <f aca="false">IF($B24=FE$12,$O24,"")</f>
        <v/>
      </c>
      <c r="FF24" s="89" t="str">
        <f aca="false">IF($B24=FF$12,$O24,"")</f>
        <v/>
      </c>
      <c r="FG24" s="89" t="str">
        <f aca="false">IF($B24=FG$12,$O24,"")</f>
        <v/>
      </c>
      <c r="FH24" s="89" t="str">
        <f aca="false">IF($B24=FH$12,$O24,"")</f>
        <v/>
      </c>
      <c r="FI24" s="89" t="str">
        <f aca="false">IF($B24=FI$12,$O24,"")</f>
        <v/>
      </c>
      <c r="FJ24" s="89" t="str">
        <f aca="false">IF($B24=FJ$12,$O24,"")</f>
        <v/>
      </c>
      <c r="FK24" s="89" t="str">
        <f aca="false">IF($B24=FK$12,$O24,"")</f>
        <v/>
      </c>
      <c r="FL24" s="89" t="str">
        <f aca="false">IF($B24=FL$12,$O24,"")</f>
        <v/>
      </c>
      <c r="FM24" s="89" t="str">
        <f aca="false">IF($B24=FM$12,$O24,"")</f>
        <v/>
      </c>
      <c r="FN24" s="89" t="str">
        <f aca="false">IF($B24=FN$12,$O24,"")</f>
        <v/>
      </c>
      <c r="FO24" s="89" t="str">
        <f aca="false">IF($B24=FO$12,$O24,"")</f>
        <v/>
      </c>
      <c r="FP24" s="89" t="str">
        <f aca="false">IF($B24=FP$12,$O24,"")</f>
        <v/>
      </c>
      <c r="FQ24" s="89" t="str">
        <f aca="false">IF($B24=FQ$12,$O24,"")</f>
        <v/>
      </c>
      <c r="FR24" s="89" t="str">
        <f aca="false">IF($B24=FR$12,$O24,"")</f>
        <v/>
      </c>
      <c r="FS24" s="89" t="str">
        <f aca="false">IF($B24=FS$12,$O24,"")</f>
        <v/>
      </c>
      <c r="FT24" s="89" t="str">
        <f aca="false">IF($B24=FT$12,$O24,"")</f>
        <v/>
      </c>
      <c r="FU24" s="89" t="str">
        <f aca="false">IF($B24=FU$12,$O24,"")</f>
        <v/>
      </c>
      <c r="FV24" s="89" t="str">
        <f aca="false">IF($B24=FV$12,$O24,"")</f>
        <v/>
      </c>
      <c r="FW24" s="89" t="str">
        <f aca="false">IF($B24=FW$12,$O24,"")</f>
        <v/>
      </c>
      <c r="FX24" s="89" t="str">
        <f aca="false">IF($B24=FX$12,$O24,"")</f>
        <v/>
      </c>
      <c r="FY24" s="89" t="str">
        <f aca="false">IF($B24=FY$12,$O24,"")</f>
        <v/>
      </c>
      <c r="FZ24" s="89" t="str">
        <f aca="false">IF($B24=FZ$12,$O24,"")</f>
        <v/>
      </c>
      <c r="GA24" s="89" t="str">
        <f aca="false">IF($B24=GA$12,$O24,"")</f>
        <v/>
      </c>
      <c r="GB24" s="89" t="str">
        <f aca="false">IF($B24=GB$12,$O24,"")</f>
        <v/>
      </c>
      <c r="GC24" s="89" t="str">
        <f aca="false">IF($B24=GC$12,$O24,"")</f>
        <v/>
      </c>
      <c r="GD24" s="89" t="str">
        <f aca="false">IF($B24=GD$12,$O24,"")</f>
        <v/>
      </c>
      <c r="GE24" s="89" t="str">
        <f aca="false">IF($B24=GE$12,$O24,"")</f>
        <v/>
      </c>
      <c r="GF24" s="89" t="str">
        <f aca="false">IF($B24=GF$12,$O24,"")</f>
        <v/>
      </c>
      <c r="GG24" s="89" t="str">
        <f aca="false">IF($B24=GG$12,$O24,"")</f>
        <v/>
      </c>
      <c r="GH24" s="89" t="str">
        <f aca="false">IF($B24=GH$12,$O24,"")</f>
        <v/>
      </c>
      <c r="GI24" s="89" t="str">
        <f aca="false">IF($B24=GI$12,$O24,"")</f>
        <v/>
      </c>
      <c r="GJ24" s="89" t="str">
        <f aca="false">IF($B24=GJ$12,$O24,"")</f>
        <v/>
      </c>
      <c r="GK24" s="89" t="str">
        <f aca="false">IF($B24=GK$12,$O24,"")</f>
        <v/>
      </c>
      <c r="GL24" s="89" t="str">
        <f aca="false">IF($B24=GL$12,$O24,"")</f>
        <v/>
      </c>
      <c r="GM24" s="89" t="str">
        <f aca="false">IF($B24=GM$12,$O24,"")</f>
        <v/>
      </c>
      <c r="GN24" s="89" t="str">
        <f aca="false">IF($B24=GN$12,$O24,"")</f>
        <v/>
      </c>
      <c r="GO24" s="89" t="str">
        <f aca="false">IF($B24=GO$12,$O24,"")</f>
        <v/>
      </c>
      <c r="GP24" s="89" t="str">
        <f aca="false">IF($B24=GP$12,$O24,"")</f>
        <v/>
      </c>
      <c r="GQ24" s="89" t="str">
        <f aca="false">IF($B24=GQ$12,$O24,"")</f>
        <v/>
      </c>
      <c r="GR24" s="89" t="str">
        <f aca="false">IF($B24=GR$12,$O24,"")</f>
        <v/>
      </c>
      <c r="GS24" s="89" t="str">
        <f aca="false">IF($B24=GS$12,$O24,"")</f>
        <v/>
      </c>
      <c r="GT24" s="89" t="str">
        <f aca="false">IF($B24=GT$12,$O24,"")</f>
        <v/>
      </c>
      <c r="GU24" s="89" t="str">
        <f aca="false">IF($B24=GU$12,$O24,"")</f>
        <v/>
      </c>
      <c r="GV24" s="89" t="str">
        <f aca="false">IF($B24=GV$12,$O24,"")</f>
        <v/>
      </c>
      <c r="GW24" s="89" t="str">
        <f aca="false">IF($B24=GW$12,$O24,"")</f>
        <v/>
      </c>
      <c r="GX24" s="89" t="str">
        <f aca="false">IF($B24=GX$12,$O24,"")</f>
        <v/>
      </c>
      <c r="GY24" s="89" t="str">
        <f aca="false">IF($B24=GY$12,$O24,"")</f>
        <v/>
      </c>
      <c r="GZ24" s="89" t="str">
        <f aca="false">IF($B24=GZ$12,$O24,"")</f>
        <v/>
      </c>
      <c r="HA24" s="89" t="str">
        <f aca="false">IF($B24=HA$12,$O24,"")</f>
        <v/>
      </c>
      <c r="HB24" s="89" t="str">
        <f aca="false">IF($B24=HB$12,$O24,"")</f>
        <v/>
      </c>
      <c r="HC24" s="89" t="str">
        <f aca="false">IF($B24=HC$12,$O24,"")</f>
        <v/>
      </c>
      <c r="HD24" s="89" t="str">
        <f aca="false">IF($B24=HD$12,$O24,"")</f>
        <v/>
      </c>
      <c r="HE24" s="89" t="str">
        <f aca="false">IF($B24=HE$12,$O24,"")</f>
        <v/>
      </c>
      <c r="HF24" s="89" t="str">
        <f aca="false">IF($B24=HF$12,$O24,"")</f>
        <v/>
      </c>
      <c r="HG24" s="89" t="str">
        <f aca="false">IF($B24=HG$12,$O24,"")</f>
        <v/>
      </c>
      <c r="HH24" s="89" t="str">
        <f aca="false">IF($B24=HH$12,$O24,"")</f>
        <v/>
      </c>
      <c r="HI24" s="89" t="str">
        <f aca="false">IF($B24=HI$12,$O24,"")</f>
        <v/>
      </c>
      <c r="HJ24" s="89" t="str">
        <f aca="false">IF($B24=HJ$12,$O24,"")</f>
        <v/>
      </c>
      <c r="HK24" s="89" t="str">
        <f aca="false">IF($B24=HK$12,$O24,"")</f>
        <v/>
      </c>
      <c r="HL24" s="89" t="str">
        <f aca="false">IF($B24=HL$12,$O24,"")</f>
        <v/>
      </c>
      <c r="HM24" s="89" t="str">
        <f aca="false">IF($B24=HM$12,$O24,"")</f>
        <v/>
      </c>
      <c r="HN24" s="89" t="str">
        <f aca="false">IF($B24=HN$12,$O24,"")</f>
        <v/>
      </c>
      <c r="HO24" s="89" t="str">
        <f aca="false">IF($B24=HO$12,$O24,"")</f>
        <v/>
      </c>
      <c r="HP24" s="89" t="str">
        <f aca="false">IF($B24=HP$12,$O24,"")</f>
        <v/>
      </c>
      <c r="HQ24" s="89" t="str">
        <f aca="false">IF($B24=HQ$12,$O24,"")</f>
        <v/>
      </c>
      <c r="HR24" s="90" t="str">
        <f aca="false">IF($B24=HR$12,$O24,"")</f>
        <v/>
      </c>
    </row>
    <row r="25" customFormat="false" ht="10.5" hidden="false" customHeight="true" outlineLevel="0" collapsed="false">
      <c r="A25" s="75"/>
      <c r="B25" s="76"/>
      <c r="C25" s="77" t="str">
        <f aca="false">IF(A25=0,"",VLOOKUP(A25,[3]CO!$A$3:$F$5311,2,0))</f>
        <v/>
      </c>
      <c r="D25" s="78"/>
      <c r="E25" s="78"/>
      <c r="F25" s="78"/>
      <c r="G25" s="79" t="str">
        <f aca="false">IF(A25=0,"",VLOOKUP(A25,[3]CO!$A$3:$F$5311,3,0))</f>
        <v/>
      </c>
      <c r="H25" s="78"/>
      <c r="I25" s="80"/>
      <c r="J25" s="80"/>
      <c r="K25" s="80"/>
      <c r="L25" s="80"/>
      <c r="M25" s="81" t="str">
        <f aca="false">IF(L25=0,"",PRODUCT(I25:L25))</f>
        <v/>
      </c>
      <c r="N25" s="81" t="str">
        <f aca="false">IF(B25=0,"",IF(H25="M",HLOOKUP(B25,$Y$12:$DT$13,2),IF(A25=0,"",VLOOKUP(A25,[3]CO!$A$3:$F$5311,4,0))))</f>
        <v/>
      </c>
      <c r="O25" s="81" t="str">
        <f aca="false">IF(L25=0,"",PRODUCT(M25:N25))</f>
        <v/>
      </c>
      <c r="P25" s="82"/>
      <c r="Q25" s="83" t="str">
        <f aca="false">IF(P25=0,"",(HLOOKUP(P25,$DW$12:$HR$13,2)))</f>
        <v/>
      </c>
      <c r="R25" s="84" t="str">
        <f aca="false">IF(S25=0,"",IF(OR(G25="PEON",G25="OF",G25="JARD",G25="CARP",G25="MAESTRO",G25="SOLD",G25="BGRO",G25="CHOFER",G25="AYTE",G25="S.INTTE.",G25="ASEO",G25="P.PISOS",G25="VELADOR",G25="RESID",G25="PINTOR",G25="ELECT",G25="AZULE",G25="AUX CONT.",G25="SECRETARIA",G25="AUXILIAR ADMTVO.",G25="ARQUITECTO",G25="DIBUJANTE",G25="AUX. DE RESIDENTE"),VLOOKUP(B25,P$14:Q$57,2),"")*S25)</f>
        <v/>
      </c>
      <c r="S25" s="66"/>
      <c r="T25" s="67" t="str">
        <f aca="false">IF(A25=0,"",VLOOKUP(A25,[3]CO!$A$3:$F$5302,5,0))</f>
        <v/>
      </c>
      <c r="U25" s="56" t="n">
        <f aca="false">IF(T25=1,O25*0.1,)</f>
        <v>0</v>
      </c>
      <c r="V25" s="68"/>
      <c r="W25" s="91"/>
      <c r="X25" s="91"/>
      <c r="Y25" s="85" t="str">
        <f aca="false">IF($B25=Y$12,$U25,"")</f>
        <v/>
      </c>
      <c r="Z25" s="86" t="str">
        <f aca="false">IF($B25=Z$12,$U25,"")</f>
        <v/>
      </c>
      <c r="AA25" s="86" t="str">
        <f aca="false">IF($B25=AA$12,$U25,"")</f>
        <v/>
      </c>
      <c r="AB25" s="86" t="str">
        <f aca="false">IF($B25=AB$12,$U25,"")</f>
        <v/>
      </c>
      <c r="AC25" s="86" t="str">
        <f aca="false">IF($B25=AC$12,$U25,"")</f>
        <v/>
      </c>
      <c r="AD25" s="86" t="str">
        <f aca="false">IF($B25=AD$12,$U25,"")</f>
        <v/>
      </c>
      <c r="AE25" s="86" t="str">
        <f aca="false">IF($B25=AE$12,$U25,"")</f>
        <v/>
      </c>
      <c r="AF25" s="86" t="str">
        <f aca="false">IF($B25=AF$12,$U25,"")</f>
        <v/>
      </c>
      <c r="AG25" s="86" t="str">
        <f aca="false">IF($B25=AG$12,$U25,"")</f>
        <v/>
      </c>
      <c r="AH25" s="86" t="str">
        <f aca="false">IF($B25=AH$12,$U25,"")</f>
        <v/>
      </c>
      <c r="AI25" s="86" t="str">
        <f aca="false">IF($B25=AI$12,$U25,"")</f>
        <v/>
      </c>
      <c r="AJ25" s="86" t="str">
        <f aca="false">IF($B25=AJ$12,$U25,"")</f>
        <v/>
      </c>
      <c r="AK25" s="86" t="str">
        <f aca="false">IF($B25=AK$12,$U25,"")</f>
        <v/>
      </c>
      <c r="AL25" s="86" t="str">
        <f aca="false">IF($B25=AL$12,$U25,"")</f>
        <v/>
      </c>
      <c r="AM25" s="86" t="str">
        <f aca="false">IF($B25=AM$12,$U25,"")</f>
        <v/>
      </c>
      <c r="AN25" s="86" t="str">
        <f aca="false">IF($B25=AN$12,$U25,"")</f>
        <v/>
      </c>
      <c r="AO25" s="86" t="str">
        <f aca="false">IF($B25=AO$12,$U25,"")</f>
        <v/>
      </c>
      <c r="AP25" s="86" t="str">
        <f aca="false">IF($B25=AP$12,$U25,"")</f>
        <v/>
      </c>
      <c r="AQ25" s="86" t="str">
        <f aca="false">IF($B25=AQ$12,$U25,"")</f>
        <v/>
      </c>
      <c r="AR25" s="86" t="str">
        <f aca="false">IF($B25=AR$12,$U25,"")</f>
        <v/>
      </c>
      <c r="AS25" s="86" t="str">
        <f aca="false">IF($B25=AS$12,$U25,"")</f>
        <v/>
      </c>
      <c r="AT25" s="86" t="str">
        <f aca="false">IF($B25=AT$12,$U25,"")</f>
        <v/>
      </c>
      <c r="AU25" s="86" t="str">
        <f aca="false">IF($B25=AU$12,$U25,"")</f>
        <v/>
      </c>
      <c r="AV25" s="86" t="str">
        <f aca="false">IF($B25=AV$12,$U25,"")</f>
        <v/>
      </c>
      <c r="AW25" s="86" t="str">
        <f aca="false">IF($B25=AW$12,$U25,"")</f>
        <v/>
      </c>
      <c r="AX25" s="86" t="str">
        <f aca="false">IF($B25=AX$12,$U25,"")</f>
        <v/>
      </c>
      <c r="AY25" s="86" t="str">
        <f aca="false">IF($B25=AY$12,$U25,"")</f>
        <v/>
      </c>
      <c r="AZ25" s="86" t="str">
        <f aca="false">IF($B25=AZ$12,$U25,"")</f>
        <v/>
      </c>
      <c r="BA25" s="86" t="str">
        <f aca="false">IF($B25=BA$12,$U25,"")</f>
        <v/>
      </c>
      <c r="BB25" s="86" t="str">
        <f aca="false">IF($B25=BB$12,$U25,"")</f>
        <v/>
      </c>
      <c r="BC25" s="86" t="str">
        <f aca="false">IF($B25=BC$12,$U25,"")</f>
        <v/>
      </c>
      <c r="BD25" s="86" t="str">
        <f aca="false">IF($B25=BD$12,$U25,"")</f>
        <v/>
      </c>
      <c r="BE25" s="86" t="str">
        <f aca="false">IF($B25=BE$12,$U25,"")</f>
        <v/>
      </c>
      <c r="BF25" s="86" t="str">
        <f aca="false">IF($B25=BF$12,$U25,"")</f>
        <v/>
      </c>
      <c r="BG25" s="86" t="str">
        <f aca="false">IF($B25=BG$12,$U25,"")</f>
        <v/>
      </c>
      <c r="BH25" s="86" t="str">
        <f aca="false">IF($B25=BH$12,$U25,"")</f>
        <v/>
      </c>
      <c r="BI25" s="86" t="str">
        <f aca="false">IF($B25=BI$12,$U25,"")</f>
        <v/>
      </c>
      <c r="BJ25" s="86" t="str">
        <f aca="false">IF($B25=BJ$12,$U25,"")</f>
        <v/>
      </c>
      <c r="BK25" s="86" t="str">
        <f aca="false">IF($B25=BK$12,$U25,"")</f>
        <v/>
      </c>
      <c r="BL25" s="86" t="str">
        <f aca="false">IF($B25=BL$12,$U25,"")</f>
        <v/>
      </c>
      <c r="BM25" s="86" t="str">
        <f aca="false">IF($B25=BM$12,$U25,"")</f>
        <v/>
      </c>
      <c r="BN25" s="86" t="str">
        <f aca="false">IF($B25=BN$12,$U25,"")</f>
        <v/>
      </c>
      <c r="BO25" s="86" t="str">
        <f aca="false">IF($B25=BO$12,$U25,"")</f>
        <v/>
      </c>
      <c r="BP25" s="86" t="str">
        <f aca="false">IF($B25=BP$12,$U25,"")</f>
        <v/>
      </c>
      <c r="BQ25" s="86" t="str">
        <f aca="false">IF($B25=BQ$12,$U25,"")</f>
        <v/>
      </c>
      <c r="BR25" s="86" t="str">
        <f aca="false">IF($B25=BR$12,$U25,"")</f>
        <v/>
      </c>
      <c r="BS25" s="86" t="str">
        <f aca="false">IF($B25=BS$12,$U25,"")</f>
        <v/>
      </c>
      <c r="BT25" s="86" t="str">
        <f aca="false">IF($B25=BT$12,$U25,"")</f>
        <v/>
      </c>
      <c r="BU25" s="86" t="str">
        <f aca="false">IF($B25=BU$12,$U25,"")</f>
        <v/>
      </c>
      <c r="BV25" s="86" t="str">
        <f aca="false">IF($B25=BV$12,$U25,"")</f>
        <v/>
      </c>
      <c r="BW25" s="86" t="str">
        <f aca="false">IF($B25=BW$12,$U25,"")</f>
        <v/>
      </c>
      <c r="BX25" s="86" t="str">
        <f aca="false">IF($B25=BX$12,$U25,"")</f>
        <v/>
      </c>
      <c r="BY25" s="86" t="str">
        <f aca="false">IF($B25=BY$12,$U25,"")</f>
        <v/>
      </c>
      <c r="BZ25" s="86" t="str">
        <f aca="false">IF($B25=BZ$12,$U25,"")</f>
        <v/>
      </c>
      <c r="CA25" s="86" t="str">
        <f aca="false">IF($B25=CA$12,$U25,"")</f>
        <v/>
      </c>
      <c r="CB25" s="86" t="str">
        <f aca="false">IF($B25=CB$12,$U25,"")</f>
        <v/>
      </c>
      <c r="CC25" s="86" t="str">
        <f aca="false">IF($B25=CC$12,$U25,"")</f>
        <v/>
      </c>
      <c r="CD25" s="86" t="str">
        <f aca="false">IF($B25=CD$12,$U25,"")</f>
        <v/>
      </c>
      <c r="CE25" s="86" t="str">
        <f aca="false">IF($B25=CE$12,$U25,"")</f>
        <v/>
      </c>
      <c r="CF25" s="86" t="str">
        <f aca="false">IF($B25=CF$12,$U25,"")</f>
        <v/>
      </c>
      <c r="CG25" s="86" t="str">
        <f aca="false">IF($B25=CG$12,$U25,"")</f>
        <v/>
      </c>
      <c r="CH25" s="86" t="str">
        <f aca="false">IF($B25=CH$12,$U25,"")</f>
        <v/>
      </c>
      <c r="CI25" s="86" t="str">
        <f aca="false">IF($B25=CI$12,$U25,"")</f>
        <v/>
      </c>
      <c r="CJ25" s="86" t="str">
        <f aca="false">IF($B25=CJ$12,$U25,"")</f>
        <v/>
      </c>
      <c r="CK25" s="86" t="str">
        <f aca="false">IF($B25=CK$12,$U25,"")</f>
        <v/>
      </c>
      <c r="CL25" s="86" t="str">
        <f aca="false">IF($B25=CL$12,$U25,"")</f>
        <v/>
      </c>
      <c r="CM25" s="86" t="str">
        <f aca="false">IF($B25=CM$12,$U25,"")</f>
        <v/>
      </c>
      <c r="CN25" s="86" t="str">
        <f aca="false">IF($B25=CN$12,$U25,"")</f>
        <v/>
      </c>
      <c r="CO25" s="86" t="str">
        <f aca="false">IF($B25=CO$12,$U25,"")</f>
        <v/>
      </c>
      <c r="CP25" s="86" t="str">
        <f aca="false">IF($B25=CP$12,$U25,"")</f>
        <v/>
      </c>
      <c r="CQ25" s="86" t="str">
        <f aca="false">IF($B25=CQ$12,$U25,"")</f>
        <v/>
      </c>
      <c r="CR25" s="86" t="str">
        <f aca="false">IF($B25=CR$12,$U25,"")</f>
        <v/>
      </c>
      <c r="CS25" s="86" t="str">
        <f aca="false">IF($B25=CS$12,$U25,"")</f>
        <v/>
      </c>
      <c r="CT25" s="86" t="str">
        <f aca="false">IF($B25=CT$12,$U25,"")</f>
        <v/>
      </c>
      <c r="CU25" s="86" t="str">
        <f aca="false">IF($B25=CU$12,$U25,"")</f>
        <v/>
      </c>
      <c r="CV25" s="86" t="str">
        <f aca="false">IF($B25=CV$12,$U25,"")</f>
        <v/>
      </c>
      <c r="CW25" s="86" t="str">
        <f aca="false">IF($B25=CW$12,$U25,"")</f>
        <v/>
      </c>
      <c r="CX25" s="86" t="str">
        <f aca="false">IF($B25=CX$12,$U25,"")</f>
        <v/>
      </c>
      <c r="CY25" s="86" t="str">
        <f aca="false">IF($B25=CY$12,$U25,"")</f>
        <v/>
      </c>
      <c r="CZ25" s="86" t="str">
        <f aca="false">IF($B25=CZ$12,$U25,"")</f>
        <v/>
      </c>
      <c r="DA25" s="86" t="str">
        <f aca="false">IF($B25=DA$12,$U25,"")</f>
        <v/>
      </c>
      <c r="DB25" s="86" t="str">
        <f aca="false">IF($B25=DB$12,$U25,"")</f>
        <v/>
      </c>
      <c r="DC25" s="86" t="str">
        <f aca="false">IF($B25=DC$12,$U25,"")</f>
        <v/>
      </c>
      <c r="DD25" s="86" t="str">
        <f aca="false">IF($B25=DD$12,$U25,"")</f>
        <v/>
      </c>
      <c r="DE25" s="86" t="str">
        <f aca="false">IF($B25=DE$12,$U25,"")</f>
        <v/>
      </c>
      <c r="DF25" s="86" t="str">
        <f aca="false">IF($B25=DF$12,$U25,"")</f>
        <v/>
      </c>
      <c r="DG25" s="86" t="str">
        <f aca="false">IF($B25=DG$12,$U25,"")</f>
        <v/>
      </c>
      <c r="DH25" s="86" t="str">
        <f aca="false">IF($B25=DH$12,$U25,"")</f>
        <v/>
      </c>
      <c r="DI25" s="86" t="str">
        <f aca="false">IF($B25=DI$12,$U25,"")</f>
        <v/>
      </c>
      <c r="DJ25" s="86" t="str">
        <f aca="false">IF($B25=DJ$12,$U25,"")</f>
        <v/>
      </c>
      <c r="DK25" s="86" t="str">
        <f aca="false">IF($B25=DK$12,$U25,"")</f>
        <v/>
      </c>
      <c r="DL25" s="86" t="str">
        <f aca="false">IF($B25=DL$12,$U25,"")</f>
        <v/>
      </c>
      <c r="DM25" s="86" t="str">
        <f aca="false">IF($B25=DM$12,$U25,"")</f>
        <v/>
      </c>
      <c r="DN25" s="86" t="str">
        <f aca="false">IF($B25=DN$12,$U25,"")</f>
        <v/>
      </c>
      <c r="DO25" s="86" t="str">
        <f aca="false">IF($B25=DO$12,$U25,"")</f>
        <v/>
      </c>
      <c r="DP25" s="86" t="str">
        <f aca="false">IF($B25=DP$12,$U25,"")</f>
        <v/>
      </c>
      <c r="DQ25" s="86" t="str">
        <f aca="false">IF($B25=DQ$12,$U25,"")</f>
        <v/>
      </c>
      <c r="DR25" s="86" t="str">
        <f aca="false">IF($B25=DR$12,$U25,"")</f>
        <v/>
      </c>
      <c r="DS25" s="86" t="str">
        <f aca="false">IF($B25=DS$12,$U25,"")</f>
        <v/>
      </c>
      <c r="DT25" s="87" t="str">
        <f aca="false">IF($B25=DT$12,$U25,"")</f>
        <v/>
      </c>
      <c r="DU25" s="56"/>
      <c r="DV25" s="91"/>
      <c r="DW25" s="88" t="str">
        <f aca="false">IF($B25=DW$12,$O25,"")</f>
        <v/>
      </c>
      <c r="DX25" s="89" t="str">
        <f aca="false">IF($B25=DX$12,$O25,"")</f>
        <v/>
      </c>
      <c r="DY25" s="89" t="str">
        <f aca="false">IF($B25=DY$12,$O25,"")</f>
        <v/>
      </c>
      <c r="DZ25" s="89" t="str">
        <f aca="false">IF($B25=DZ$12,$O25,"")</f>
        <v/>
      </c>
      <c r="EA25" s="89" t="str">
        <f aca="false">IF($B25=EA$12,$O25,"")</f>
        <v/>
      </c>
      <c r="EB25" s="89" t="str">
        <f aca="false">IF($B25=EB$12,$O25,"")</f>
        <v/>
      </c>
      <c r="EC25" s="89" t="str">
        <f aca="false">IF($B25=EC$12,$O25,"")</f>
        <v/>
      </c>
      <c r="ED25" s="89" t="str">
        <f aca="false">IF($B25=ED$12,$O25,"")</f>
        <v/>
      </c>
      <c r="EE25" s="89" t="str">
        <f aca="false">IF($B25=EE$12,$O25,"")</f>
        <v/>
      </c>
      <c r="EF25" s="89" t="str">
        <f aca="false">IF($B25=EF$12,$O25,"")</f>
        <v/>
      </c>
      <c r="EG25" s="89" t="str">
        <f aca="false">IF($B25=EG$12,$O25,"")</f>
        <v/>
      </c>
      <c r="EH25" s="89" t="str">
        <f aca="false">IF($B25=EH$12,$O25,"")</f>
        <v/>
      </c>
      <c r="EI25" s="89" t="str">
        <f aca="false">IF($B25=EI$12,$O25,"")</f>
        <v/>
      </c>
      <c r="EJ25" s="89" t="str">
        <f aca="false">IF($B25=EJ$12,$O25,"")</f>
        <v/>
      </c>
      <c r="EK25" s="89" t="str">
        <f aca="false">IF($B25=EK$12,$O25,"")</f>
        <v/>
      </c>
      <c r="EL25" s="89" t="str">
        <f aca="false">IF($B25=EL$12,$O25,"")</f>
        <v/>
      </c>
      <c r="EM25" s="89" t="str">
        <f aca="false">IF($B25=EM$12,$O25,"")</f>
        <v/>
      </c>
      <c r="EN25" s="89" t="str">
        <f aca="false">IF($B25=EN$12,$O25,"")</f>
        <v/>
      </c>
      <c r="EO25" s="89" t="str">
        <f aca="false">IF($B25=EO$12,$O25,"")</f>
        <v/>
      </c>
      <c r="EP25" s="89" t="str">
        <f aca="false">IF($B25=EP$12,$O25,"")</f>
        <v/>
      </c>
      <c r="EQ25" s="89" t="str">
        <f aca="false">IF($B25=EQ$12,$O25,"")</f>
        <v/>
      </c>
      <c r="ER25" s="89" t="str">
        <f aca="false">IF($B25=ER$12,$O25,"")</f>
        <v/>
      </c>
      <c r="ES25" s="89" t="str">
        <f aca="false">IF($B25=ES$12,$O25,"")</f>
        <v/>
      </c>
      <c r="ET25" s="89" t="str">
        <f aca="false">IF($B25=ET$12,$O25,"")</f>
        <v/>
      </c>
      <c r="EU25" s="89" t="str">
        <f aca="false">IF($B25=EU$12,$O25,"")</f>
        <v/>
      </c>
      <c r="EV25" s="89" t="str">
        <f aca="false">IF($B25=EV$12,$O25,"")</f>
        <v/>
      </c>
      <c r="EW25" s="89" t="str">
        <f aca="false">IF($B25=EW$12,$O25,"")</f>
        <v/>
      </c>
      <c r="EX25" s="89" t="str">
        <f aca="false">IF($B25=EX$12,$O25,"")</f>
        <v/>
      </c>
      <c r="EY25" s="89" t="str">
        <f aca="false">IF($B25=EY$12,$O25,"")</f>
        <v/>
      </c>
      <c r="EZ25" s="89" t="str">
        <f aca="false">IF($B25=EZ$12,$O25,"")</f>
        <v/>
      </c>
      <c r="FA25" s="89" t="str">
        <f aca="false">IF($B25=FA$12,$O25,"")</f>
        <v/>
      </c>
      <c r="FB25" s="89" t="str">
        <f aca="false">IF($B25=FB$12,$O25,"")</f>
        <v/>
      </c>
      <c r="FC25" s="89" t="str">
        <f aca="false">IF($B25=FC$12,$O25,"")</f>
        <v/>
      </c>
      <c r="FD25" s="89" t="str">
        <f aca="false">IF($B25=FD$12,$O25,"")</f>
        <v/>
      </c>
      <c r="FE25" s="89" t="str">
        <f aca="false">IF($B25=FE$12,$O25,"")</f>
        <v/>
      </c>
      <c r="FF25" s="89" t="str">
        <f aca="false">IF($B25=FF$12,$O25,"")</f>
        <v/>
      </c>
      <c r="FG25" s="89" t="str">
        <f aca="false">IF($B25=FG$12,$O25,"")</f>
        <v/>
      </c>
      <c r="FH25" s="89" t="str">
        <f aca="false">IF($B25=FH$12,$O25,"")</f>
        <v/>
      </c>
      <c r="FI25" s="89" t="str">
        <f aca="false">IF($B25=FI$12,$O25,"")</f>
        <v/>
      </c>
      <c r="FJ25" s="89" t="str">
        <f aca="false">IF($B25=FJ$12,$O25,"")</f>
        <v/>
      </c>
      <c r="FK25" s="89" t="str">
        <f aca="false">IF($B25=FK$12,$O25,"")</f>
        <v/>
      </c>
      <c r="FL25" s="89" t="str">
        <f aca="false">IF($B25=FL$12,$O25,"")</f>
        <v/>
      </c>
      <c r="FM25" s="89" t="str">
        <f aca="false">IF($B25=FM$12,$O25,"")</f>
        <v/>
      </c>
      <c r="FN25" s="89" t="str">
        <f aca="false">IF($B25=FN$12,$O25,"")</f>
        <v/>
      </c>
      <c r="FO25" s="89" t="str">
        <f aca="false">IF($B25=FO$12,$O25,"")</f>
        <v/>
      </c>
      <c r="FP25" s="89" t="str">
        <f aca="false">IF($B25=FP$12,$O25,"")</f>
        <v/>
      </c>
      <c r="FQ25" s="89" t="str">
        <f aca="false">IF($B25=FQ$12,$O25,"")</f>
        <v/>
      </c>
      <c r="FR25" s="89" t="str">
        <f aca="false">IF($B25=FR$12,$O25,"")</f>
        <v/>
      </c>
      <c r="FS25" s="89" t="str">
        <f aca="false">IF($B25=FS$12,$O25,"")</f>
        <v/>
      </c>
      <c r="FT25" s="89" t="str">
        <f aca="false">IF($B25=FT$12,$O25,"")</f>
        <v/>
      </c>
      <c r="FU25" s="89" t="str">
        <f aca="false">IF($B25=FU$12,$O25,"")</f>
        <v/>
      </c>
      <c r="FV25" s="89" t="str">
        <f aca="false">IF($B25=FV$12,$O25,"")</f>
        <v/>
      </c>
      <c r="FW25" s="89" t="str">
        <f aca="false">IF($B25=FW$12,$O25,"")</f>
        <v/>
      </c>
      <c r="FX25" s="89" t="str">
        <f aca="false">IF($B25=FX$12,$O25,"")</f>
        <v/>
      </c>
      <c r="FY25" s="89" t="str">
        <f aca="false">IF($B25=FY$12,$O25,"")</f>
        <v/>
      </c>
      <c r="FZ25" s="89" t="str">
        <f aca="false">IF($B25=FZ$12,$O25,"")</f>
        <v/>
      </c>
      <c r="GA25" s="89" t="str">
        <f aca="false">IF($B25=GA$12,$O25,"")</f>
        <v/>
      </c>
      <c r="GB25" s="89" t="str">
        <f aca="false">IF($B25=GB$12,$O25,"")</f>
        <v/>
      </c>
      <c r="GC25" s="89" t="str">
        <f aca="false">IF($B25=GC$12,$O25,"")</f>
        <v/>
      </c>
      <c r="GD25" s="89" t="str">
        <f aca="false">IF($B25=GD$12,$O25,"")</f>
        <v/>
      </c>
      <c r="GE25" s="89" t="str">
        <f aca="false">IF($B25=GE$12,$O25,"")</f>
        <v/>
      </c>
      <c r="GF25" s="89" t="str">
        <f aca="false">IF($B25=GF$12,$O25,"")</f>
        <v/>
      </c>
      <c r="GG25" s="89" t="str">
        <f aca="false">IF($B25=GG$12,$O25,"")</f>
        <v/>
      </c>
      <c r="GH25" s="89" t="str">
        <f aca="false">IF($B25=GH$12,$O25,"")</f>
        <v/>
      </c>
      <c r="GI25" s="89" t="str">
        <f aca="false">IF($B25=GI$12,$O25,"")</f>
        <v/>
      </c>
      <c r="GJ25" s="89" t="str">
        <f aca="false">IF($B25=GJ$12,$O25,"")</f>
        <v/>
      </c>
      <c r="GK25" s="89" t="str">
        <f aca="false">IF($B25=GK$12,$O25,"")</f>
        <v/>
      </c>
      <c r="GL25" s="89" t="str">
        <f aca="false">IF($B25=GL$12,$O25,"")</f>
        <v/>
      </c>
      <c r="GM25" s="89" t="str">
        <f aca="false">IF($B25=GM$12,$O25,"")</f>
        <v/>
      </c>
      <c r="GN25" s="89" t="str">
        <f aca="false">IF($B25=GN$12,$O25,"")</f>
        <v/>
      </c>
      <c r="GO25" s="89" t="str">
        <f aca="false">IF($B25=GO$12,$O25,"")</f>
        <v/>
      </c>
      <c r="GP25" s="89" t="str">
        <f aca="false">IF($B25=GP$12,$O25,"")</f>
        <v/>
      </c>
      <c r="GQ25" s="89" t="str">
        <f aca="false">IF($B25=GQ$12,$O25,"")</f>
        <v/>
      </c>
      <c r="GR25" s="89" t="str">
        <f aca="false">IF($B25=GR$12,$O25,"")</f>
        <v/>
      </c>
      <c r="GS25" s="89" t="str">
        <f aca="false">IF($B25=GS$12,$O25,"")</f>
        <v/>
      </c>
      <c r="GT25" s="89" t="str">
        <f aca="false">IF($B25=GT$12,$O25,"")</f>
        <v/>
      </c>
      <c r="GU25" s="89" t="str">
        <f aca="false">IF($B25=GU$12,$O25,"")</f>
        <v/>
      </c>
      <c r="GV25" s="89" t="str">
        <f aca="false">IF($B25=GV$12,$O25,"")</f>
        <v/>
      </c>
      <c r="GW25" s="89" t="str">
        <f aca="false">IF($B25=GW$12,$O25,"")</f>
        <v/>
      </c>
      <c r="GX25" s="89" t="str">
        <f aca="false">IF($B25=GX$12,$O25,"")</f>
        <v/>
      </c>
      <c r="GY25" s="89" t="str">
        <f aca="false">IF($B25=GY$12,$O25,"")</f>
        <v/>
      </c>
      <c r="GZ25" s="89" t="str">
        <f aca="false">IF($B25=GZ$12,$O25,"")</f>
        <v/>
      </c>
      <c r="HA25" s="89" t="str">
        <f aca="false">IF($B25=HA$12,$O25,"")</f>
        <v/>
      </c>
      <c r="HB25" s="89" t="str">
        <f aca="false">IF($B25=HB$12,$O25,"")</f>
        <v/>
      </c>
      <c r="HC25" s="89" t="str">
        <f aca="false">IF($B25=HC$12,$O25,"")</f>
        <v/>
      </c>
      <c r="HD25" s="89" t="str">
        <f aca="false">IF($B25=HD$12,$O25,"")</f>
        <v/>
      </c>
      <c r="HE25" s="89" t="str">
        <f aca="false">IF($B25=HE$12,$O25,"")</f>
        <v/>
      </c>
      <c r="HF25" s="89" t="str">
        <f aca="false">IF($B25=HF$12,$O25,"")</f>
        <v/>
      </c>
      <c r="HG25" s="89" t="str">
        <f aca="false">IF($B25=HG$12,$O25,"")</f>
        <v/>
      </c>
      <c r="HH25" s="89" t="str">
        <f aca="false">IF($B25=HH$12,$O25,"")</f>
        <v/>
      </c>
      <c r="HI25" s="89" t="str">
        <f aca="false">IF($B25=HI$12,$O25,"")</f>
        <v/>
      </c>
      <c r="HJ25" s="89" t="str">
        <f aca="false">IF($B25=HJ$12,$O25,"")</f>
        <v/>
      </c>
      <c r="HK25" s="89" t="str">
        <f aca="false">IF($B25=HK$12,$O25,"")</f>
        <v/>
      </c>
      <c r="HL25" s="89" t="str">
        <f aca="false">IF($B25=HL$12,$O25,"")</f>
        <v/>
      </c>
      <c r="HM25" s="89" t="str">
        <f aca="false">IF($B25=HM$12,$O25,"")</f>
        <v/>
      </c>
      <c r="HN25" s="89" t="str">
        <f aca="false">IF($B25=HN$12,$O25,"")</f>
        <v/>
      </c>
      <c r="HO25" s="89" t="str">
        <f aca="false">IF($B25=HO$12,$O25,"")</f>
        <v/>
      </c>
      <c r="HP25" s="89" t="str">
        <f aca="false">IF($B25=HP$12,$O25,"")</f>
        <v/>
      </c>
      <c r="HQ25" s="89" t="str">
        <f aca="false">IF($B25=HQ$12,$O25,"")</f>
        <v/>
      </c>
      <c r="HR25" s="90" t="str">
        <f aca="false">IF($B25=HR$12,$O25,"")</f>
        <v/>
      </c>
    </row>
    <row r="26" customFormat="false" ht="10.5" hidden="false" customHeight="true" outlineLevel="0" collapsed="false">
      <c r="A26" s="75"/>
      <c r="B26" s="76"/>
      <c r="C26" s="77" t="str">
        <f aca="false">IF(A26=0,"",VLOOKUP(A26,[3]CO!$A$3:$F$5311,2,0))</f>
        <v/>
      </c>
      <c r="D26" s="78"/>
      <c r="E26" s="78"/>
      <c r="F26" s="78"/>
      <c r="G26" s="79" t="str">
        <f aca="false">IF(A26=0,"",VLOOKUP(A26,[3]CO!$A$3:$F$5311,3,0))</f>
        <v/>
      </c>
      <c r="H26" s="78"/>
      <c r="I26" s="80"/>
      <c r="J26" s="80"/>
      <c r="K26" s="80"/>
      <c r="L26" s="80"/>
      <c r="M26" s="81" t="str">
        <f aca="false">IF(L26=0,"",PRODUCT(I26:L26))</f>
        <v/>
      </c>
      <c r="N26" s="81" t="str">
        <f aca="false">IF(B26=0,"",IF(H26="M",HLOOKUP(B26,$Y$12:$DT$13,2),IF(A26=0,"",VLOOKUP(A26,[3]CO!$A$3:$F$5311,4,0))))</f>
        <v/>
      </c>
      <c r="O26" s="81" t="str">
        <f aca="false">IF(L26=0,"",PRODUCT(M26:N26))</f>
        <v/>
      </c>
      <c r="P26" s="82"/>
      <c r="Q26" s="83" t="str">
        <f aca="false">IF(P26=0,"",(HLOOKUP(P26,$DW$12:$HR$13,2)))</f>
        <v/>
      </c>
      <c r="R26" s="84" t="str">
        <f aca="false">IF(S26=0,"",IF(OR(G26="PEON",G26="OF",G26="JARD",G26="CARP",G26="MAESTRO",G26="SOLD",G26="BGRO",G26="CHOFER",G26="AYTE",G26="S.INTTE.",G26="ASEO",G26="P.PISOS",G26="VELADOR",G26="RESID",G26="PINTOR",G26="ELECT",G26="AZULE",G26="AUX CONT.",G26="SECRETARIA",G26="AUXILIAR ADMTVO.",G26="ARQUITECTO",G26="DIBUJANTE",G26="AUX. DE RESIDENTE"),VLOOKUP(B26,P$14:Q$57,2),"")*S26)</f>
        <v/>
      </c>
      <c r="S26" s="66"/>
      <c r="T26" s="67" t="str">
        <f aca="false">IF(A26=0,"",VLOOKUP(A26,[3]CO!$A$3:$F$5302,5,0))</f>
        <v/>
      </c>
      <c r="U26" s="56" t="n">
        <f aca="false">IF(T26=1,O26*0.1,)</f>
        <v>0</v>
      </c>
      <c r="V26" s="68"/>
      <c r="W26" s="91"/>
      <c r="X26" s="91"/>
      <c r="Y26" s="85" t="str">
        <f aca="false">IF($B26=Y$12,$U26,"")</f>
        <v/>
      </c>
      <c r="Z26" s="86" t="str">
        <f aca="false">IF($B26=Z$12,$U26,"")</f>
        <v/>
      </c>
      <c r="AA26" s="86" t="str">
        <f aca="false">IF($B26=AA$12,$U26,"")</f>
        <v/>
      </c>
      <c r="AB26" s="86" t="str">
        <f aca="false">IF($B26=AB$12,$U26,"")</f>
        <v/>
      </c>
      <c r="AC26" s="86" t="str">
        <f aca="false">IF($B26=AC$12,$U26,"")</f>
        <v/>
      </c>
      <c r="AD26" s="86" t="str">
        <f aca="false">IF($B26=AD$12,$U26,"")</f>
        <v/>
      </c>
      <c r="AE26" s="86" t="str">
        <f aca="false">IF($B26=AE$12,$U26,"")</f>
        <v/>
      </c>
      <c r="AF26" s="86" t="str">
        <f aca="false">IF($B26=AF$12,$U26,"")</f>
        <v/>
      </c>
      <c r="AG26" s="86" t="str">
        <f aca="false">IF($B26=AG$12,$U26,"")</f>
        <v/>
      </c>
      <c r="AH26" s="86" t="str">
        <f aca="false">IF($B26=AH$12,$U26,"")</f>
        <v/>
      </c>
      <c r="AI26" s="86" t="str">
        <f aca="false">IF($B26=AI$12,$U26,"")</f>
        <v/>
      </c>
      <c r="AJ26" s="86" t="str">
        <f aca="false">IF($B26=AJ$12,$U26,"")</f>
        <v/>
      </c>
      <c r="AK26" s="86" t="str">
        <f aca="false">IF($B26=AK$12,$U26,"")</f>
        <v/>
      </c>
      <c r="AL26" s="86" t="str">
        <f aca="false">IF($B26=AL$12,$U26,"")</f>
        <v/>
      </c>
      <c r="AM26" s="86" t="str">
        <f aca="false">IF($B26=AM$12,$U26,"")</f>
        <v/>
      </c>
      <c r="AN26" s="86" t="str">
        <f aca="false">IF($B26=AN$12,$U26,"")</f>
        <v/>
      </c>
      <c r="AO26" s="86" t="str">
        <f aca="false">IF($B26=AO$12,$U26,"")</f>
        <v/>
      </c>
      <c r="AP26" s="86" t="str">
        <f aca="false">IF($B26=AP$12,$U26,"")</f>
        <v/>
      </c>
      <c r="AQ26" s="86" t="str">
        <f aca="false">IF($B26=AQ$12,$U26,"")</f>
        <v/>
      </c>
      <c r="AR26" s="86" t="str">
        <f aca="false">IF($B26=AR$12,$U26,"")</f>
        <v/>
      </c>
      <c r="AS26" s="86" t="str">
        <f aca="false">IF($B26=AS$12,$U26,"")</f>
        <v/>
      </c>
      <c r="AT26" s="86" t="str">
        <f aca="false">IF($B26=AT$12,$U26,"")</f>
        <v/>
      </c>
      <c r="AU26" s="86" t="str">
        <f aca="false">IF($B26=AU$12,$U26,"")</f>
        <v/>
      </c>
      <c r="AV26" s="86" t="str">
        <f aca="false">IF($B26=AV$12,$U26,"")</f>
        <v/>
      </c>
      <c r="AW26" s="86" t="str">
        <f aca="false">IF($B26=AW$12,$U26,"")</f>
        <v/>
      </c>
      <c r="AX26" s="86" t="str">
        <f aca="false">IF($B26=AX$12,$U26,"")</f>
        <v/>
      </c>
      <c r="AY26" s="86" t="str">
        <f aca="false">IF($B26=AY$12,$U26,"")</f>
        <v/>
      </c>
      <c r="AZ26" s="86" t="str">
        <f aca="false">IF($B26=AZ$12,$U26,"")</f>
        <v/>
      </c>
      <c r="BA26" s="86" t="str">
        <f aca="false">IF($B26=BA$12,$U26,"")</f>
        <v/>
      </c>
      <c r="BB26" s="86" t="str">
        <f aca="false">IF($B26=BB$12,$U26,"")</f>
        <v/>
      </c>
      <c r="BC26" s="86" t="str">
        <f aca="false">IF($B26=BC$12,$U26,"")</f>
        <v/>
      </c>
      <c r="BD26" s="86" t="str">
        <f aca="false">IF($B26=BD$12,$U26,"")</f>
        <v/>
      </c>
      <c r="BE26" s="86" t="str">
        <f aca="false">IF($B26=BE$12,$U26,"")</f>
        <v/>
      </c>
      <c r="BF26" s="86" t="str">
        <f aca="false">IF($B26=BF$12,$U26,"")</f>
        <v/>
      </c>
      <c r="BG26" s="86" t="str">
        <f aca="false">IF($B26=BG$12,$U26,"")</f>
        <v/>
      </c>
      <c r="BH26" s="86" t="str">
        <f aca="false">IF($B26=BH$12,$U26,"")</f>
        <v/>
      </c>
      <c r="BI26" s="86" t="str">
        <f aca="false">IF($B26=BI$12,$U26,"")</f>
        <v/>
      </c>
      <c r="BJ26" s="86" t="str">
        <f aca="false">IF($B26=BJ$12,$U26,"")</f>
        <v/>
      </c>
      <c r="BK26" s="86" t="str">
        <f aca="false">IF($B26=BK$12,$U26,"")</f>
        <v/>
      </c>
      <c r="BL26" s="86" t="str">
        <f aca="false">IF($B26=BL$12,$U26,"")</f>
        <v/>
      </c>
      <c r="BM26" s="86" t="str">
        <f aca="false">IF($B26=BM$12,$U26,"")</f>
        <v/>
      </c>
      <c r="BN26" s="86" t="str">
        <f aca="false">IF($B26=BN$12,$U26,"")</f>
        <v/>
      </c>
      <c r="BO26" s="86" t="str">
        <f aca="false">IF($B26=BO$12,$U26,"")</f>
        <v/>
      </c>
      <c r="BP26" s="86" t="str">
        <f aca="false">IF($B26=BP$12,$U26,"")</f>
        <v/>
      </c>
      <c r="BQ26" s="86" t="str">
        <f aca="false">IF($B26=BQ$12,$U26,"")</f>
        <v/>
      </c>
      <c r="BR26" s="86" t="str">
        <f aca="false">IF($B26=BR$12,$U26,"")</f>
        <v/>
      </c>
      <c r="BS26" s="86" t="str">
        <f aca="false">IF($B26=BS$12,$U26,"")</f>
        <v/>
      </c>
      <c r="BT26" s="86" t="str">
        <f aca="false">IF($B26=BT$12,$U26,"")</f>
        <v/>
      </c>
      <c r="BU26" s="86" t="str">
        <f aca="false">IF($B26=BU$12,$U26,"")</f>
        <v/>
      </c>
      <c r="BV26" s="86" t="str">
        <f aca="false">IF($B26=BV$12,$U26,"")</f>
        <v/>
      </c>
      <c r="BW26" s="86" t="str">
        <f aca="false">IF($B26=BW$12,$U26,"")</f>
        <v/>
      </c>
      <c r="BX26" s="86" t="str">
        <f aca="false">IF($B26=BX$12,$U26,"")</f>
        <v/>
      </c>
      <c r="BY26" s="86" t="str">
        <f aca="false">IF($B26=BY$12,$U26,"")</f>
        <v/>
      </c>
      <c r="BZ26" s="86" t="str">
        <f aca="false">IF($B26=BZ$12,$U26,"")</f>
        <v/>
      </c>
      <c r="CA26" s="86" t="str">
        <f aca="false">IF($B26=CA$12,$U26,"")</f>
        <v/>
      </c>
      <c r="CB26" s="86" t="str">
        <f aca="false">IF($B26=CB$12,$U26,"")</f>
        <v/>
      </c>
      <c r="CC26" s="86" t="str">
        <f aca="false">IF($B26=CC$12,$U26,"")</f>
        <v/>
      </c>
      <c r="CD26" s="86" t="str">
        <f aca="false">IF($B26=CD$12,$U26,"")</f>
        <v/>
      </c>
      <c r="CE26" s="86" t="str">
        <f aca="false">IF($B26=CE$12,$U26,"")</f>
        <v/>
      </c>
      <c r="CF26" s="86" t="str">
        <f aca="false">IF($B26=CF$12,$U26,"")</f>
        <v/>
      </c>
      <c r="CG26" s="86" t="str">
        <f aca="false">IF($B26=CG$12,$U26,"")</f>
        <v/>
      </c>
      <c r="CH26" s="86" t="str">
        <f aca="false">IF($B26=CH$12,$U26,"")</f>
        <v/>
      </c>
      <c r="CI26" s="86" t="str">
        <f aca="false">IF($B26=CI$12,$U26,"")</f>
        <v/>
      </c>
      <c r="CJ26" s="86" t="str">
        <f aca="false">IF($B26=CJ$12,$U26,"")</f>
        <v/>
      </c>
      <c r="CK26" s="86" t="str">
        <f aca="false">IF($B26=CK$12,$U26,"")</f>
        <v/>
      </c>
      <c r="CL26" s="86" t="str">
        <f aca="false">IF($B26=CL$12,$U26,"")</f>
        <v/>
      </c>
      <c r="CM26" s="86" t="str">
        <f aca="false">IF($B26=CM$12,$U26,"")</f>
        <v/>
      </c>
      <c r="CN26" s="86" t="str">
        <f aca="false">IF($B26=CN$12,$U26,"")</f>
        <v/>
      </c>
      <c r="CO26" s="86" t="str">
        <f aca="false">IF($B26=CO$12,$U26,"")</f>
        <v/>
      </c>
      <c r="CP26" s="86" t="str">
        <f aca="false">IF($B26=CP$12,$U26,"")</f>
        <v/>
      </c>
      <c r="CQ26" s="86" t="str">
        <f aca="false">IF($B26=CQ$12,$U26,"")</f>
        <v/>
      </c>
      <c r="CR26" s="86" t="str">
        <f aca="false">IF($B26=CR$12,$U26,"")</f>
        <v/>
      </c>
      <c r="CS26" s="86" t="str">
        <f aca="false">IF($B26=CS$12,$U26,"")</f>
        <v/>
      </c>
      <c r="CT26" s="86" t="str">
        <f aca="false">IF($B26=CT$12,$U26,"")</f>
        <v/>
      </c>
      <c r="CU26" s="86" t="str">
        <f aca="false">IF($B26=CU$12,$U26,"")</f>
        <v/>
      </c>
      <c r="CV26" s="86" t="str">
        <f aca="false">IF($B26=CV$12,$U26,"")</f>
        <v/>
      </c>
      <c r="CW26" s="86" t="str">
        <f aca="false">IF($B26=CW$12,$U26,"")</f>
        <v/>
      </c>
      <c r="CX26" s="86" t="str">
        <f aca="false">IF($B26=CX$12,$U26,"")</f>
        <v/>
      </c>
      <c r="CY26" s="86" t="str">
        <f aca="false">IF($B26=CY$12,$U26,"")</f>
        <v/>
      </c>
      <c r="CZ26" s="86" t="str">
        <f aca="false">IF($B26=CZ$12,$U26,"")</f>
        <v/>
      </c>
      <c r="DA26" s="86" t="str">
        <f aca="false">IF($B26=DA$12,$U26,"")</f>
        <v/>
      </c>
      <c r="DB26" s="86" t="str">
        <f aca="false">IF($B26=DB$12,$U26,"")</f>
        <v/>
      </c>
      <c r="DC26" s="86" t="str">
        <f aca="false">IF($B26=DC$12,$U26,"")</f>
        <v/>
      </c>
      <c r="DD26" s="86" t="str">
        <f aca="false">IF($B26=DD$12,$U26,"")</f>
        <v/>
      </c>
      <c r="DE26" s="86" t="str">
        <f aca="false">IF($B26=DE$12,$U26,"")</f>
        <v/>
      </c>
      <c r="DF26" s="86" t="str">
        <f aca="false">IF($B26=DF$12,$U26,"")</f>
        <v/>
      </c>
      <c r="DG26" s="86" t="str">
        <f aca="false">IF($B26=DG$12,$U26,"")</f>
        <v/>
      </c>
      <c r="DH26" s="86" t="str">
        <f aca="false">IF($B26=DH$12,$U26,"")</f>
        <v/>
      </c>
      <c r="DI26" s="86" t="str">
        <f aca="false">IF($B26=DI$12,$U26,"")</f>
        <v/>
      </c>
      <c r="DJ26" s="86" t="str">
        <f aca="false">IF($B26=DJ$12,$U26,"")</f>
        <v/>
      </c>
      <c r="DK26" s="86" t="str">
        <f aca="false">IF($B26=DK$12,$U26,"")</f>
        <v/>
      </c>
      <c r="DL26" s="86" t="str">
        <f aca="false">IF($B26=DL$12,$U26,"")</f>
        <v/>
      </c>
      <c r="DM26" s="86" t="str">
        <f aca="false">IF($B26=DM$12,$U26,"")</f>
        <v/>
      </c>
      <c r="DN26" s="86" t="str">
        <f aca="false">IF($B26=DN$12,$U26,"")</f>
        <v/>
      </c>
      <c r="DO26" s="86" t="str">
        <f aca="false">IF($B26=DO$12,$U26,"")</f>
        <v/>
      </c>
      <c r="DP26" s="86" t="str">
        <f aca="false">IF($B26=DP$12,$U26,"")</f>
        <v/>
      </c>
      <c r="DQ26" s="86" t="str">
        <f aca="false">IF($B26=DQ$12,$U26,"")</f>
        <v/>
      </c>
      <c r="DR26" s="86" t="str">
        <f aca="false">IF($B26=DR$12,$U26,"")</f>
        <v/>
      </c>
      <c r="DS26" s="86" t="str">
        <f aca="false">IF($B26=DS$12,$U26,"")</f>
        <v/>
      </c>
      <c r="DT26" s="87" t="str">
        <f aca="false">IF($B26=DT$12,$U26,"")</f>
        <v/>
      </c>
      <c r="DU26" s="56"/>
      <c r="DV26" s="91"/>
      <c r="DW26" s="88" t="str">
        <f aca="false">IF($B26=DW$12,$O26,"")</f>
        <v/>
      </c>
      <c r="DX26" s="89" t="str">
        <f aca="false">IF($B26=DX$12,$O26,"")</f>
        <v/>
      </c>
      <c r="DY26" s="89" t="str">
        <f aca="false">IF($B26=DY$12,$O26,"")</f>
        <v/>
      </c>
      <c r="DZ26" s="89" t="str">
        <f aca="false">IF($B26=DZ$12,$O26,"")</f>
        <v/>
      </c>
      <c r="EA26" s="89" t="str">
        <f aca="false">IF($B26=EA$12,$O26,"")</f>
        <v/>
      </c>
      <c r="EB26" s="89" t="str">
        <f aca="false">IF($B26=EB$12,$O26,"")</f>
        <v/>
      </c>
      <c r="EC26" s="89" t="str">
        <f aca="false">IF($B26=EC$12,$O26,"")</f>
        <v/>
      </c>
      <c r="ED26" s="89" t="str">
        <f aca="false">IF($B26=ED$12,$O26,"")</f>
        <v/>
      </c>
      <c r="EE26" s="89" t="str">
        <f aca="false">IF($B26=EE$12,$O26,"")</f>
        <v/>
      </c>
      <c r="EF26" s="89" t="str">
        <f aca="false">IF($B26=EF$12,$O26,"")</f>
        <v/>
      </c>
      <c r="EG26" s="89" t="str">
        <f aca="false">IF($B26=EG$12,$O26,"")</f>
        <v/>
      </c>
      <c r="EH26" s="89" t="str">
        <f aca="false">IF($B26=EH$12,$O26,"")</f>
        <v/>
      </c>
      <c r="EI26" s="89" t="str">
        <f aca="false">IF($B26=EI$12,$O26,"")</f>
        <v/>
      </c>
      <c r="EJ26" s="89" t="str">
        <f aca="false">IF($B26=EJ$12,$O26,"")</f>
        <v/>
      </c>
      <c r="EK26" s="89" t="str">
        <f aca="false">IF($B26=EK$12,$O26,"")</f>
        <v/>
      </c>
      <c r="EL26" s="89" t="str">
        <f aca="false">IF($B26=EL$12,$O26,"")</f>
        <v/>
      </c>
      <c r="EM26" s="89" t="str">
        <f aca="false">IF($B26=EM$12,$O26,"")</f>
        <v/>
      </c>
      <c r="EN26" s="89" t="str">
        <f aca="false">IF($B26=EN$12,$O26,"")</f>
        <v/>
      </c>
      <c r="EO26" s="89" t="str">
        <f aca="false">IF($B26=EO$12,$O26,"")</f>
        <v/>
      </c>
      <c r="EP26" s="89" t="str">
        <f aca="false">IF($B26=EP$12,$O26,"")</f>
        <v/>
      </c>
      <c r="EQ26" s="89" t="str">
        <f aca="false">IF($B26=EQ$12,$O26,"")</f>
        <v/>
      </c>
      <c r="ER26" s="89" t="str">
        <f aca="false">IF($B26=ER$12,$O26,"")</f>
        <v/>
      </c>
      <c r="ES26" s="89" t="str">
        <f aca="false">IF($B26=ES$12,$O26,"")</f>
        <v/>
      </c>
      <c r="ET26" s="89" t="str">
        <f aca="false">IF($B26=ET$12,$O26,"")</f>
        <v/>
      </c>
      <c r="EU26" s="89" t="str">
        <f aca="false">IF($B26=EU$12,$O26,"")</f>
        <v/>
      </c>
      <c r="EV26" s="89" t="str">
        <f aca="false">IF($B26=EV$12,$O26,"")</f>
        <v/>
      </c>
      <c r="EW26" s="89" t="str">
        <f aca="false">IF($B26=EW$12,$O26,"")</f>
        <v/>
      </c>
      <c r="EX26" s="89" t="str">
        <f aca="false">IF($B26=EX$12,$O26,"")</f>
        <v/>
      </c>
      <c r="EY26" s="89" t="str">
        <f aca="false">IF($B26=EY$12,$O26,"")</f>
        <v/>
      </c>
      <c r="EZ26" s="89" t="str">
        <f aca="false">IF($B26=EZ$12,$O26,"")</f>
        <v/>
      </c>
      <c r="FA26" s="89" t="str">
        <f aca="false">IF($B26=FA$12,$O26,"")</f>
        <v/>
      </c>
      <c r="FB26" s="89" t="str">
        <f aca="false">IF($B26=FB$12,$O26,"")</f>
        <v/>
      </c>
      <c r="FC26" s="89" t="str">
        <f aca="false">IF($B26=FC$12,$O26,"")</f>
        <v/>
      </c>
      <c r="FD26" s="89" t="str">
        <f aca="false">IF($B26=FD$12,$O26,"")</f>
        <v/>
      </c>
      <c r="FE26" s="89" t="str">
        <f aca="false">IF($B26=FE$12,$O26,"")</f>
        <v/>
      </c>
      <c r="FF26" s="89" t="str">
        <f aca="false">IF($B26=FF$12,$O26,"")</f>
        <v/>
      </c>
      <c r="FG26" s="89" t="str">
        <f aca="false">IF($B26=FG$12,$O26,"")</f>
        <v/>
      </c>
      <c r="FH26" s="89" t="str">
        <f aca="false">IF($B26=FH$12,$O26,"")</f>
        <v/>
      </c>
      <c r="FI26" s="89" t="str">
        <f aca="false">IF($B26=FI$12,$O26,"")</f>
        <v/>
      </c>
      <c r="FJ26" s="89" t="str">
        <f aca="false">IF($B26=FJ$12,$O26,"")</f>
        <v/>
      </c>
      <c r="FK26" s="89" t="str">
        <f aca="false">IF($B26=FK$12,$O26,"")</f>
        <v/>
      </c>
      <c r="FL26" s="89" t="str">
        <f aca="false">IF($B26=FL$12,$O26,"")</f>
        <v/>
      </c>
      <c r="FM26" s="89" t="str">
        <f aca="false">IF($B26=FM$12,$O26,"")</f>
        <v/>
      </c>
      <c r="FN26" s="89" t="str">
        <f aca="false">IF($B26=FN$12,$O26,"")</f>
        <v/>
      </c>
      <c r="FO26" s="89" t="str">
        <f aca="false">IF($B26=FO$12,$O26,"")</f>
        <v/>
      </c>
      <c r="FP26" s="89" t="str">
        <f aca="false">IF($B26=FP$12,$O26,"")</f>
        <v/>
      </c>
      <c r="FQ26" s="89" t="str">
        <f aca="false">IF($B26=FQ$12,$O26,"")</f>
        <v/>
      </c>
      <c r="FR26" s="89" t="str">
        <f aca="false">IF($B26=FR$12,$O26,"")</f>
        <v/>
      </c>
      <c r="FS26" s="89" t="str">
        <f aca="false">IF($B26=FS$12,$O26,"")</f>
        <v/>
      </c>
      <c r="FT26" s="89" t="str">
        <f aca="false">IF($B26=FT$12,$O26,"")</f>
        <v/>
      </c>
      <c r="FU26" s="89" t="str">
        <f aca="false">IF($B26=FU$12,$O26,"")</f>
        <v/>
      </c>
      <c r="FV26" s="89" t="str">
        <f aca="false">IF($B26=FV$12,$O26,"")</f>
        <v/>
      </c>
      <c r="FW26" s="89" t="str">
        <f aca="false">IF($B26=FW$12,$O26,"")</f>
        <v/>
      </c>
      <c r="FX26" s="89" t="str">
        <f aca="false">IF($B26=FX$12,$O26,"")</f>
        <v/>
      </c>
      <c r="FY26" s="89" t="str">
        <f aca="false">IF($B26=FY$12,$O26,"")</f>
        <v/>
      </c>
      <c r="FZ26" s="89" t="str">
        <f aca="false">IF($B26=FZ$12,$O26,"")</f>
        <v/>
      </c>
      <c r="GA26" s="89" t="str">
        <f aca="false">IF($B26=GA$12,$O26,"")</f>
        <v/>
      </c>
      <c r="GB26" s="89" t="str">
        <f aca="false">IF($B26=GB$12,$O26,"")</f>
        <v/>
      </c>
      <c r="GC26" s="89" t="str">
        <f aca="false">IF($B26=GC$12,$O26,"")</f>
        <v/>
      </c>
      <c r="GD26" s="89" t="str">
        <f aca="false">IF($B26=GD$12,$O26,"")</f>
        <v/>
      </c>
      <c r="GE26" s="89" t="str">
        <f aca="false">IF($B26=GE$12,$O26,"")</f>
        <v/>
      </c>
      <c r="GF26" s="89" t="str">
        <f aca="false">IF($B26=GF$12,$O26,"")</f>
        <v/>
      </c>
      <c r="GG26" s="89" t="str">
        <f aca="false">IF($B26=GG$12,$O26,"")</f>
        <v/>
      </c>
      <c r="GH26" s="89" t="str">
        <f aca="false">IF($B26=GH$12,$O26,"")</f>
        <v/>
      </c>
      <c r="GI26" s="89" t="str">
        <f aca="false">IF($B26=GI$12,$O26,"")</f>
        <v/>
      </c>
      <c r="GJ26" s="89" t="str">
        <f aca="false">IF($B26=GJ$12,$O26,"")</f>
        <v/>
      </c>
      <c r="GK26" s="89" t="str">
        <f aca="false">IF($B26=GK$12,$O26,"")</f>
        <v/>
      </c>
      <c r="GL26" s="89" t="str">
        <f aca="false">IF($B26=GL$12,$O26,"")</f>
        <v/>
      </c>
      <c r="GM26" s="89" t="str">
        <f aca="false">IF($B26=GM$12,$O26,"")</f>
        <v/>
      </c>
      <c r="GN26" s="89" t="str">
        <f aca="false">IF($B26=GN$12,$O26,"")</f>
        <v/>
      </c>
      <c r="GO26" s="89" t="str">
        <f aca="false">IF($B26=GO$12,$O26,"")</f>
        <v/>
      </c>
      <c r="GP26" s="89" t="str">
        <f aca="false">IF($B26=GP$12,$O26,"")</f>
        <v/>
      </c>
      <c r="GQ26" s="89" t="str">
        <f aca="false">IF($B26=GQ$12,$O26,"")</f>
        <v/>
      </c>
      <c r="GR26" s="89" t="str">
        <f aca="false">IF($B26=GR$12,$O26,"")</f>
        <v/>
      </c>
      <c r="GS26" s="89" t="str">
        <f aca="false">IF($B26=GS$12,$O26,"")</f>
        <v/>
      </c>
      <c r="GT26" s="89" t="str">
        <f aca="false">IF($B26=GT$12,$O26,"")</f>
        <v/>
      </c>
      <c r="GU26" s="89" t="str">
        <f aca="false">IF($B26=GU$12,$O26,"")</f>
        <v/>
      </c>
      <c r="GV26" s="89" t="str">
        <f aca="false">IF($B26=GV$12,$O26,"")</f>
        <v/>
      </c>
      <c r="GW26" s="89" t="str">
        <f aca="false">IF($B26=GW$12,$O26,"")</f>
        <v/>
      </c>
      <c r="GX26" s="89" t="str">
        <f aca="false">IF($B26=GX$12,$O26,"")</f>
        <v/>
      </c>
      <c r="GY26" s="89" t="str">
        <f aca="false">IF($B26=GY$12,$O26,"")</f>
        <v/>
      </c>
      <c r="GZ26" s="89" t="str">
        <f aca="false">IF($B26=GZ$12,$O26,"")</f>
        <v/>
      </c>
      <c r="HA26" s="89" t="str">
        <f aca="false">IF($B26=HA$12,$O26,"")</f>
        <v/>
      </c>
      <c r="HB26" s="89" t="str">
        <f aca="false">IF($B26=HB$12,$O26,"")</f>
        <v/>
      </c>
      <c r="HC26" s="89" t="str">
        <f aca="false">IF($B26=HC$12,$O26,"")</f>
        <v/>
      </c>
      <c r="HD26" s="89" t="str">
        <f aca="false">IF($B26=HD$12,$O26,"")</f>
        <v/>
      </c>
      <c r="HE26" s="89" t="str">
        <f aca="false">IF($B26=HE$12,$O26,"")</f>
        <v/>
      </c>
      <c r="HF26" s="89" t="str">
        <f aca="false">IF($B26=HF$12,$O26,"")</f>
        <v/>
      </c>
      <c r="HG26" s="89" t="str">
        <f aca="false">IF($B26=HG$12,$O26,"")</f>
        <v/>
      </c>
      <c r="HH26" s="89" t="str">
        <f aca="false">IF($B26=HH$12,$O26,"")</f>
        <v/>
      </c>
      <c r="HI26" s="89" t="str">
        <f aca="false">IF($B26=HI$12,$O26,"")</f>
        <v/>
      </c>
      <c r="HJ26" s="89" t="str">
        <f aca="false">IF($B26=HJ$12,$O26,"")</f>
        <v/>
      </c>
      <c r="HK26" s="89" t="str">
        <f aca="false">IF($B26=HK$12,$O26,"")</f>
        <v/>
      </c>
      <c r="HL26" s="89" t="str">
        <f aca="false">IF($B26=HL$12,$O26,"")</f>
        <v/>
      </c>
      <c r="HM26" s="89" t="str">
        <f aca="false">IF($B26=HM$12,$O26,"")</f>
        <v/>
      </c>
      <c r="HN26" s="89" t="str">
        <f aca="false">IF($B26=HN$12,$O26,"")</f>
        <v/>
      </c>
      <c r="HO26" s="89" t="str">
        <f aca="false">IF($B26=HO$12,$O26,"")</f>
        <v/>
      </c>
      <c r="HP26" s="89" t="str">
        <f aca="false">IF($B26=HP$12,$O26,"")</f>
        <v/>
      </c>
      <c r="HQ26" s="89" t="str">
        <f aca="false">IF($B26=HQ$12,$O26,"")</f>
        <v/>
      </c>
      <c r="HR26" s="90" t="str">
        <f aca="false">IF($B26=HR$12,$O26,"")</f>
        <v/>
      </c>
    </row>
    <row r="27" customFormat="false" ht="10.5" hidden="false" customHeight="true" outlineLevel="0" collapsed="false">
      <c r="A27" s="75"/>
      <c r="B27" s="76"/>
      <c r="C27" s="77" t="str">
        <f aca="false">IF(A27=0,"",VLOOKUP(A27,[3]CO!$A$3:$F$5311,2,0))</f>
        <v/>
      </c>
      <c r="D27" s="78"/>
      <c r="E27" s="78"/>
      <c r="F27" s="78"/>
      <c r="G27" s="79" t="str">
        <f aca="false">IF(A27=0,"",VLOOKUP(A27,[3]CO!$A$3:$F$5311,3,0))</f>
        <v/>
      </c>
      <c r="H27" s="78"/>
      <c r="I27" s="80"/>
      <c r="J27" s="80"/>
      <c r="K27" s="80"/>
      <c r="L27" s="80"/>
      <c r="M27" s="81" t="str">
        <f aca="false">IF(L27=0,"",PRODUCT(I27:L27))</f>
        <v/>
      </c>
      <c r="N27" s="81" t="str">
        <f aca="false">IF(B27=0,"",IF(H27="M",HLOOKUP(B27,$Y$12:$DT$13,2),IF(A27=0,"",VLOOKUP(A27,[3]CO!$A$3:$F$5311,4,0))))</f>
        <v/>
      </c>
      <c r="O27" s="81" t="str">
        <f aca="false">IF(L27=0,"",PRODUCT(M27:N27))</f>
        <v/>
      </c>
      <c r="P27" s="82"/>
      <c r="Q27" s="83" t="str">
        <f aca="false">IF(P27=0,"",(HLOOKUP(P27,$DW$12:$HR$13,2)))</f>
        <v/>
      </c>
      <c r="R27" s="84" t="str">
        <f aca="false">IF(S27=0,"",IF(OR(G27="PEON",G27="OF",G27="JARD",G27="CARP",G27="MAESTRO",G27="SOLD",G27="BGRO",G27="CHOFER",G27="AYTE",G27="S.INTTE.",G27="ASEO",G27="P.PISOS",G27="VELADOR",G27="RESID",G27="PINTOR",G27="ELECT",G27="AZULE",G27="AUX CONT.",G27="SECRETARIA",G27="AUXILIAR ADMTVO.",G27="ARQUITECTO",G27="DIBUJANTE",G27="AUX. DE RESIDENTE"),VLOOKUP(B27,P$14:Q$57,2),"")*S27)</f>
        <v/>
      </c>
      <c r="S27" s="66"/>
      <c r="T27" s="67" t="str">
        <f aca="false">IF(A27=0,"",VLOOKUP(A27,[3]CO!$A$3:$F$5302,5,0))</f>
        <v/>
      </c>
      <c r="U27" s="56" t="n">
        <f aca="false">IF(T27=1,O27*0.1,)</f>
        <v>0</v>
      </c>
      <c r="V27" s="68"/>
      <c r="W27" s="91"/>
      <c r="X27" s="91"/>
      <c r="Y27" s="85" t="str">
        <f aca="false">IF($B27=Y$12,$U27,"")</f>
        <v/>
      </c>
      <c r="Z27" s="86" t="str">
        <f aca="false">IF($B27=Z$12,$U27,"")</f>
        <v/>
      </c>
      <c r="AA27" s="86" t="str">
        <f aca="false">IF($B27=AA$12,$U27,"")</f>
        <v/>
      </c>
      <c r="AB27" s="86" t="str">
        <f aca="false">IF($B27=AB$12,$U27,"")</f>
        <v/>
      </c>
      <c r="AC27" s="86" t="str">
        <f aca="false">IF($B27=AC$12,$U27,"")</f>
        <v/>
      </c>
      <c r="AD27" s="86" t="str">
        <f aca="false">IF($B27=AD$12,$U27,"")</f>
        <v/>
      </c>
      <c r="AE27" s="86" t="str">
        <f aca="false">IF($B27=AE$12,$U27,"")</f>
        <v/>
      </c>
      <c r="AF27" s="86" t="str">
        <f aca="false">IF($B27=AF$12,$U27,"")</f>
        <v/>
      </c>
      <c r="AG27" s="86" t="str">
        <f aca="false">IF($B27=AG$12,$U27,"")</f>
        <v/>
      </c>
      <c r="AH27" s="86" t="str">
        <f aca="false">IF($B27=AH$12,$U27,"")</f>
        <v/>
      </c>
      <c r="AI27" s="86" t="str">
        <f aca="false">IF($B27=AI$12,$U27,"")</f>
        <v/>
      </c>
      <c r="AJ27" s="86" t="str">
        <f aca="false">IF($B27=AJ$12,$U27,"")</f>
        <v/>
      </c>
      <c r="AK27" s="86" t="str">
        <f aca="false">IF($B27=AK$12,$U27,"")</f>
        <v/>
      </c>
      <c r="AL27" s="86" t="str">
        <f aca="false">IF($B27=AL$12,$U27,"")</f>
        <v/>
      </c>
      <c r="AM27" s="86" t="str">
        <f aca="false">IF($B27=AM$12,$U27,"")</f>
        <v/>
      </c>
      <c r="AN27" s="86" t="str">
        <f aca="false">IF($B27=AN$12,$U27,"")</f>
        <v/>
      </c>
      <c r="AO27" s="86" t="str">
        <f aca="false">IF($B27=AO$12,$U27,"")</f>
        <v/>
      </c>
      <c r="AP27" s="86" t="str">
        <f aca="false">IF($B27=AP$12,$U27,"")</f>
        <v/>
      </c>
      <c r="AQ27" s="86" t="str">
        <f aca="false">IF($B27=AQ$12,$U27,"")</f>
        <v/>
      </c>
      <c r="AR27" s="86" t="str">
        <f aca="false">IF($B27=AR$12,$U27,"")</f>
        <v/>
      </c>
      <c r="AS27" s="86" t="str">
        <f aca="false">IF($B27=AS$12,$U27,"")</f>
        <v/>
      </c>
      <c r="AT27" s="86" t="str">
        <f aca="false">IF($B27=AT$12,$U27,"")</f>
        <v/>
      </c>
      <c r="AU27" s="86" t="str">
        <f aca="false">IF($B27=AU$12,$U27,"")</f>
        <v/>
      </c>
      <c r="AV27" s="86" t="str">
        <f aca="false">IF($B27=AV$12,$U27,"")</f>
        <v/>
      </c>
      <c r="AW27" s="86" t="str">
        <f aca="false">IF($B27=AW$12,$U27,"")</f>
        <v/>
      </c>
      <c r="AX27" s="86" t="str">
        <f aca="false">IF($B27=AX$12,$U27,"")</f>
        <v/>
      </c>
      <c r="AY27" s="86" t="str">
        <f aca="false">IF($B27=AY$12,$U27,"")</f>
        <v/>
      </c>
      <c r="AZ27" s="86" t="str">
        <f aca="false">IF($B27=AZ$12,$U27,"")</f>
        <v/>
      </c>
      <c r="BA27" s="86" t="str">
        <f aca="false">IF($B27=BA$12,$U27,"")</f>
        <v/>
      </c>
      <c r="BB27" s="86" t="str">
        <f aca="false">IF($B27=BB$12,$U27,"")</f>
        <v/>
      </c>
      <c r="BC27" s="86" t="str">
        <f aca="false">IF($B27=BC$12,$U27,"")</f>
        <v/>
      </c>
      <c r="BD27" s="86" t="str">
        <f aca="false">IF($B27=BD$12,$U27,"")</f>
        <v/>
      </c>
      <c r="BE27" s="86" t="str">
        <f aca="false">IF($B27=BE$12,$U27,"")</f>
        <v/>
      </c>
      <c r="BF27" s="86" t="str">
        <f aca="false">IF($B27=BF$12,$U27,"")</f>
        <v/>
      </c>
      <c r="BG27" s="86" t="str">
        <f aca="false">IF($B27=BG$12,$U27,"")</f>
        <v/>
      </c>
      <c r="BH27" s="86" t="str">
        <f aca="false">IF($B27=BH$12,$U27,"")</f>
        <v/>
      </c>
      <c r="BI27" s="86" t="str">
        <f aca="false">IF($B27=BI$12,$U27,"")</f>
        <v/>
      </c>
      <c r="BJ27" s="86" t="str">
        <f aca="false">IF($B27=BJ$12,$U27,"")</f>
        <v/>
      </c>
      <c r="BK27" s="86" t="str">
        <f aca="false">IF($B27=BK$12,$U27,"")</f>
        <v/>
      </c>
      <c r="BL27" s="86" t="str">
        <f aca="false">IF($B27=BL$12,$U27,"")</f>
        <v/>
      </c>
      <c r="BM27" s="86" t="str">
        <f aca="false">IF($B27=BM$12,$U27,"")</f>
        <v/>
      </c>
      <c r="BN27" s="86" t="str">
        <f aca="false">IF($B27=BN$12,$U27,"")</f>
        <v/>
      </c>
      <c r="BO27" s="86" t="str">
        <f aca="false">IF($B27=BO$12,$U27,"")</f>
        <v/>
      </c>
      <c r="BP27" s="86" t="str">
        <f aca="false">IF($B27=BP$12,$U27,"")</f>
        <v/>
      </c>
      <c r="BQ27" s="86" t="str">
        <f aca="false">IF($B27=BQ$12,$U27,"")</f>
        <v/>
      </c>
      <c r="BR27" s="86" t="str">
        <f aca="false">IF($B27=BR$12,$U27,"")</f>
        <v/>
      </c>
      <c r="BS27" s="86" t="str">
        <f aca="false">IF($B27=BS$12,$U27,"")</f>
        <v/>
      </c>
      <c r="BT27" s="86" t="str">
        <f aca="false">IF($B27=BT$12,$U27,"")</f>
        <v/>
      </c>
      <c r="BU27" s="86" t="str">
        <f aca="false">IF($B27=BU$12,$U27,"")</f>
        <v/>
      </c>
      <c r="BV27" s="86" t="str">
        <f aca="false">IF($B27=BV$12,$U27,"")</f>
        <v/>
      </c>
      <c r="BW27" s="86" t="str">
        <f aca="false">IF($B27=BW$12,$U27,"")</f>
        <v/>
      </c>
      <c r="BX27" s="86" t="str">
        <f aca="false">IF($B27=BX$12,$U27,"")</f>
        <v/>
      </c>
      <c r="BY27" s="86" t="str">
        <f aca="false">IF($B27=BY$12,$U27,"")</f>
        <v/>
      </c>
      <c r="BZ27" s="86" t="str">
        <f aca="false">IF($B27=BZ$12,$U27,"")</f>
        <v/>
      </c>
      <c r="CA27" s="86" t="str">
        <f aca="false">IF($B27=CA$12,$U27,"")</f>
        <v/>
      </c>
      <c r="CB27" s="86" t="str">
        <f aca="false">IF($B27=CB$12,$U27,"")</f>
        <v/>
      </c>
      <c r="CC27" s="86" t="str">
        <f aca="false">IF($B27=CC$12,$U27,"")</f>
        <v/>
      </c>
      <c r="CD27" s="86" t="str">
        <f aca="false">IF($B27=CD$12,$U27,"")</f>
        <v/>
      </c>
      <c r="CE27" s="86" t="str">
        <f aca="false">IF($B27=CE$12,$U27,"")</f>
        <v/>
      </c>
      <c r="CF27" s="86" t="str">
        <f aca="false">IF($B27=CF$12,$U27,"")</f>
        <v/>
      </c>
      <c r="CG27" s="86" t="str">
        <f aca="false">IF($B27=CG$12,$U27,"")</f>
        <v/>
      </c>
      <c r="CH27" s="86" t="str">
        <f aca="false">IF($B27=CH$12,$U27,"")</f>
        <v/>
      </c>
      <c r="CI27" s="86" t="str">
        <f aca="false">IF($B27=CI$12,$U27,"")</f>
        <v/>
      </c>
      <c r="CJ27" s="86" t="str">
        <f aca="false">IF($B27=CJ$12,$U27,"")</f>
        <v/>
      </c>
      <c r="CK27" s="86" t="str">
        <f aca="false">IF($B27=CK$12,$U27,"")</f>
        <v/>
      </c>
      <c r="CL27" s="86" t="str">
        <f aca="false">IF($B27=CL$12,$U27,"")</f>
        <v/>
      </c>
      <c r="CM27" s="86" t="str">
        <f aca="false">IF($B27=CM$12,$U27,"")</f>
        <v/>
      </c>
      <c r="CN27" s="86" t="str">
        <f aca="false">IF($B27=CN$12,$U27,"")</f>
        <v/>
      </c>
      <c r="CO27" s="86" t="str">
        <f aca="false">IF($B27=CO$12,$U27,"")</f>
        <v/>
      </c>
      <c r="CP27" s="86" t="str">
        <f aca="false">IF($B27=CP$12,$U27,"")</f>
        <v/>
      </c>
      <c r="CQ27" s="86" t="str">
        <f aca="false">IF($B27=CQ$12,$U27,"")</f>
        <v/>
      </c>
      <c r="CR27" s="86" t="str">
        <f aca="false">IF($B27=CR$12,$U27,"")</f>
        <v/>
      </c>
      <c r="CS27" s="86" t="str">
        <f aca="false">IF($B27=CS$12,$U27,"")</f>
        <v/>
      </c>
      <c r="CT27" s="86" t="str">
        <f aca="false">IF($B27=CT$12,$U27,"")</f>
        <v/>
      </c>
      <c r="CU27" s="86" t="str">
        <f aca="false">IF($B27=CU$12,$U27,"")</f>
        <v/>
      </c>
      <c r="CV27" s="86" t="str">
        <f aca="false">IF($B27=CV$12,$U27,"")</f>
        <v/>
      </c>
      <c r="CW27" s="86" t="str">
        <f aca="false">IF($B27=CW$12,$U27,"")</f>
        <v/>
      </c>
      <c r="CX27" s="86" t="str">
        <f aca="false">IF($B27=CX$12,$U27,"")</f>
        <v/>
      </c>
      <c r="CY27" s="86" t="str">
        <f aca="false">IF($B27=CY$12,$U27,"")</f>
        <v/>
      </c>
      <c r="CZ27" s="86" t="str">
        <f aca="false">IF($B27=CZ$12,$U27,"")</f>
        <v/>
      </c>
      <c r="DA27" s="86" t="str">
        <f aca="false">IF($B27=DA$12,$U27,"")</f>
        <v/>
      </c>
      <c r="DB27" s="86" t="str">
        <f aca="false">IF($B27=DB$12,$U27,"")</f>
        <v/>
      </c>
      <c r="DC27" s="86" t="str">
        <f aca="false">IF($B27=DC$12,$U27,"")</f>
        <v/>
      </c>
      <c r="DD27" s="86" t="str">
        <f aca="false">IF($B27=DD$12,$U27,"")</f>
        <v/>
      </c>
      <c r="DE27" s="86" t="str">
        <f aca="false">IF($B27=DE$12,$U27,"")</f>
        <v/>
      </c>
      <c r="DF27" s="86" t="str">
        <f aca="false">IF($B27=DF$12,$U27,"")</f>
        <v/>
      </c>
      <c r="DG27" s="86" t="str">
        <f aca="false">IF($B27=DG$12,$U27,"")</f>
        <v/>
      </c>
      <c r="DH27" s="86" t="str">
        <f aca="false">IF($B27=DH$12,$U27,"")</f>
        <v/>
      </c>
      <c r="DI27" s="86" t="str">
        <f aca="false">IF($B27=DI$12,$U27,"")</f>
        <v/>
      </c>
      <c r="DJ27" s="86" t="str">
        <f aca="false">IF($B27=DJ$12,$U27,"")</f>
        <v/>
      </c>
      <c r="DK27" s="86" t="str">
        <f aca="false">IF($B27=DK$12,$U27,"")</f>
        <v/>
      </c>
      <c r="DL27" s="86" t="str">
        <f aca="false">IF($B27=DL$12,$U27,"")</f>
        <v/>
      </c>
      <c r="DM27" s="86" t="str">
        <f aca="false">IF($B27=DM$12,$U27,"")</f>
        <v/>
      </c>
      <c r="DN27" s="86" t="str">
        <f aca="false">IF($B27=DN$12,$U27,"")</f>
        <v/>
      </c>
      <c r="DO27" s="86" t="str">
        <f aca="false">IF($B27=DO$12,$U27,"")</f>
        <v/>
      </c>
      <c r="DP27" s="86" t="str">
        <f aca="false">IF($B27=DP$12,$U27,"")</f>
        <v/>
      </c>
      <c r="DQ27" s="86" t="str">
        <f aca="false">IF($B27=DQ$12,$U27,"")</f>
        <v/>
      </c>
      <c r="DR27" s="86" t="str">
        <f aca="false">IF($B27=DR$12,$U27,"")</f>
        <v/>
      </c>
      <c r="DS27" s="86" t="str">
        <f aca="false">IF($B27=DS$12,$U27,"")</f>
        <v/>
      </c>
      <c r="DT27" s="87" t="str">
        <f aca="false">IF($B27=DT$12,$U27,"")</f>
        <v/>
      </c>
      <c r="DU27" s="56"/>
      <c r="DV27" s="91"/>
      <c r="DW27" s="88" t="str">
        <f aca="false">IF($B27=DW$12,$O27,"")</f>
        <v/>
      </c>
      <c r="DX27" s="89" t="str">
        <f aca="false">IF($B27=DX$12,$O27,"")</f>
        <v/>
      </c>
      <c r="DY27" s="89" t="str">
        <f aca="false">IF($B27=DY$12,$O27,"")</f>
        <v/>
      </c>
      <c r="DZ27" s="89" t="str">
        <f aca="false">IF($B27=DZ$12,$O27,"")</f>
        <v/>
      </c>
      <c r="EA27" s="89" t="str">
        <f aca="false">IF($B27=EA$12,$O27,"")</f>
        <v/>
      </c>
      <c r="EB27" s="89" t="str">
        <f aca="false">IF($B27=EB$12,$O27,"")</f>
        <v/>
      </c>
      <c r="EC27" s="89" t="str">
        <f aca="false">IF($B27=EC$12,$O27,"")</f>
        <v/>
      </c>
      <c r="ED27" s="89" t="str">
        <f aca="false">IF($B27=ED$12,$O27,"")</f>
        <v/>
      </c>
      <c r="EE27" s="89" t="str">
        <f aca="false">IF($B27=EE$12,$O27,"")</f>
        <v/>
      </c>
      <c r="EF27" s="89" t="str">
        <f aca="false">IF($B27=EF$12,$O27,"")</f>
        <v/>
      </c>
      <c r="EG27" s="89" t="str">
        <f aca="false">IF($B27=EG$12,$O27,"")</f>
        <v/>
      </c>
      <c r="EH27" s="89" t="str">
        <f aca="false">IF($B27=EH$12,$O27,"")</f>
        <v/>
      </c>
      <c r="EI27" s="89" t="str">
        <f aca="false">IF($B27=EI$12,$O27,"")</f>
        <v/>
      </c>
      <c r="EJ27" s="89" t="str">
        <f aca="false">IF($B27=EJ$12,$O27,"")</f>
        <v/>
      </c>
      <c r="EK27" s="89" t="str">
        <f aca="false">IF($B27=EK$12,$O27,"")</f>
        <v/>
      </c>
      <c r="EL27" s="89" t="str">
        <f aca="false">IF($B27=EL$12,$O27,"")</f>
        <v/>
      </c>
      <c r="EM27" s="89" t="str">
        <f aca="false">IF($B27=EM$12,$O27,"")</f>
        <v/>
      </c>
      <c r="EN27" s="89" t="str">
        <f aca="false">IF($B27=EN$12,$O27,"")</f>
        <v/>
      </c>
      <c r="EO27" s="89" t="str">
        <f aca="false">IF($B27=EO$12,$O27,"")</f>
        <v/>
      </c>
      <c r="EP27" s="89" t="str">
        <f aca="false">IF($B27=EP$12,$O27,"")</f>
        <v/>
      </c>
      <c r="EQ27" s="89" t="str">
        <f aca="false">IF($B27=EQ$12,$O27,"")</f>
        <v/>
      </c>
      <c r="ER27" s="89" t="str">
        <f aca="false">IF($B27=ER$12,$O27,"")</f>
        <v/>
      </c>
      <c r="ES27" s="89" t="str">
        <f aca="false">IF($B27=ES$12,$O27,"")</f>
        <v/>
      </c>
      <c r="ET27" s="89" t="str">
        <f aca="false">IF($B27=ET$12,$O27,"")</f>
        <v/>
      </c>
      <c r="EU27" s="89" t="str">
        <f aca="false">IF($B27=EU$12,$O27,"")</f>
        <v/>
      </c>
      <c r="EV27" s="89" t="str">
        <f aca="false">IF($B27=EV$12,$O27,"")</f>
        <v/>
      </c>
      <c r="EW27" s="89" t="str">
        <f aca="false">IF($B27=EW$12,$O27,"")</f>
        <v/>
      </c>
      <c r="EX27" s="89" t="str">
        <f aca="false">IF($B27=EX$12,$O27,"")</f>
        <v/>
      </c>
      <c r="EY27" s="89" t="str">
        <f aca="false">IF($B27=EY$12,$O27,"")</f>
        <v/>
      </c>
      <c r="EZ27" s="89" t="str">
        <f aca="false">IF($B27=EZ$12,$O27,"")</f>
        <v/>
      </c>
      <c r="FA27" s="89" t="str">
        <f aca="false">IF($B27=FA$12,$O27,"")</f>
        <v/>
      </c>
      <c r="FB27" s="89" t="str">
        <f aca="false">IF($B27=FB$12,$O27,"")</f>
        <v/>
      </c>
      <c r="FC27" s="89" t="str">
        <f aca="false">IF($B27=FC$12,$O27,"")</f>
        <v/>
      </c>
      <c r="FD27" s="89" t="str">
        <f aca="false">IF($B27=FD$12,$O27,"")</f>
        <v/>
      </c>
      <c r="FE27" s="89" t="str">
        <f aca="false">IF($B27=FE$12,$O27,"")</f>
        <v/>
      </c>
      <c r="FF27" s="89" t="str">
        <f aca="false">IF($B27=FF$12,$O27,"")</f>
        <v/>
      </c>
      <c r="FG27" s="89" t="str">
        <f aca="false">IF($B27=FG$12,$O27,"")</f>
        <v/>
      </c>
      <c r="FH27" s="89" t="str">
        <f aca="false">IF($B27=FH$12,$O27,"")</f>
        <v/>
      </c>
      <c r="FI27" s="89" t="str">
        <f aca="false">IF($B27=FI$12,$O27,"")</f>
        <v/>
      </c>
      <c r="FJ27" s="89" t="str">
        <f aca="false">IF($B27=FJ$12,$O27,"")</f>
        <v/>
      </c>
      <c r="FK27" s="89" t="str">
        <f aca="false">IF($B27=FK$12,$O27,"")</f>
        <v/>
      </c>
      <c r="FL27" s="89" t="str">
        <f aca="false">IF($B27=FL$12,$O27,"")</f>
        <v/>
      </c>
      <c r="FM27" s="89" t="str">
        <f aca="false">IF($B27=FM$12,$O27,"")</f>
        <v/>
      </c>
      <c r="FN27" s="89" t="str">
        <f aca="false">IF($B27=FN$12,$O27,"")</f>
        <v/>
      </c>
      <c r="FO27" s="89" t="str">
        <f aca="false">IF($B27=FO$12,$O27,"")</f>
        <v/>
      </c>
      <c r="FP27" s="89" t="str">
        <f aca="false">IF($B27=FP$12,$O27,"")</f>
        <v/>
      </c>
      <c r="FQ27" s="89" t="str">
        <f aca="false">IF($B27=FQ$12,$O27,"")</f>
        <v/>
      </c>
      <c r="FR27" s="89" t="str">
        <f aca="false">IF($B27=FR$12,$O27,"")</f>
        <v/>
      </c>
      <c r="FS27" s="89" t="str">
        <f aca="false">IF($B27=FS$12,$O27,"")</f>
        <v/>
      </c>
      <c r="FT27" s="89" t="str">
        <f aca="false">IF($B27=FT$12,$O27,"")</f>
        <v/>
      </c>
      <c r="FU27" s="89" t="str">
        <f aca="false">IF($B27=FU$12,$O27,"")</f>
        <v/>
      </c>
      <c r="FV27" s="89" t="str">
        <f aca="false">IF($B27=FV$12,$O27,"")</f>
        <v/>
      </c>
      <c r="FW27" s="89" t="str">
        <f aca="false">IF($B27=FW$12,$O27,"")</f>
        <v/>
      </c>
      <c r="FX27" s="89" t="str">
        <f aca="false">IF($B27=FX$12,$O27,"")</f>
        <v/>
      </c>
      <c r="FY27" s="89" t="str">
        <f aca="false">IF($B27=FY$12,$O27,"")</f>
        <v/>
      </c>
      <c r="FZ27" s="89" t="str">
        <f aca="false">IF($B27=FZ$12,$O27,"")</f>
        <v/>
      </c>
      <c r="GA27" s="89" t="str">
        <f aca="false">IF($B27=GA$12,$O27,"")</f>
        <v/>
      </c>
      <c r="GB27" s="89" t="str">
        <f aca="false">IF($B27=GB$12,$O27,"")</f>
        <v/>
      </c>
      <c r="GC27" s="89" t="str">
        <f aca="false">IF($B27=GC$12,$O27,"")</f>
        <v/>
      </c>
      <c r="GD27" s="89" t="str">
        <f aca="false">IF($B27=GD$12,$O27,"")</f>
        <v/>
      </c>
      <c r="GE27" s="89" t="str">
        <f aca="false">IF($B27=GE$12,$O27,"")</f>
        <v/>
      </c>
      <c r="GF27" s="89" t="str">
        <f aca="false">IF($B27=GF$12,$O27,"")</f>
        <v/>
      </c>
      <c r="GG27" s="89" t="str">
        <f aca="false">IF($B27=GG$12,$O27,"")</f>
        <v/>
      </c>
      <c r="GH27" s="89" t="str">
        <f aca="false">IF($B27=GH$12,$O27,"")</f>
        <v/>
      </c>
      <c r="GI27" s="89" t="str">
        <f aca="false">IF($B27=GI$12,$O27,"")</f>
        <v/>
      </c>
      <c r="GJ27" s="89" t="str">
        <f aca="false">IF($B27=GJ$12,$O27,"")</f>
        <v/>
      </c>
      <c r="GK27" s="89" t="str">
        <f aca="false">IF($B27=GK$12,$O27,"")</f>
        <v/>
      </c>
      <c r="GL27" s="89" t="str">
        <f aca="false">IF($B27=GL$12,$O27,"")</f>
        <v/>
      </c>
      <c r="GM27" s="89" t="str">
        <f aca="false">IF($B27=GM$12,$O27,"")</f>
        <v/>
      </c>
      <c r="GN27" s="89" t="str">
        <f aca="false">IF($B27=GN$12,$O27,"")</f>
        <v/>
      </c>
      <c r="GO27" s="89" t="str">
        <f aca="false">IF($B27=GO$12,$O27,"")</f>
        <v/>
      </c>
      <c r="GP27" s="89" t="str">
        <f aca="false">IF($B27=GP$12,$O27,"")</f>
        <v/>
      </c>
      <c r="GQ27" s="89" t="str">
        <f aca="false">IF($B27=GQ$12,$O27,"")</f>
        <v/>
      </c>
      <c r="GR27" s="89" t="str">
        <f aca="false">IF($B27=GR$12,$O27,"")</f>
        <v/>
      </c>
      <c r="GS27" s="89" t="str">
        <f aca="false">IF($B27=GS$12,$O27,"")</f>
        <v/>
      </c>
      <c r="GT27" s="89" t="str">
        <f aca="false">IF($B27=GT$12,$O27,"")</f>
        <v/>
      </c>
      <c r="GU27" s="89" t="str">
        <f aca="false">IF($B27=GU$12,$O27,"")</f>
        <v/>
      </c>
      <c r="GV27" s="89" t="str">
        <f aca="false">IF($B27=GV$12,$O27,"")</f>
        <v/>
      </c>
      <c r="GW27" s="89" t="str">
        <f aca="false">IF($B27=GW$12,$O27,"")</f>
        <v/>
      </c>
      <c r="GX27" s="89" t="str">
        <f aca="false">IF($B27=GX$12,$O27,"")</f>
        <v/>
      </c>
      <c r="GY27" s="89" t="str">
        <f aca="false">IF($B27=GY$12,$O27,"")</f>
        <v/>
      </c>
      <c r="GZ27" s="89" t="str">
        <f aca="false">IF($B27=GZ$12,$O27,"")</f>
        <v/>
      </c>
      <c r="HA27" s="89" t="str">
        <f aca="false">IF($B27=HA$12,$O27,"")</f>
        <v/>
      </c>
      <c r="HB27" s="89" t="str">
        <f aca="false">IF($B27=HB$12,$O27,"")</f>
        <v/>
      </c>
      <c r="HC27" s="89" t="str">
        <f aca="false">IF($B27=HC$12,$O27,"")</f>
        <v/>
      </c>
      <c r="HD27" s="89" t="str">
        <f aca="false">IF($B27=HD$12,$O27,"")</f>
        <v/>
      </c>
      <c r="HE27" s="89" t="str">
        <f aca="false">IF($B27=HE$12,$O27,"")</f>
        <v/>
      </c>
      <c r="HF27" s="89" t="str">
        <f aca="false">IF($B27=HF$12,$O27,"")</f>
        <v/>
      </c>
      <c r="HG27" s="89" t="str">
        <f aca="false">IF($B27=HG$12,$O27,"")</f>
        <v/>
      </c>
      <c r="HH27" s="89" t="str">
        <f aca="false">IF($B27=HH$12,$O27,"")</f>
        <v/>
      </c>
      <c r="HI27" s="89" t="str">
        <f aca="false">IF($B27=HI$12,$O27,"")</f>
        <v/>
      </c>
      <c r="HJ27" s="89" t="str">
        <f aca="false">IF($B27=HJ$12,$O27,"")</f>
        <v/>
      </c>
      <c r="HK27" s="89" t="str">
        <f aca="false">IF($B27=HK$12,$O27,"")</f>
        <v/>
      </c>
      <c r="HL27" s="89" t="str">
        <f aca="false">IF($B27=HL$12,$O27,"")</f>
        <v/>
      </c>
      <c r="HM27" s="89" t="str">
        <f aca="false">IF($B27=HM$12,$O27,"")</f>
        <v/>
      </c>
      <c r="HN27" s="89" t="str">
        <f aca="false">IF($B27=HN$12,$O27,"")</f>
        <v/>
      </c>
      <c r="HO27" s="89" t="str">
        <f aca="false">IF($B27=HO$12,$O27,"")</f>
        <v/>
      </c>
      <c r="HP27" s="89" t="str">
        <f aca="false">IF($B27=HP$12,$O27,"")</f>
        <v/>
      </c>
      <c r="HQ27" s="89" t="str">
        <f aca="false">IF($B27=HQ$12,$O27,"")</f>
        <v/>
      </c>
      <c r="HR27" s="90" t="str">
        <f aca="false">IF($B27=HR$12,$O27,"")</f>
        <v/>
      </c>
    </row>
    <row r="28" customFormat="false" ht="10.5" hidden="false" customHeight="true" outlineLevel="0" collapsed="false">
      <c r="A28" s="75"/>
      <c r="B28" s="76"/>
      <c r="C28" s="77" t="str">
        <f aca="false">IF(A28=0,"",VLOOKUP(A28,[3]CO!$A$3:$F$5311,2,0))</f>
        <v/>
      </c>
      <c r="D28" s="78"/>
      <c r="E28" s="78"/>
      <c r="F28" s="78"/>
      <c r="G28" s="79" t="str">
        <f aca="false">IF(A28=0,"",VLOOKUP(A28,[3]CO!$A$3:$F$5311,3,0))</f>
        <v/>
      </c>
      <c r="H28" s="78"/>
      <c r="I28" s="80"/>
      <c r="J28" s="80"/>
      <c r="K28" s="80"/>
      <c r="L28" s="80"/>
      <c r="M28" s="81" t="str">
        <f aca="false">IF(L28=0,"",PRODUCT(I28:L28))</f>
        <v/>
      </c>
      <c r="N28" s="81" t="str">
        <f aca="false">IF(B28=0,"",IF(H28="M",HLOOKUP(B28,$Y$12:$DT$13,2),IF(A28=0,"",VLOOKUP(A28,[3]CO!$A$3:$F$5311,4,0))))</f>
        <v/>
      </c>
      <c r="O28" s="81" t="str">
        <f aca="false">IF(L28=0,"",PRODUCT(M28:N28))</f>
        <v/>
      </c>
      <c r="P28" s="82"/>
      <c r="Q28" s="83" t="str">
        <f aca="false">IF(P28=0,"",(HLOOKUP(P28,$DW$12:$HR$13,2)))</f>
        <v/>
      </c>
      <c r="R28" s="84" t="str">
        <f aca="false">IF(S28=0,"",IF(OR(G28="PEON",G28="OF",G28="JARD",G28="CARP",G28="MAESTRO",G28="SOLD",G28="BGRO",G28="CHOFER",G28="AYTE",G28="S.INTTE.",G28="ASEO",G28="P.PISOS",G28="VELADOR",G28="RESID",G28="PINTOR",G28="ELECT",G28="AZULE",G28="AUX CONT.",G28="SECRETARIA",G28="AUXILIAR ADMTVO.",G28="ARQUITECTO",G28="DIBUJANTE",G28="AUX. DE RESIDENTE"),VLOOKUP(B28,P$14:Q$57,2),"")*S28)</f>
        <v/>
      </c>
      <c r="S28" s="66"/>
      <c r="T28" s="67" t="str">
        <f aca="false">IF(A28=0,"",VLOOKUP(A28,[3]CO!$A$3:$F$5302,5,0))</f>
        <v/>
      </c>
      <c r="U28" s="56" t="n">
        <f aca="false">IF(T28=1,O28*0.1,)</f>
        <v>0</v>
      </c>
      <c r="V28" s="68"/>
      <c r="W28" s="91"/>
      <c r="X28" s="91"/>
      <c r="Y28" s="85" t="str">
        <f aca="false">IF($B28=Y$12,$U28,"")</f>
        <v/>
      </c>
      <c r="Z28" s="86" t="str">
        <f aca="false">IF($B28=Z$12,$U28,"")</f>
        <v/>
      </c>
      <c r="AA28" s="86" t="str">
        <f aca="false">IF($B28=AA$12,$U28,"")</f>
        <v/>
      </c>
      <c r="AB28" s="86" t="str">
        <f aca="false">IF($B28=AB$12,$U28,"")</f>
        <v/>
      </c>
      <c r="AC28" s="86" t="str">
        <f aca="false">IF($B28=AC$12,$U28,"")</f>
        <v/>
      </c>
      <c r="AD28" s="86" t="str">
        <f aca="false">IF($B28=AD$12,$U28,"")</f>
        <v/>
      </c>
      <c r="AE28" s="86" t="str">
        <f aca="false">IF($B28=AE$12,$U28,"")</f>
        <v/>
      </c>
      <c r="AF28" s="86" t="str">
        <f aca="false">IF($B28=AF$12,$U28,"")</f>
        <v/>
      </c>
      <c r="AG28" s="86" t="str">
        <f aca="false">IF($B28=AG$12,$U28,"")</f>
        <v/>
      </c>
      <c r="AH28" s="86" t="str">
        <f aca="false">IF($B28=AH$12,$U28,"")</f>
        <v/>
      </c>
      <c r="AI28" s="86" t="str">
        <f aca="false">IF($B28=AI$12,$U28,"")</f>
        <v/>
      </c>
      <c r="AJ28" s="86" t="str">
        <f aca="false">IF($B28=AJ$12,$U28,"")</f>
        <v/>
      </c>
      <c r="AK28" s="86" t="str">
        <f aca="false">IF($B28=AK$12,$U28,"")</f>
        <v/>
      </c>
      <c r="AL28" s="86" t="str">
        <f aca="false">IF($B28=AL$12,$U28,"")</f>
        <v/>
      </c>
      <c r="AM28" s="86" t="str">
        <f aca="false">IF($B28=AM$12,$U28,"")</f>
        <v/>
      </c>
      <c r="AN28" s="86" t="str">
        <f aca="false">IF($B28=AN$12,$U28,"")</f>
        <v/>
      </c>
      <c r="AO28" s="86" t="str">
        <f aca="false">IF($B28=AO$12,$U28,"")</f>
        <v/>
      </c>
      <c r="AP28" s="86" t="str">
        <f aca="false">IF($B28=AP$12,$U28,"")</f>
        <v/>
      </c>
      <c r="AQ28" s="86" t="str">
        <f aca="false">IF($B28=AQ$12,$U28,"")</f>
        <v/>
      </c>
      <c r="AR28" s="86" t="str">
        <f aca="false">IF($B28=AR$12,$U28,"")</f>
        <v/>
      </c>
      <c r="AS28" s="86" t="str">
        <f aca="false">IF($B28=AS$12,$U28,"")</f>
        <v/>
      </c>
      <c r="AT28" s="86" t="str">
        <f aca="false">IF($B28=AT$12,$U28,"")</f>
        <v/>
      </c>
      <c r="AU28" s="86" t="str">
        <f aca="false">IF($B28=AU$12,$U28,"")</f>
        <v/>
      </c>
      <c r="AV28" s="86" t="str">
        <f aca="false">IF($B28=AV$12,$U28,"")</f>
        <v/>
      </c>
      <c r="AW28" s="86" t="str">
        <f aca="false">IF($B28=AW$12,$U28,"")</f>
        <v/>
      </c>
      <c r="AX28" s="86" t="str">
        <f aca="false">IF($B28=AX$12,$U28,"")</f>
        <v/>
      </c>
      <c r="AY28" s="86" t="str">
        <f aca="false">IF($B28=AY$12,$U28,"")</f>
        <v/>
      </c>
      <c r="AZ28" s="86" t="str">
        <f aca="false">IF($B28=AZ$12,$U28,"")</f>
        <v/>
      </c>
      <c r="BA28" s="86" t="str">
        <f aca="false">IF($B28=BA$12,$U28,"")</f>
        <v/>
      </c>
      <c r="BB28" s="86" t="str">
        <f aca="false">IF($B28=BB$12,$U28,"")</f>
        <v/>
      </c>
      <c r="BC28" s="86" t="str">
        <f aca="false">IF($B28=BC$12,$U28,"")</f>
        <v/>
      </c>
      <c r="BD28" s="86" t="str">
        <f aca="false">IF($B28=BD$12,$U28,"")</f>
        <v/>
      </c>
      <c r="BE28" s="86" t="str">
        <f aca="false">IF($B28=BE$12,$U28,"")</f>
        <v/>
      </c>
      <c r="BF28" s="86" t="str">
        <f aca="false">IF($B28=BF$12,$U28,"")</f>
        <v/>
      </c>
      <c r="BG28" s="86" t="str">
        <f aca="false">IF($B28=BG$12,$U28,"")</f>
        <v/>
      </c>
      <c r="BH28" s="86" t="str">
        <f aca="false">IF($B28=BH$12,$U28,"")</f>
        <v/>
      </c>
      <c r="BI28" s="86" t="str">
        <f aca="false">IF($B28=BI$12,$U28,"")</f>
        <v/>
      </c>
      <c r="BJ28" s="86" t="str">
        <f aca="false">IF($B28=BJ$12,$U28,"")</f>
        <v/>
      </c>
      <c r="BK28" s="86" t="str">
        <f aca="false">IF($B28=BK$12,$U28,"")</f>
        <v/>
      </c>
      <c r="BL28" s="86" t="str">
        <f aca="false">IF($B28=BL$12,$U28,"")</f>
        <v/>
      </c>
      <c r="BM28" s="86" t="str">
        <f aca="false">IF($B28=BM$12,$U28,"")</f>
        <v/>
      </c>
      <c r="BN28" s="86" t="str">
        <f aca="false">IF($B28=BN$12,$U28,"")</f>
        <v/>
      </c>
      <c r="BO28" s="86" t="str">
        <f aca="false">IF($B28=BO$12,$U28,"")</f>
        <v/>
      </c>
      <c r="BP28" s="86" t="str">
        <f aca="false">IF($B28=BP$12,$U28,"")</f>
        <v/>
      </c>
      <c r="BQ28" s="86" t="str">
        <f aca="false">IF($B28=BQ$12,$U28,"")</f>
        <v/>
      </c>
      <c r="BR28" s="86" t="str">
        <f aca="false">IF($B28=BR$12,$U28,"")</f>
        <v/>
      </c>
      <c r="BS28" s="86" t="str">
        <f aca="false">IF($B28=BS$12,$U28,"")</f>
        <v/>
      </c>
      <c r="BT28" s="86" t="str">
        <f aca="false">IF($B28=BT$12,$U28,"")</f>
        <v/>
      </c>
      <c r="BU28" s="86" t="str">
        <f aca="false">IF($B28=BU$12,$U28,"")</f>
        <v/>
      </c>
      <c r="BV28" s="86" t="str">
        <f aca="false">IF($B28=BV$12,$U28,"")</f>
        <v/>
      </c>
      <c r="BW28" s="86" t="str">
        <f aca="false">IF($B28=BW$12,$U28,"")</f>
        <v/>
      </c>
      <c r="BX28" s="86" t="str">
        <f aca="false">IF($B28=BX$12,$U28,"")</f>
        <v/>
      </c>
      <c r="BY28" s="86" t="str">
        <f aca="false">IF($B28=BY$12,$U28,"")</f>
        <v/>
      </c>
      <c r="BZ28" s="86" t="str">
        <f aca="false">IF($B28=BZ$12,$U28,"")</f>
        <v/>
      </c>
      <c r="CA28" s="86" t="str">
        <f aca="false">IF($B28=CA$12,$U28,"")</f>
        <v/>
      </c>
      <c r="CB28" s="86" t="str">
        <f aca="false">IF($B28=CB$12,$U28,"")</f>
        <v/>
      </c>
      <c r="CC28" s="86" t="str">
        <f aca="false">IF($B28=CC$12,$U28,"")</f>
        <v/>
      </c>
      <c r="CD28" s="86" t="str">
        <f aca="false">IF($B28=CD$12,$U28,"")</f>
        <v/>
      </c>
      <c r="CE28" s="86" t="str">
        <f aca="false">IF($B28=CE$12,$U28,"")</f>
        <v/>
      </c>
      <c r="CF28" s="86" t="str">
        <f aca="false">IF($B28=CF$12,$U28,"")</f>
        <v/>
      </c>
      <c r="CG28" s="86" t="str">
        <f aca="false">IF($B28=CG$12,$U28,"")</f>
        <v/>
      </c>
      <c r="CH28" s="86" t="str">
        <f aca="false">IF($B28=CH$12,$U28,"")</f>
        <v/>
      </c>
      <c r="CI28" s="86" t="str">
        <f aca="false">IF($B28=CI$12,$U28,"")</f>
        <v/>
      </c>
      <c r="CJ28" s="86" t="str">
        <f aca="false">IF($B28=CJ$12,$U28,"")</f>
        <v/>
      </c>
      <c r="CK28" s="86" t="str">
        <f aca="false">IF($B28=CK$12,$U28,"")</f>
        <v/>
      </c>
      <c r="CL28" s="86" t="str">
        <f aca="false">IF($B28=CL$12,$U28,"")</f>
        <v/>
      </c>
      <c r="CM28" s="86" t="str">
        <f aca="false">IF($B28=CM$12,$U28,"")</f>
        <v/>
      </c>
      <c r="CN28" s="86" t="str">
        <f aca="false">IF($B28=CN$12,$U28,"")</f>
        <v/>
      </c>
      <c r="CO28" s="86" t="str">
        <f aca="false">IF($B28=CO$12,$U28,"")</f>
        <v/>
      </c>
      <c r="CP28" s="86" t="str">
        <f aca="false">IF($B28=CP$12,$U28,"")</f>
        <v/>
      </c>
      <c r="CQ28" s="86" t="str">
        <f aca="false">IF($B28=CQ$12,$U28,"")</f>
        <v/>
      </c>
      <c r="CR28" s="86" t="str">
        <f aca="false">IF($B28=CR$12,$U28,"")</f>
        <v/>
      </c>
      <c r="CS28" s="86" t="str">
        <f aca="false">IF($B28=CS$12,$U28,"")</f>
        <v/>
      </c>
      <c r="CT28" s="86" t="str">
        <f aca="false">IF($B28=CT$12,$U28,"")</f>
        <v/>
      </c>
      <c r="CU28" s="86" t="str">
        <f aca="false">IF($B28=CU$12,$U28,"")</f>
        <v/>
      </c>
      <c r="CV28" s="86" t="str">
        <f aca="false">IF($B28=CV$12,$U28,"")</f>
        <v/>
      </c>
      <c r="CW28" s="86" t="str">
        <f aca="false">IF($B28=CW$12,$U28,"")</f>
        <v/>
      </c>
      <c r="CX28" s="86" t="str">
        <f aca="false">IF($B28=CX$12,$U28,"")</f>
        <v/>
      </c>
      <c r="CY28" s="86" t="str">
        <f aca="false">IF($B28=CY$12,$U28,"")</f>
        <v/>
      </c>
      <c r="CZ28" s="86" t="str">
        <f aca="false">IF($B28=CZ$12,$U28,"")</f>
        <v/>
      </c>
      <c r="DA28" s="86" t="str">
        <f aca="false">IF($B28=DA$12,$U28,"")</f>
        <v/>
      </c>
      <c r="DB28" s="86" t="str">
        <f aca="false">IF($B28=DB$12,$U28,"")</f>
        <v/>
      </c>
      <c r="DC28" s="86" t="str">
        <f aca="false">IF($B28=DC$12,$U28,"")</f>
        <v/>
      </c>
      <c r="DD28" s="86" t="str">
        <f aca="false">IF($B28=DD$12,$U28,"")</f>
        <v/>
      </c>
      <c r="DE28" s="86" t="str">
        <f aca="false">IF($B28=DE$12,$U28,"")</f>
        <v/>
      </c>
      <c r="DF28" s="86" t="str">
        <f aca="false">IF($B28=DF$12,$U28,"")</f>
        <v/>
      </c>
      <c r="DG28" s="86" t="str">
        <f aca="false">IF($B28=DG$12,$U28,"")</f>
        <v/>
      </c>
      <c r="DH28" s="86" t="str">
        <f aca="false">IF($B28=DH$12,$U28,"")</f>
        <v/>
      </c>
      <c r="DI28" s="86" t="str">
        <f aca="false">IF($B28=DI$12,$U28,"")</f>
        <v/>
      </c>
      <c r="DJ28" s="86" t="str">
        <f aca="false">IF($B28=DJ$12,$U28,"")</f>
        <v/>
      </c>
      <c r="DK28" s="86" t="str">
        <f aca="false">IF($B28=DK$12,$U28,"")</f>
        <v/>
      </c>
      <c r="DL28" s="86" t="str">
        <f aca="false">IF($B28=DL$12,$U28,"")</f>
        <v/>
      </c>
      <c r="DM28" s="86" t="str">
        <f aca="false">IF($B28=DM$12,$U28,"")</f>
        <v/>
      </c>
      <c r="DN28" s="86" t="str">
        <f aca="false">IF($B28=DN$12,$U28,"")</f>
        <v/>
      </c>
      <c r="DO28" s="86" t="str">
        <f aca="false">IF($B28=DO$12,$U28,"")</f>
        <v/>
      </c>
      <c r="DP28" s="86" t="str">
        <f aca="false">IF($B28=DP$12,$U28,"")</f>
        <v/>
      </c>
      <c r="DQ28" s="86" t="str">
        <f aca="false">IF($B28=DQ$12,$U28,"")</f>
        <v/>
      </c>
      <c r="DR28" s="86" t="str">
        <f aca="false">IF($B28=DR$12,$U28,"")</f>
        <v/>
      </c>
      <c r="DS28" s="86" t="str">
        <f aca="false">IF($B28=DS$12,$U28,"")</f>
        <v/>
      </c>
      <c r="DT28" s="87" t="str">
        <f aca="false">IF($B28=DT$12,$U28,"")</f>
        <v/>
      </c>
      <c r="DU28" s="56"/>
      <c r="DV28" s="91"/>
      <c r="DW28" s="88" t="str">
        <f aca="false">IF($B28=DW$12,$O28,"")</f>
        <v/>
      </c>
      <c r="DX28" s="89" t="str">
        <f aca="false">IF($B28=DX$12,$O28,"")</f>
        <v/>
      </c>
      <c r="DY28" s="89" t="str">
        <f aca="false">IF($B28=DY$12,$O28,"")</f>
        <v/>
      </c>
      <c r="DZ28" s="89" t="str">
        <f aca="false">IF($B28=DZ$12,$O28,"")</f>
        <v/>
      </c>
      <c r="EA28" s="89" t="str">
        <f aca="false">IF($B28=EA$12,$O28,"")</f>
        <v/>
      </c>
      <c r="EB28" s="89" t="str">
        <f aca="false">IF($B28=EB$12,$O28,"")</f>
        <v/>
      </c>
      <c r="EC28" s="89" t="str">
        <f aca="false">IF($B28=EC$12,$O28,"")</f>
        <v/>
      </c>
      <c r="ED28" s="89" t="str">
        <f aca="false">IF($B28=ED$12,$O28,"")</f>
        <v/>
      </c>
      <c r="EE28" s="89" t="str">
        <f aca="false">IF($B28=EE$12,$O28,"")</f>
        <v/>
      </c>
      <c r="EF28" s="89" t="str">
        <f aca="false">IF($B28=EF$12,$O28,"")</f>
        <v/>
      </c>
      <c r="EG28" s="89" t="str">
        <f aca="false">IF($B28=EG$12,$O28,"")</f>
        <v/>
      </c>
      <c r="EH28" s="89" t="str">
        <f aca="false">IF($B28=EH$12,$O28,"")</f>
        <v/>
      </c>
      <c r="EI28" s="89" t="str">
        <f aca="false">IF($B28=EI$12,$O28,"")</f>
        <v/>
      </c>
      <c r="EJ28" s="89" t="str">
        <f aca="false">IF($B28=EJ$12,$O28,"")</f>
        <v/>
      </c>
      <c r="EK28" s="89" t="str">
        <f aca="false">IF($B28=EK$12,$O28,"")</f>
        <v/>
      </c>
      <c r="EL28" s="89" t="str">
        <f aca="false">IF($B28=EL$12,$O28,"")</f>
        <v/>
      </c>
      <c r="EM28" s="89" t="str">
        <f aca="false">IF($B28=EM$12,$O28,"")</f>
        <v/>
      </c>
      <c r="EN28" s="89" t="str">
        <f aca="false">IF($B28=EN$12,$O28,"")</f>
        <v/>
      </c>
      <c r="EO28" s="89" t="str">
        <f aca="false">IF($B28=EO$12,$O28,"")</f>
        <v/>
      </c>
      <c r="EP28" s="89" t="str">
        <f aca="false">IF($B28=EP$12,$O28,"")</f>
        <v/>
      </c>
      <c r="EQ28" s="89" t="str">
        <f aca="false">IF($B28=EQ$12,$O28,"")</f>
        <v/>
      </c>
      <c r="ER28" s="89" t="str">
        <f aca="false">IF($B28=ER$12,$O28,"")</f>
        <v/>
      </c>
      <c r="ES28" s="89" t="str">
        <f aca="false">IF($B28=ES$12,$O28,"")</f>
        <v/>
      </c>
      <c r="ET28" s="89" t="str">
        <f aca="false">IF($B28=ET$12,$O28,"")</f>
        <v/>
      </c>
      <c r="EU28" s="89" t="str">
        <f aca="false">IF($B28=EU$12,$O28,"")</f>
        <v/>
      </c>
      <c r="EV28" s="89" t="str">
        <f aca="false">IF($B28=EV$12,$O28,"")</f>
        <v/>
      </c>
      <c r="EW28" s="89" t="str">
        <f aca="false">IF($B28=EW$12,$O28,"")</f>
        <v/>
      </c>
      <c r="EX28" s="89" t="str">
        <f aca="false">IF($B28=EX$12,$O28,"")</f>
        <v/>
      </c>
      <c r="EY28" s="89" t="str">
        <f aca="false">IF($B28=EY$12,$O28,"")</f>
        <v/>
      </c>
      <c r="EZ28" s="89" t="str">
        <f aca="false">IF($B28=EZ$12,$O28,"")</f>
        <v/>
      </c>
      <c r="FA28" s="89" t="str">
        <f aca="false">IF($B28=FA$12,$O28,"")</f>
        <v/>
      </c>
      <c r="FB28" s="89" t="str">
        <f aca="false">IF($B28=FB$12,$O28,"")</f>
        <v/>
      </c>
      <c r="FC28" s="89" t="str">
        <f aca="false">IF($B28=FC$12,$O28,"")</f>
        <v/>
      </c>
      <c r="FD28" s="89" t="str">
        <f aca="false">IF($B28=FD$12,$O28,"")</f>
        <v/>
      </c>
      <c r="FE28" s="89" t="str">
        <f aca="false">IF($B28=FE$12,$O28,"")</f>
        <v/>
      </c>
      <c r="FF28" s="89" t="str">
        <f aca="false">IF($B28=FF$12,$O28,"")</f>
        <v/>
      </c>
      <c r="FG28" s="89" t="str">
        <f aca="false">IF($B28=FG$12,$O28,"")</f>
        <v/>
      </c>
      <c r="FH28" s="89" t="str">
        <f aca="false">IF($B28=FH$12,$O28,"")</f>
        <v/>
      </c>
      <c r="FI28" s="89" t="str">
        <f aca="false">IF($B28=FI$12,$O28,"")</f>
        <v/>
      </c>
      <c r="FJ28" s="89" t="str">
        <f aca="false">IF($B28=FJ$12,$O28,"")</f>
        <v/>
      </c>
      <c r="FK28" s="89" t="str">
        <f aca="false">IF($B28=FK$12,$O28,"")</f>
        <v/>
      </c>
      <c r="FL28" s="89" t="str">
        <f aca="false">IF($B28=FL$12,$O28,"")</f>
        <v/>
      </c>
      <c r="FM28" s="89" t="str">
        <f aca="false">IF($B28=FM$12,$O28,"")</f>
        <v/>
      </c>
      <c r="FN28" s="89" t="str">
        <f aca="false">IF($B28=FN$12,$O28,"")</f>
        <v/>
      </c>
      <c r="FO28" s="89" t="str">
        <f aca="false">IF($B28=FO$12,$O28,"")</f>
        <v/>
      </c>
      <c r="FP28" s="89" t="str">
        <f aca="false">IF($B28=FP$12,$O28,"")</f>
        <v/>
      </c>
      <c r="FQ28" s="89" t="str">
        <f aca="false">IF($B28=FQ$12,$O28,"")</f>
        <v/>
      </c>
      <c r="FR28" s="89" t="str">
        <f aca="false">IF($B28=FR$12,$O28,"")</f>
        <v/>
      </c>
      <c r="FS28" s="89" t="str">
        <f aca="false">IF($B28=FS$12,$O28,"")</f>
        <v/>
      </c>
      <c r="FT28" s="89" t="str">
        <f aca="false">IF($B28=FT$12,$O28,"")</f>
        <v/>
      </c>
      <c r="FU28" s="89" t="str">
        <f aca="false">IF($B28=FU$12,$O28,"")</f>
        <v/>
      </c>
      <c r="FV28" s="89" t="str">
        <f aca="false">IF($B28=FV$12,$O28,"")</f>
        <v/>
      </c>
      <c r="FW28" s="89" t="str">
        <f aca="false">IF($B28=FW$12,$O28,"")</f>
        <v/>
      </c>
      <c r="FX28" s="89" t="str">
        <f aca="false">IF($B28=FX$12,$O28,"")</f>
        <v/>
      </c>
      <c r="FY28" s="89" t="str">
        <f aca="false">IF($B28=FY$12,$O28,"")</f>
        <v/>
      </c>
      <c r="FZ28" s="89" t="str">
        <f aca="false">IF($B28=FZ$12,$O28,"")</f>
        <v/>
      </c>
      <c r="GA28" s="89" t="str">
        <f aca="false">IF($B28=GA$12,$O28,"")</f>
        <v/>
      </c>
      <c r="GB28" s="89" t="str">
        <f aca="false">IF($B28=GB$12,$O28,"")</f>
        <v/>
      </c>
      <c r="GC28" s="89" t="str">
        <f aca="false">IF($B28=GC$12,$O28,"")</f>
        <v/>
      </c>
      <c r="GD28" s="89" t="str">
        <f aca="false">IF($B28=GD$12,$O28,"")</f>
        <v/>
      </c>
      <c r="GE28" s="89" t="str">
        <f aca="false">IF($B28=GE$12,$O28,"")</f>
        <v/>
      </c>
      <c r="GF28" s="89" t="str">
        <f aca="false">IF($B28=GF$12,$O28,"")</f>
        <v/>
      </c>
      <c r="GG28" s="89" t="str">
        <f aca="false">IF($B28=GG$12,$O28,"")</f>
        <v/>
      </c>
      <c r="GH28" s="89" t="str">
        <f aca="false">IF($B28=GH$12,$O28,"")</f>
        <v/>
      </c>
      <c r="GI28" s="89" t="str">
        <f aca="false">IF($B28=GI$12,$O28,"")</f>
        <v/>
      </c>
      <c r="GJ28" s="89" t="str">
        <f aca="false">IF($B28=GJ$12,$O28,"")</f>
        <v/>
      </c>
      <c r="GK28" s="89" t="str">
        <f aca="false">IF($B28=GK$12,$O28,"")</f>
        <v/>
      </c>
      <c r="GL28" s="89" t="str">
        <f aca="false">IF($B28=GL$12,$O28,"")</f>
        <v/>
      </c>
      <c r="GM28" s="89" t="str">
        <f aca="false">IF($B28=GM$12,$O28,"")</f>
        <v/>
      </c>
      <c r="GN28" s="89" t="str">
        <f aca="false">IF($B28=GN$12,$O28,"")</f>
        <v/>
      </c>
      <c r="GO28" s="89" t="str">
        <f aca="false">IF($B28=GO$12,$O28,"")</f>
        <v/>
      </c>
      <c r="GP28" s="89" t="str">
        <f aca="false">IF($B28=GP$12,$O28,"")</f>
        <v/>
      </c>
      <c r="GQ28" s="89" t="str">
        <f aca="false">IF($B28=GQ$12,$O28,"")</f>
        <v/>
      </c>
      <c r="GR28" s="89" t="str">
        <f aca="false">IF($B28=GR$12,$O28,"")</f>
        <v/>
      </c>
      <c r="GS28" s="89" t="str">
        <f aca="false">IF($B28=GS$12,$O28,"")</f>
        <v/>
      </c>
      <c r="GT28" s="89" t="str">
        <f aca="false">IF($B28=GT$12,$O28,"")</f>
        <v/>
      </c>
      <c r="GU28" s="89" t="str">
        <f aca="false">IF($B28=GU$12,$O28,"")</f>
        <v/>
      </c>
      <c r="GV28" s="89" t="str">
        <f aca="false">IF($B28=GV$12,$O28,"")</f>
        <v/>
      </c>
      <c r="GW28" s="89" t="str">
        <f aca="false">IF($B28=GW$12,$O28,"")</f>
        <v/>
      </c>
      <c r="GX28" s="89" t="str">
        <f aca="false">IF($B28=GX$12,$O28,"")</f>
        <v/>
      </c>
      <c r="GY28" s="89" t="str">
        <f aca="false">IF($B28=GY$12,$O28,"")</f>
        <v/>
      </c>
      <c r="GZ28" s="89" t="str">
        <f aca="false">IF($B28=GZ$12,$O28,"")</f>
        <v/>
      </c>
      <c r="HA28" s="89" t="str">
        <f aca="false">IF($B28=HA$12,$O28,"")</f>
        <v/>
      </c>
      <c r="HB28" s="89" t="str">
        <f aca="false">IF($B28=HB$12,$O28,"")</f>
        <v/>
      </c>
      <c r="HC28" s="89" t="str">
        <f aca="false">IF($B28=HC$12,$O28,"")</f>
        <v/>
      </c>
      <c r="HD28" s="89" t="str">
        <f aca="false">IF($B28=HD$12,$O28,"")</f>
        <v/>
      </c>
      <c r="HE28" s="89" t="str">
        <f aca="false">IF($B28=HE$12,$O28,"")</f>
        <v/>
      </c>
      <c r="HF28" s="89" t="str">
        <f aca="false">IF($B28=HF$12,$O28,"")</f>
        <v/>
      </c>
      <c r="HG28" s="89" t="str">
        <f aca="false">IF($B28=HG$12,$O28,"")</f>
        <v/>
      </c>
      <c r="HH28" s="89" t="str">
        <f aca="false">IF($B28=HH$12,$O28,"")</f>
        <v/>
      </c>
      <c r="HI28" s="89" t="str">
        <f aca="false">IF($B28=HI$12,$O28,"")</f>
        <v/>
      </c>
      <c r="HJ28" s="89" t="str">
        <f aca="false">IF($B28=HJ$12,$O28,"")</f>
        <v/>
      </c>
      <c r="HK28" s="89" t="str">
        <f aca="false">IF($B28=HK$12,$O28,"")</f>
        <v/>
      </c>
      <c r="HL28" s="89" t="str">
        <f aca="false">IF($B28=HL$12,$O28,"")</f>
        <v/>
      </c>
      <c r="HM28" s="89" t="str">
        <f aca="false">IF($B28=HM$12,$O28,"")</f>
        <v/>
      </c>
      <c r="HN28" s="89" t="str">
        <f aca="false">IF($B28=HN$12,$O28,"")</f>
        <v/>
      </c>
      <c r="HO28" s="89" t="str">
        <f aca="false">IF($B28=HO$12,$O28,"")</f>
        <v/>
      </c>
      <c r="HP28" s="89" t="str">
        <f aca="false">IF($B28=HP$12,$O28,"")</f>
        <v/>
      </c>
      <c r="HQ28" s="89" t="str">
        <f aca="false">IF($B28=HQ$12,$O28,"")</f>
        <v/>
      </c>
      <c r="HR28" s="90" t="str">
        <f aca="false">IF($B28=HR$12,$O28,"")</f>
        <v/>
      </c>
    </row>
    <row r="29" customFormat="false" ht="10.5" hidden="false" customHeight="true" outlineLevel="0" collapsed="false">
      <c r="A29" s="75"/>
      <c r="B29" s="76"/>
      <c r="C29" s="77" t="str">
        <f aca="false">IF(A29=0,"",VLOOKUP(A29,[3]CO!$A$3:$F$5311,2,0))</f>
        <v/>
      </c>
      <c r="D29" s="78"/>
      <c r="E29" s="78"/>
      <c r="F29" s="78"/>
      <c r="G29" s="79" t="str">
        <f aca="false">IF(A29=0,"",VLOOKUP(A29,[3]CO!$A$3:$F$5311,3,0))</f>
        <v/>
      </c>
      <c r="H29" s="78"/>
      <c r="I29" s="80"/>
      <c r="J29" s="80"/>
      <c r="K29" s="80"/>
      <c r="L29" s="80"/>
      <c r="M29" s="81" t="str">
        <f aca="false">IF(L29=0,"",PRODUCT(I29:L29))</f>
        <v/>
      </c>
      <c r="N29" s="81" t="str">
        <f aca="false">IF(B29=0,"",IF(H29="M",HLOOKUP(B29,$Y$12:$DT$13,2),IF(A29=0,"",VLOOKUP(A29,[3]CO!$A$3:$F$5311,4,0))))</f>
        <v/>
      </c>
      <c r="O29" s="81" t="str">
        <f aca="false">IF(L29=0,"",PRODUCT(M29:N29))</f>
        <v/>
      </c>
      <c r="P29" s="82"/>
      <c r="Q29" s="83" t="str">
        <f aca="false">IF(P29=0,"",(HLOOKUP(P29,$DW$12:$HR$13,2)))</f>
        <v/>
      </c>
      <c r="R29" s="84" t="str">
        <f aca="false">IF(S29=0,"",IF(OR(G29="PEON",G29="OF",G29="JARD",G29="CARP",G29="MAESTRO",G29="SOLD",G29="BGRO",G29="CHOFER",G29="AYTE",G29="S.INTTE.",G29="ASEO",G29="P.PISOS",G29="VELADOR",G29="RESID",G29="PINTOR",G29="ELECT",G29="AZULE",G29="AUX CONT.",G29="SECRETARIA",G29="AUXILIAR ADMTVO.",G29="ARQUITECTO",G29="DIBUJANTE",G29="AUX. DE RESIDENTE"),VLOOKUP(B29,P$14:Q$57,2),"")*S29)</f>
        <v/>
      </c>
      <c r="S29" s="66"/>
      <c r="T29" s="67" t="str">
        <f aca="false">IF(A29=0,"",VLOOKUP(A29,[3]CO!$A$3:$F$5302,5,0))</f>
        <v/>
      </c>
      <c r="U29" s="56" t="n">
        <f aca="false">IF(T29=1,O29*0.1,)</f>
        <v>0</v>
      </c>
      <c r="V29" s="68"/>
      <c r="W29" s="91"/>
      <c r="X29" s="91"/>
      <c r="Y29" s="85" t="str">
        <f aca="false">IF($B29=Y$12,$U29,"")</f>
        <v/>
      </c>
      <c r="Z29" s="86" t="str">
        <f aca="false">IF($B29=Z$12,$U29,"")</f>
        <v/>
      </c>
      <c r="AA29" s="86" t="str">
        <f aca="false">IF($B29=AA$12,$U29,"")</f>
        <v/>
      </c>
      <c r="AB29" s="86" t="str">
        <f aca="false">IF($B29=AB$12,$U29,"")</f>
        <v/>
      </c>
      <c r="AC29" s="86" t="str">
        <f aca="false">IF($B29=AC$12,$U29,"")</f>
        <v/>
      </c>
      <c r="AD29" s="86" t="str">
        <f aca="false">IF($B29=AD$12,$U29,"")</f>
        <v/>
      </c>
      <c r="AE29" s="86" t="str">
        <f aca="false">IF($B29=AE$12,$U29,"")</f>
        <v/>
      </c>
      <c r="AF29" s="86" t="str">
        <f aca="false">IF($B29=AF$12,$U29,"")</f>
        <v/>
      </c>
      <c r="AG29" s="86" t="str">
        <f aca="false">IF($B29=AG$12,$U29,"")</f>
        <v/>
      </c>
      <c r="AH29" s="86" t="str">
        <f aca="false">IF($B29=AH$12,$U29,"")</f>
        <v/>
      </c>
      <c r="AI29" s="86" t="str">
        <f aca="false">IF($B29=AI$12,$U29,"")</f>
        <v/>
      </c>
      <c r="AJ29" s="86" t="str">
        <f aca="false">IF($B29=AJ$12,$U29,"")</f>
        <v/>
      </c>
      <c r="AK29" s="86" t="str">
        <f aca="false">IF($B29=AK$12,$U29,"")</f>
        <v/>
      </c>
      <c r="AL29" s="86" t="str">
        <f aca="false">IF($B29=AL$12,$U29,"")</f>
        <v/>
      </c>
      <c r="AM29" s="86" t="str">
        <f aca="false">IF($B29=AM$12,$U29,"")</f>
        <v/>
      </c>
      <c r="AN29" s="86" t="str">
        <f aca="false">IF($B29=AN$12,$U29,"")</f>
        <v/>
      </c>
      <c r="AO29" s="86" t="str">
        <f aca="false">IF($B29=AO$12,$U29,"")</f>
        <v/>
      </c>
      <c r="AP29" s="86" t="str">
        <f aca="false">IF($B29=AP$12,$U29,"")</f>
        <v/>
      </c>
      <c r="AQ29" s="86" t="str">
        <f aca="false">IF($B29=AQ$12,$U29,"")</f>
        <v/>
      </c>
      <c r="AR29" s="86" t="str">
        <f aca="false">IF($B29=AR$12,$U29,"")</f>
        <v/>
      </c>
      <c r="AS29" s="86" t="str">
        <f aca="false">IF($B29=AS$12,$U29,"")</f>
        <v/>
      </c>
      <c r="AT29" s="86" t="str">
        <f aca="false">IF($B29=AT$12,$U29,"")</f>
        <v/>
      </c>
      <c r="AU29" s="86" t="str">
        <f aca="false">IF($B29=AU$12,$U29,"")</f>
        <v/>
      </c>
      <c r="AV29" s="86" t="str">
        <f aca="false">IF($B29=AV$12,$U29,"")</f>
        <v/>
      </c>
      <c r="AW29" s="86" t="str">
        <f aca="false">IF($B29=AW$12,$U29,"")</f>
        <v/>
      </c>
      <c r="AX29" s="86" t="str">
        <f aca="false">IF($B29=AX$12,$U29,"")</f>
        <v/>
      </c>
      <c r="AY29" s="86" t="str">
        <f aca="false">IF($B29=AY$12,$U29,"")</f>
        <v/>
      </c>
      <c r="AZ29" s="86" t="str">
        <f aca="false">IF($B29=AZ$12,$U29,"")</f>
        <v/>
      </c>
      <c r="BA29" s="86" t="str">
        <f aca="false">IF($B29=BA$12,$U29,"")</f>
        <v/>
      </c>
      <c r="BB29" s="86" t="str">
        <f aca="false">IF($B29=BB$12,$U29,"")</f>
        <v/>
      </c>
      <c r="BC29" s="86" t="str">
        <f aca="false">IF($B29=BC$12,$U29,"")</f>
        <v/>
      </c>
      <c r="BD29" s="86" t="str">
        <f aca="false">IF($B29=BD$12,$U29,"")</f>
        <v/>
      </c>
      <c r="BE29" s="86" t="str">
        <f aca="false">IF($B29=BE$12,$U29,"")</f>
        <v/>
      </c>
      <c r="BF29" s="86" t="str">
        <f aca="false">IF($B29=BF$12,$U29,"")</f>
        <v/>
      </c>
      <c r="BG29" s="86" t="str">
        <f aca="false">IF($B29=BG$12,$U29,"")</f>
        <v/>
      </c>
      <c r="BH29" s="86" t="str">
        <f aca="false">IF($B29=BH$12,$U29,"")</f>
        <v/>
      </c>
      <c r="BI29" s="86" t="str">
        <f aca="false">IF($B29=BI$12,$U29,"")</f>
        <v/>
      </c>
      <c r="BJ29" s="86" t="str">
        <f aca="false">IF($B29=BJ$12,$U29,"")</f>
        <v/>
      </c>
      <c r="BK29" s="86" t="str">
        <f aca="false">IF($B29=BK$12,$U29,"")</f>
        <v/>
      </c>
      <c r="BL29" s="86" t="str">
        <f aca="false">IF($B29=BL$12,$U29,"")</f>
        <v/>
      </c>
      <c r="BM29" s="86" t="str">
        <f aca="false">IF($B29=BM$12,$U29,"")</f>
        <v/>
      </c>
      <c r="BN29" s="86" t="str">
        <f aca="false">IF($B29=BN$12,$U29,"")</f>
        <v/>
      </c>
      <c r="BO29" s="86" t="str">
        <f aca="false">IF($B29=BO$12,$U29,"")</f>
        <v/>
      </c>
      <c r="BP29" s="86" t="str">
        <f aca="false">IF($B29=BP$12,$U29,"")</f>
        <v/>
      </c>
      <c r="BQ29" s="86" t="str">
        <f aca="false">IF($B29=BQ$12,$U29,"")</f>
        <v/>
      </c>
      <c r="BR29" s="86" t="str">
        <f aca="false">IF($B29=BR$12,$U29,"")</f>
        <v/>
      </c>
      <c r="BS29" s="86" t="str">
        <f aca="false">IF($B29=BS$12,$U29,"")</f>
        <v/>
      </c>
      <c r="BT29" s="86" t="str">
        <f aca="false">IF($B29=BT$12,$U29,"")</f>
        <v/>
      </c>
      <c r="BU29" s="86" t="str">
        <f aca="false">IF($B29=BU$12,$U29,"")</f>
        <v/>
      </c>
      <c r="BV29" s="86" t="str">
        <f aca="false">IF($B29=BV$12,$U29,"")</f>
        <v/>
      </c>
      <c r="BW29" s="86" t="str">
        <f aca="false">IF($B29=BW$12,$U29,"")</f>
        <v/>
      </c>
      <c r="BX29" s="86" t="str">
        <f aca="false">IF($B29=BX$12,$U29,"")</f>
        <v/>
      </c>
      <c r="BY29" s="86" t="str">
        <f aca="false">IF($B29=BY$12,$U29,"")</f>
        <v/>
      </c>
      <c r="BZ29" s="86" t="str">
        <f aca="false">IF($B29=BZ$12,$U29,"")</f>
        <v/>
      </c>
      <c r="CA29" s="86" t="str">
        <f aca="false">IF($B29=CA$12,$U29,"")</f>
        <v/>
      </c>
      <c r="CB29" s="86" t="str">
        <f aca="false">IF($B29=CB$12,$U29,"")</f>
        <v/>
      </c>
      <c r="CC29" s="86" t="str">
        <f aca="false">IF($B29=CC$12,$U29,"")</f>
        <v/>
      </c>
      <c r="CD29" s="86" t="str">
        <f aca="false">IF($B29=CD$12,$U29,"")</f>
        <v/>
      </c>
      <c r="CE29" s="86" t="str">
        <f aca="false">IF($B29=CE$12,$U29,"")</f>
        <v/>
      </c>
      <c r="CF29" s="86" t="str">
        <f aca="false">IF($B29=CF$12,$U29,"")</f>
        <v/>
      </c>
      <c r="CG29" s="86" t="str">
        <f aca="false">IF($B29=CG$12,$U29,"")</f>
        <v/>
      </c>
      <c r="CH29" s="86" t="str">
        <f aca="false">IF($B29=CH$12,$U29,"")</f>
        <v/>
      </c>
      <c r="CI29" s="86" t="str">
        <f aca="false">IF($B29=CI$12,$U29,"")</f>
        <v/>
      </c>
      <c r="CJ29" s="86" t="str">
        <f aca="false">IF($B29=CJ$12,$U29,"")</f>
        <v/>
      </c>
      <c r="CK29" s="86" t="str">
        <f aca="false">IF($B29=CK$12,$U29,"")</f>
        <v/>
      </c>
      <c r="CL29" s="86" t="str">
        <f aca="false">IF($B29=CL$12,$U29,"")</f>
        <v/>
      </c>
      <c r="CM29" s="86" t="str">
        <f aca="false">IF($B29=CM$12,$U29,"")</f>
        <v/>
      </c>
      <c r="CN29" s="86" t="str">
        <f aca="false">IF($B29=CN$12,$U29,"")</f>
        <v/>
      </c>
      <c r="CO29" s="86" t="str">
        <f aca="false">IF($B29=CO$12,$U29,"")</f>
        <v/>
      </c>
      <c r="CP29" s="86" t="str">
        <f aca="false">IF($B29=CP$12,$U29,"")</f>
        <v/>
      </c>
      <c r="CQ29" s="86" t="str">
        <f aca="false">IF($B29=CQ$12,$U29,"")</f>
        <v/>
      </c>
      <c r="CR29" s="86" t="str">
        <f aca="false">IF($B29=CR$12,$U29,"")</f>
        <v/>
      </c>
      <c r="CS29" s="86" t="str">
        <f aca="false">IF($B29=CS$12,$U29,"")</f>
        <v/>
      </c>
      <c r="CT29" s="86" t="str">
        <f aca="false">IF($B29=CT$12,$U29,"")</f>
        <v/>
      </c>
      <c r="CU29" s="86" t="str">
        <f aca="false">IF($B29=CU$12,$U29,"")</f>
        <v/>
      </c>
      <c r="CV29" s="86" t="str">
        <f aca="false">IF($B29=CV$12,$U29,"")</f>
        <v/>
      </c>
      <c r="CW29" s="86" t="str">
        <f aca="false">IF($B29=CW$12,$U29,"")</f>
        <v/>
      </c>
      <c r="CX29" s="86" t="str">
        <f aca="false">IF($B29=CX$12,$U29,"")</f>
        <v/>
      </c>
      <c r="CY29" s="86" t="str">
        <f aca="false">IF($B29=CY$12,$U29,"")</f>
        <v/>
      </c>
      <c r="CZ29" s="86" t="str">
        <f aca="false">IF($B29=CZ$12,$U29,"")</f>
        <v/>
      </c>
      <c r="DA29" s="86" t="str">
        <f aca="false">IF($B29=DA$12,$U29,"")</f>
        <v/>
      </c>
      <c r="DB29" s="86" t="str">
        <f aca="false">IF($B29=DB$12,$U29,"")</f>
        <v/>
      </c>
      <c r="DC29" s="86" t="str">
        <f aca="false">IF($B29=DC$12,$U29,"")</f>
        <v/>
      </c>
      <c r="DD29" s="86" t="str">
        <f aca="false">IF($B29=DD$12,$U29,"")</f>
        <v/>
      </c>
      <c r="DE29" s="86" t="str">
        <f aca="false">IF($B29=DE$12,$U29,"")</f>
        <v/>
      </c>
      <c r="DF29" s="86" t="str">
        <f aca="false">IF($B29=DF$12,$U29,"")</f>
        <v/>
      </c>
      <c r="DG29" s="86" t="str">
        <f aca="false">IF($B29=DG$12,$U29,"")</f>
        <v/>
      </c>
      <c r="DH29" s="86" t="str">
        <f aca="false">IF($B29=DH$12,$U29,"")</f>
        <v/>
      </c>
      <c r="DI29" s="86" t="str">
        <f aca="false">IF($B29=DI$12,$U29,"")</f>
        <v/>
      </c>
      <c r="DJ29" s="86" t="str">
        <f aca="false">IF($B29=DJ$12,$U29,"")</f>
        <v/>
      </c>
      <c r="DK29" s="86" t="str">
        <f aca="false">IF($B29=DK$12,$U29,"")</f>
        <v/>
      </c>
      <c r="DL29" s="86" t="str">
        <f aca="false">IF($B29=DL$12,$U29,"")</f>
        <v/>
      </c>
      <c r="DM29" s="86" t="str">
        <f aca="false">IF($B29=DM$12,$U29,"")</f>
        <v/>
      </c>
      <c r="DN29" s="86" t="str">
        <f aca="false">IF($B29=DN$12,$U29,"")</f>
        <v/>
      </c>
      <c r="DO29" s="86" t="str">
        <f aca="false">IF($B29=DO$12,$U29,"")</f>
        <v/>
      </c>
      <c r="DP29" s="86" t="str">
        <f aca="false">IF($B29=DP$12,$U29,"")</f>
        <v/>
      </c>
      <c r="DQ29" s="86" t="str">
        <f aca="false">IF($B29=DQ$12,$U29,"")</f>
        <v/>
      </c>
      <c r="DR29" s="86" t="str">
        <f aca="false">IF($B29=DR$12,$U29,"")</f>
        <v/>
      </c>
      <c r="DS29" s="86" t="str">
        <f aca="false">IF($B29=DS$12,$U29,"")</f>
        <v/>
      </c>
      <c r="DT29" s="87" t="str">
        <f aca="false">IF($B29=DT$12,$U29,"")</f>
        <v/>
      </c>
      <c r="DU29" s="56"/>
      <c r="DV29" s="91"/>
      <c r="DW29" s="88" t="str">
        <f aca="false">IF($B29=DW$12,$O29,"")</f>
        <v/>
      </c>
      <c r="DX29" s="89" t="str">
        <f aca="false">IF($B29=DX$12,$O29,"")</f>
        <v/>
      </c>
      <c r="DY29" s="89" t="str">
        <f aca="false">IF($B29=DY$12,$O29,"")</f>
        <v/>
      </c>
      <c r="DZ29" s="89" t="str">
        <f aca="false">IF($B29=DZ$12,$O29,"")</f>
        <v/>
      </c>
      <c r="EA29" s="89" t="str">
        <f aca="false">IF($B29=EA$12,$O29,"")</f>
        <v/>
      </c>
      <c r="EB29" s="89" t="str">
        <f aca="false">IF($B29=EB$12,$O29,"")</f>
        <v/>
      </c>
      <c r="EC29" s="89" t="str">
        <f aca="false">IF($B29=EC$12,$O29,"")</f>
        <v/>
      </c>
      <c r="ED29" s="89" t="str">
        <f aca="false">IF($B29=ED$12,$O29,"")</f>
        <v/>
      </c>
      <c r="EE29" s="89" t="str">
        <f aca="false">IF($B29=EE$12,$O29,"")</f>
        <v/>
      </c>
      <c r="EF29" s="89" t="str">
        <f aca="false">IF($B29=EF$12,$O29,"")</f>
        <v/>
      </c>
      <c r="EG29" s="89" t="str">
        <f aca="false">IF($B29=EG$12,$O29,"")</f>
        <v/>
      </c>
      <c r="EH29" s="89" t="str">
        <f aca="false">IF($B29=EH$12,$O29,"")</f>
        <v/>
      </c>
      <c r="EI29" s="89" t="str">
        <f aca="false">IF($B29=EI$12,$O29,"")</f>
        <v/>
      </c>
      <c r="EJ29" s="89" t="str">
        <f aca="false">IF($B29=EJ$12,$O29,"")</f>
        <v/>
      </c>
      <c r="EK29" s="89" t="str">
        <f aca="false">IF($B29=EK$12,$O29,"")</f>
        <v/>
      </c>
      <c r="EL29" s="89" t="str">
        <f aca="false">IF($B29=EL$12,$O29,"")</f>
        <v/>
      </c>
      <c r="EM29" s="89" t="str">
        <f aca="false">IF($B29=EM$12,$O29,"")</f>
        <v/>
      </c>
      <c r="EN29" s="89" t="str">
        <f aca="false">IF($B29=EN$12,$O29,"")</f>
        <v/>
      </c>
      <c r="EO29" s="89" t="str">
        <f aca="false">IF($B29=EO$12,$O29,"")</f>
        <v/>
      </c>
      <c r="EP29" s="89" t="str">
        <f aca="false">IF($B29=EP$12,$O29,"")</f>
        <v/>
      </c>
      <c r="EQ29" s="89" t="str">
        <f aca="false">IF($B29=EQ$12,$O29,"")</f>
        <v/>
      </c>
      <c r="ER29" s="89" t="str">
        <f aca="false">IF($B29=ER$12,$O29,"")</f>
        <v/>
      </c>
      <c r="ES29" s="89" t="str">
        <f aca="false">IF($B29=ES$12,$O29,"")</f>
        <v/>
      </c>
      <c r="ET29" s="89" t="str">
        <f aca="false">IF($B29=ET$12,$O29,"")</f>
        <v/>
      </c>
      <c r="EU29" s="89" t="str">
        <f aca="false">IF($B29=EU$12,$O29,"")</f>
        <v/>
      </c>
      <c r="EV29" s="89" t="str">
        <f aca="false">IF($B29=EV$12,$O29,"")</f>
        <v/>
      </c>
      <c r="EW29" s="89" t="str">
        <f aca="false">IF($B29=EW$12,$O29,"")</f>
        <v/>
      </c>
      <c r="EX29" s="89" t="str">
        <f aca="false">IF($B29=EX$12,$O29,"")</f>
        <v/>
      </c>
      <c r="EY29" s="89" t="str">
        <f aca="false">IF($B29=EY$12,$O29,"")</f>
        <v/>
      </c>
      <c r="EZ29" s="89" t="str">
        <f aca="false">IF($B29=EZ$12,$O29,"")</f>
        <v/>
      </c>
      <c r="FA29" s="89" t="str">
        <f aca="false">IF($B29=FA$12,$O29,"")</f>
        <v/>
      </c>
      <c r="FB29" s="89" t="str">
        <f aca="false">IF($B29=FB$12,$O29,"")</f>
        <v/>
      </c>
      <c r="FC29" s="89" t="str">
        <f aca="false">IF($B29=FC$12,$O29,"")</f>
        <v/>
      </c>
      <c r="FD29" s="89" t="str">
        <f aca="false">IF($B29=FD$12,$O29,"")</f>
        <v/>
      </c>
      <c r="FE29" s="89" t="str">
        <f aca="false">IF($B29=FE$12,$O29,"")</f>
        <v/>
      </c>
      <c r="FF29" s="89" t="str">
        <f aca="false">IF($B29=FF$12,$O29,"")</f>
        <v/>
      </c>
      <c r="FG29" s="89" t="str">
        <f aca="false">IF($B29=FG$12,$O29,"")</f>
        <v/>
      </c>
      <c r="FH29" s="89" t="str">
        <f aca="false">IF($B29=FH$12,$O29,"")</f>
        <v/>
      </c>
      <c r="FI29" s="89" t="str">
        <f aca="false">IF($B29=FI$12,$O29,"")</f>
        <v/>
      </c>
      <c r="FJ29" s="89" t="str">
        <f aca="false">IF($B29=FJ$12,$O29,"")</f>
        <v/>
      </c>
      <c r="FK29" s="89" t="str">
        <f aca="false">IF($B29=FK$12,$O29,"")</f>
        <v/>
      </c>
      <c r="FL29" s="89" t="str">
        <f aca="false">IF($B29=FL$12,$O29,"")</f>
        <v/>
      </c>
      <c r="FM29" s="89" t="str">
        <f aca="false">IF($B29=FM$12,$O29,"")</f>
        <v/>
      </c>
      <c r="FN29" s="89" t="str">
        <f aca="false">IF($B29=FN$12,$O29,"")</f>
        <v/>
      </c>
      <c r="FO29" s="89" t="str">
        <f aca="false">IF($B29=FO$12,$O29,"")</f>
        <v/>
      </c>
      <c r="FP29" s="89" t="str">
        <f aca="false">IF($B29=FP$12,$O29,"")</f>
        <v/>
      </c>
      <c r="FQ29" s="89" t="str">
        <f aca="false">IF($B29=FQ$12,$O29,"")</f>
        <v/>
      </c>
      <c r="FR29" s="89" t="str">
        <f aca="false">IF($B29=FR$12,$O29,"")</f>
        <v/>
      </c>
      <c r="FS29" s="89" t="str">
        <f aca="false">IF($B29=FS$12,$O29,"")</f>
        <v/>
      </c>
      <c r="FT29" s="89" t="str">
        <f aca="false">IF($B29=FT$12,$O29,"")</f>
        <v/>
      </c>
      <c r="FU29" s="89" t="str">
        <f aca="false">IF($B29=FU$12,$O29,"")</f>
        <v/>
      </c>
      <c r="FV29" s="89" t="str">
        <f aca="false">IF($B29=FV$12,$O29,"")</f>
        <v/>
      </c>
      <c r="FW29" s="89" t="str">
        <f aca="false">IF($B29=FW$12,$O29,"")</f>
        <v/>
      </c>
      <c r="FX29" s="89" t="str">
        <f aca="false">IF($B29=FX$12,$O29,"")</f>
        <v/>
      </c>
      <c r="FY29" s="89" t="str">
        <f aca="false">IF($B29=FY$12,$O29,"")</f>
        <v/>
      </c>
      <c r="FZ29" s="89" t="str">
        <f aca="false">IF($B29=FZ$12,$O29,"")</f>
        <v/>
      </c>
      <c r="GA29" s="89" t="str">
        <f aca="false">IF($B29=GA$12,$O29,"")</f>
        <v/>
      </c>
      <c r="GB29" s="89" t="str">
        <f aca="false">IF($B29=GB$12,$O29,"")</f>
        <v/>
      </c>
      <c r="GC29" s="89" t="str">
        <f aca="false">IF($B29=GC$12,$O29,"")</f>
        <v/>
      </c>
      <c r="GD29" s="89" t="str">
        <f aca="false">IF($B29=GD$12,$O29,"")</f>
        <v/>
      </c>
      <c r="GE29" s="89" t="str">
        <f aca="false">IF($B29=GE$12,$O29,"")</f>
        <v/>
      </c>
      <c r="GF29" s="89" t="str">
        <f aca="false">IF($B29=GF$12,$O29,"")</f>
        <v/>
      </c>
      <c r="GG29" s="89" t="str">
        <f aca="false">IF($B29=GG$12,$O29,"")</f>
        <v/>
      </c>
      <c r="GH29" s="89" t="str">
        <f aca="false">IF($B29=GH$12,$O29,"")</f>
        <v/>
      </c>
      <c r="GI29" s="89" t="str">
        <f aca="false">IF($B29=GI$12,$O29,"")</f>
        <v/>
      </c>
      <c r="GJ29" s="89" t="str">
        <f aca="false">IF($B29=GJ$12,$O29,"")</f>
        <v/>
      </c>
      <c r="GK29" s="89" t="str">
        <f aca="false">IF($B29=GK$12,$O29,"")</f>
        <v/>
      </c>
      <c r="GL29" s="89" t="str">
        <f aca="false">IF($B29=GL$12,$O29,"")</f>
        <v/>
      </c>
      <c r="GM29" s="89" t="str">
        <f aca="false">IF($B29=GM$12,$O29,"")</f>
        <v/>
      </c>
      <c r="GN29" s="89" t="str">
        <f aca="false">IF($B29=GN$12,$O29,"")</f>
        <v/>
      </c>
      <c r="GO29" s="89" t="str">
        <f aca="false">IF($B29=GO$12,$O29,"")</f>
        <v/>
      </c>
      <c r="GP29" s="89" t="str">
        <f aca="false">IF($B29=GP$12,$O29,"")</f>
        <v/>
      </c>
      <c r="GQ29" s="89" t="str">
        <f aca="false">IF($B29=GQ$12,$O29,"")</f>
        <v/>
      </c>
      <c r="GR29" s="89" t="str">
        <f aca="false">IF($B29=GR$12,$O29,"")</f>
        <v/>
      </c>
      <c r="GS29" s="89" t="str">
        <f aca="false">IF($B29=GS$12,$O29,"")</f>
        <v/>
      </c>
      <c r="GT29" s="89" t="str">
        <f aca="false">IF($B29=GT$12,$O29,"")</f>
        <v/>
      </c>
      <c r="GU29" s="89" t="str">
        <f aca="false">IF($B29=GU$12,$O29,"")</f>
        <v/>
      </c>
      <c r="GV29" s="89" t="str">
        <f aca="false">IF($B29=GV$12,$O29,"")</f>
        <v/>
      </c>
      <c r="GW29" s="89" t="str">
        <f aca="false">IF($B29=GW$12,$O29,"")</f>
        <v/>
      </c>
      <c r="GX29" s="89" t="str">
        <f aca="false">IF($B29=GX$12,$O29,"")</f>
        <v/>
      </c>
      <c r="GY29" s="89" t="str">
        <f aca="false">IF($B29=GY$12,$O29,"")</f>
        <v/>
      </c>
      <c r="GZ29" s="89" t="str">
        <f aca="false">IF($B29=GZ$12,$O29,"")</f>
        <v/>
      </c>
      <c r="HA29" s="89" t="str">
        <f aca="false">IF($B29=HA$12,$O29,"")</f>
        <v/>
      </c>
      <c r="HB29" s="89" t="str">
        <f aca="false">IF($B29=HB$12,$O29,"")</f>
        <v/>
      </c>
      <c r="HC29" s="89" t="str">
        <f aca="false">IF($B29=HC$12,$O29,"")</f>
        <v/>
      </c>
      <c r="HD29" s="89" t="str">
        <f aca="false">IF($B29=HD$12,$O29,"")</f>
        <v/>
      </c>
      <c r="HE29" s="89" t="str">
        <f aca="false">IF($B29=HE$12,$O29,"")</f>
        <v/>
      </c>
      <c r="HF29" s="89" t="str">
        <f aca="false">IF($B29=HF$12,$O29,"")</f>
        <v/>
      </c>
      <c r="HG29" s="89" t="str">
        <f aca="false">IF($B29=HG$12,$O29,"")</f>
        <v/>
      </c>
      <c r="HH29" s="89" t="str">
        <f aca="false">IF($B29=HH$12,$O29,"")</f>
        <v/>
      </c>
      <c r="HI29" s="89" t="str">
        <f aca="false">IF($B29=HI$12,$O29,"")</f>
        <v/>
      </c>
      <c r="HJ29" s="89" t="str">
        <f aca="false">IF($B29=HJ$12,$O29,"")</f>
        <v/>
      </c>
      <c r="HK29" s="89" t="str">
        <f aca="false">IF($B29=HK$12,$O29,"")</f>
        <v/>
      </c>
      <c r="HL29" s="89" t="str">
        <f aca="false">IF($B29=HL$12,$O29,"")</f>
        <v/>
      </c>
      <c r="HM29" s="89" t="str">
        <f aca="false">IF($B29=HM$12,$O29,"")</f>
        <v/>
      </c>
      <c r="HN29" s="89" t="str">
        <f aca="false">IF($B29=HN$12,$O29,"")</f>
        <v/>
      </c>
      <c r="HO29" s="89" t="str">
        <f aca="false">IF($B29=HO$12,$O29,"")</f>
        <v/>
      </c>
      <c r="HP29" s="89" t="str">
        <f aca="false">IF($B29=HP$12,$O29,"")</f>
        <v/>
      </c>
      <c r="HQ29" s="89" t="str">
        <f aca="false">IF($B29=HQ$12,$O29,"")</f>
        <v/>
      </c>
      <c r="HR29" s="90" t="str">
        <f aca="false">IF($B29=HR$12,$O29,"")</f>
        <v/>
      </c>
    </row>
    <row r="30" customFormat="false" ht="10.5" hidden="false" customHeight="true" outlineLevel="0" collapsed="false">
      <c r="A30" s="75"/>
      <c r="B30" s="76"/>
      <c r="C30" s="77" t="str">
        <f aca="false">IF(A30=0,"",VLOOKUP(A30,[3]CO!$A$3:$F$5311,2,0))</f>
        <v/>
      </c>
      <c r="D30" s="78"/>
      <c r="E30" s="78"/>
      <c r="F30" s="78"/>
      <c r="G30" s="79" t="str">
        <f aca="false">IF(A30=0,"",VLOOKUP(A30,[3]CO!$A$3:$F$5311,3,0))</f>
        <v/>
      </c>
      <c r="H30" s="78"/>
      <c r="I30" s="80"/>
      <c r="J30" s="80"/>
      <c r="K30" s="80"/>
      <c r="L30" s="80"/>
      <c r="M30" s="81" t="str">
        <f aca="false">IF(L30=0,"",PRODUCT(I30:L30))</f>
        <v/>
      </c>
      <c r="N30" s="81" t="str">
        <f aca="false">IF(B30=0,"",IF(H30="M",HLOOKUP(B30,$Y$12:$DT$13,2),IF(A30=0,"",VLOOKUP(A30,[3]CO!$A$3:$F$5311,4,0))))</f>
        <v/>
      </c>
      <c r="O30" s="81" t="str">
        <f aca="false">IF(L30=0,"",PRODUCT(M30:N30))</f>
        <v/>
      </c>
      <c r="P30" s="82"/>
      <c r="Q30" s="83" t="str">
        <f aca="false">IF(P30=0,"",(HLOOKUP(P30,$DW$12:$HR$13,2)))</f>
        <v/>
      </c>
      <c r="R30" s="84" t="str">
        <f aca="false">IF(S30=0,"",IF(OR(G30="PEON",G30="OF",G30="JARD",G30="CARP",G30="MAESTRO",G30="SOLD",G30="BGRO",G30="CHOFER",G30="AYTE",G30="S.INTTE.",G30="ASEO",G30="P.PISOS",G30="VELADOR",G30="RESID",G30="PINTOR",G30="ELECT",G30="AZULE",G30="AUX CONT.",G30="SECRETARIA",G30="AUXILIAR ADMTVO.",G30="ARQUITECTO",G30="DIBUJANTE",G30="AUX. DE RESIDENTE"),VLOOKUP(B30,P$14:Q$57,2),"")*S30)</f>
        <v/>
      </c>
      <c r="S30" s="66"/>
      <c r="T30" s="67" t="str">
        <f aca="false">IF(A30=0,"",VLOOKUP(A30,[3]CO!$A$3:$F$5302,5,0))</f>
        <v/>
      </c>
      <c r="U30" s="56" t="n">
        <f aca="false">IF(T30=1,O30*0.1,)</f>
        <v>0</v>
      </c>
      <c r="V30" s="68"/>
      <c r="W30" s="91"/>
      <c r="X30" s="91"/>
      <c r="Y30" s="85" t="str">
        <f aca="false">IF($B30=Y$12,$U30,"")</f>
        <v/>
      </c>
      <c r="Z30" s="86" t="str">
        <f aca="false">IF($B30=Z$12,$U30,"")</f>
        <v/>
      </c>
      <c r="AA30" s="86" t="str">
        <f aca="false">IF($B30=AA$12,$U30,"")</f>
        <v/>
      </c>
      <c r="AB30" s="86" t="str">
        <f aca="false">IF($B30=AB$12,$U30,"")</f>
        <v/>
      </c>
      <c r="AC30" s="86" t="str">
        <f aca="false">IF($B30=AC$12,$U30,"")</f>
        <v/>
      </c>
      <c r="AD30" s="86" t="str">
        <f aca="false">IF($B30=AD$12,$U30,"")</f>
        <v/>
      </c>
      <c r="AE30" s="86" t="str">
        <f aca="false">IF($B30=AE$12,$U30,"")</f>
        <v/>
      </c>
      <c r="AF30" s="86" t="str">
        <f aca="false">IF($B30=AF$12,$U30,"")</f>
        <v/>
      </c>
      <c r="AG30" s="86" t="str">
        <f aca="false">IF($B30=AG$12,$U30,"")</f>
        <v/>
      </c>
      <c r="AH30" s="86" t="str">
        <f aca="false">IF($B30=AH$12,$U30,"")</f>
        <v/>
      </c>
      <c r="AI30" s="86" t="str">
        <f aca="false">IF($B30=AI$12,$U30,"")</f>
        <v/>
      </c>
      <c r="AJ30" s="86" t="str">
        <f aca="false">IF($B30=AJ$12,$U30,"")</f>
        <v/>
      </c>
      <c r="AK30" s="86" t="str">
        <f aca="false">IF($B30=AK$12,$U30,"")</f>
        <v/>
      </c>
      <c r="AL30" s="86" t="str">
        <f aca="false">IF($B30=AL$12,$U30,"")</f>
        <v/>
      </c>
      <c r="AM30" s="86" t="str">
        <f aca="false">IF($B30=AM$12,$U30,"")</f>
        <v/>
      </c>
      <c r="AN30" s="86" t="str">
        <f aca="false">IF($B30=AN$12,$U30,"")</f>
        <v/>
      </c>
      <c r="AO30" s="86" t="str">
        <f aca="false">IF($B30=AO$12,$U30,"")</f>
        <v/>
      </c>
      <c r="AP30" s="86" t="str">
        <f aca="false">IF($B30=AP$12,$U30,"")</f>
        <v/>
      </c>
      <c r="AQ30" s="86" t="str">
        <f aca="false">IF($B30=AQ$12,$U30,"")</f>
        <v/>
      </c>
      <c r="AR30" s="86" t="str">
        <f aca="false">IF($B30=AR$12,$U30,"")</f>
        <v/>
      </c>
      <c r="AS30" s="86" t="str">
        <f aca="false">IF($B30=AS$12,$U30,"")</f>
        <v/>
      </c>
      <c r="AT30" s="86" t="str">
        <f aca="false">IF($B30=AT$12,$U30,"")</f>
        <v/>
      </c>
      <c r="AU30" s="86" t="str">
        <f aca="false">IF($B30=AU$12,$U30,"")</f>
        <v/>
      </c>
      <c r="AV30" s="86" t="str">
        <f aca="false">IF($B30=AV$12,$U30,"")</f>
        <v/>
      </c>
      <c r="AW30" s="86" t="str">
        <f aca="false">IF($B30=AW$12,$U30,"")</f>
        <v/>
      </c>
      <c r="AX30" s="86" t="str">
        <f aca="false">IF($B30=AX$12,$U30,"")</f>
        <v/>
      </c>
      <c r="AY30" s="86" t="str">
        <f aca="false">IF($B30=AY$12,$U30,"")</f>
        <v/>
      </c>
      <c r="AZ30" s="86" t="str">
        <f aca="false">IF($B30=AZ$12,$U30,"")</f>
        <v/>
      </c>
      <c r="BA30" s="86" t="str">
        <f aca="false">IF($B30=BA$12,$U30,"")</f>
        <v/>
      </c>
      <c r="BB30" s="86" t="str">
        <f aca="false">IF($B30=BB$12,$U30,"")</f>
        <v/>
      </c>
      <c r="BC30" s="86" t="str">
        <f aca="false">IF($B30=BC$12,$U30,"")</f>
        <v/>
      </c>
      <c r="BD30" s="86" t="str">
        <f aca="false">IF($B30=BD$12,$U30,"")</f>
        <v/>
      </c>
      <c r="BE30" s="86" t="str">
        <f aca="false">IF($B30=BE$12,$U30,"")</f>
        <v/>
      </c>
      <c r="BF30" s="86" t="str">
        <f aca="false">IF($B30=BF$12,$U30,"")</f>
        <v/>
      </c>
      <c r="BG30" s="86" t="str">
        <f aca="false">IF($B30=BG$12,$U30,"")</f>
        <v/>
      </c>
      <c r="BH30" s="86" t="str">
        <f aca="false">IF($B30=BH$12,$U30,"")</f>
        <v/>
      </c>
      <c r="BI30" s="86" t="str">
        <f aca="false">IF($B30=BI$12,$U30,"")</f>
        <v/>
      </c>
      <c r="BJ30" s="86" t="str">
        <f aca="false">IF($B30=BJ$12,$U30,"")</f>
        <v/>
      </c>
      <c r="BK30" s="86" t="str">
        <f aca="false">IF($B30=BK$12,$U30,"")</f>
        <v/>
      </c>
      <c r="BL30" s="86" t="str">
        <f aca="false">IF($B30=BL$12,$U30,"")</f>
        <v/>
      </c>
      <c r="BM30" s="86" t="str">
        <f aca="false">IF($B30=BM$12,$U30,"")</f>
        <v/>
      </c>
      <c r="BN30" s="86" t="str">
        <f aca="false">IF($B30=BN$12,$U30,"")</f>
        <v/>
      </c>
      <c r="BO30" s="86" t="str">
        <f aca="false">IF($B30=BO$12,$U30,"")</f>
        <v/>
      </c>
      <c r="BP30" s="86" t="str">
        <f aca="false">IF($B30=BP$12,$U30,"")</f>
        <v/>
      </c>
      <c r="BQ30" s="86" t="str">
        <f aca="false">IF($B30=BQ$12,$U30,"")</f>
        <v/>
      </c>
      <c r="BR30" s="86" t="str">
        <f aca="false">IF($B30=BR$12,$U30,"")</f>
        <v/>
      </c>
      <c r="BS30" s="86" t="str">
        <f aca="false">IF($B30=BS$12,$U30,"")</f>
        <v/>
      </c>
      <c r="BT30" s="86" t="str">
        <f aca="false">IF($B30=BT$12,$U30,"")</f>
        <v/>
      </c>
      <c r="BU30" s="86" t="str">
        <f aca="false">IF($B30=BU$12,$U30,"")</f>
        <v/>
      </c>
      <c r="BV30" s="86" t="str">
        <f aca="false">IF($B30=BV$12,$U30,"")</f>
        <v/>
      </c>
      <c r="BW30" s="86" t="str">
        <f aca="false">IF($B30=BW$12,$U30,"")</f>
        <v/>
      </c>
      <c r="BX30" s="86" t="str">
        <f aca="false">IF($B30=BX$12,$U30,"")</f>
        <v/>
      </c>
      <c r="BY30" s="86" t="str">
        <f aca="false">IF($B30=BY$12,$U30,"")</f>
        <v/>
      </c>
      <c r="BZ30" s="86" t="str">
        <f aca="false">IF($B30=BZ$12,$U30,"")</f>
        <v/>
      </c>
      <c r="CA30" s="86" t="str">
        <f aca="false">IF($B30=CA$12,$U30,"")</f>
        <v/>
      </c>
      <c r="CB30" s="86" t="str">
        <f aca="false">IF($B30=CB$12,$U30,"")</f>
        <v/>
      </c>
      <c r="CC30" s="86" t="str">
        <f aca="false">IF($B30=CC$12,$U30,"")</f>
        <v/>
      </c>
      <c r="CD30" s="86" t="str">
        <f aca="false">IF($B30=CD$12,$U30,"")</f>
        <v/>
      </c>
      <c r="CE30" s="86" t="str">
        <f aca="false">IF($B30=CE$12,$U30,"")</f>
        <v/>
      </c>
      <c r="CF30" s="86" t="str">
        <f aca="false">IF($B30=CF$12,$U30,"")</f>
        <v/>
      </c>
      <c r="CG30" s="86" t="str">
        <f aca="false">IF($B30=CG$12,$U30,"")</f>
        <v/>
      </c>
      <c r="CH30" s="86" t="str">
        <f aca="false">IF($B30=CH$12,$U30,"")</f>
        <v/>
      </c>
      <c r="CI30" s="86" t="str">
        <f aca="false">IF($B30=CI$12,$U30,"")</f>
        <v/>
      </c>
      <c r="CJ30" s="86" t="str">
        <f aca="false">IF($B30=CJ$12,$U30,"")</f>
        <v/>
      </c>
      <c r="CK30" s="86" t="str">
        <f aca="false">IF($B30=CK$12,$U30,"")</f>
        <v/>
      </c>
      <c r="CL30" s="86" t="str">
        <f aca="false">IF($B30=CL$12,$U30,"")</f>
        <v/>
      </c>
      <c r="CM30" s="86" t="str">
        <f aca="false">IF($B30=CM$12,$U30,"")</f>
        <v/>
      </c>
      <c r="CN30" s="86" t="str">
        <f aca="false">IF($B30=CN$12,$U30,"")</f>
        <v/>
      </c>
      <c r="CO30" s="86" t="str">
        <f aca="false">IF($B30=CO$12,$U30,"")</f>
        <v/>
      </c>
      <c r="CP30" s="86" t="str">
        <f aca="false">IF($B30=CP$12,$U30,"")</f>
        <v/>
      </c>
      <c r="CQ30" s="86" t="str">
        <f aca="false">IF($B30=CQ$12,$U30,"")</f>
        <v/>
      </c>
      <c r="CR30" s="86" t="str">
        <f aca="false">IF($B30=CR$12,$U30,"")</f>
        <v/>
      </c>
      <c r="CS30" s="86" t="str">
        <f aca="false">IF($B30=CS$12,$U30,"")</f>
        <v/>
      </c>
      <c r="CT30" s="86" t="str">
        <f aca="false">IF($B30=CT$12,$U30,"")</f>
        <v/>
      </c>
      <c r="CU30" s="86" t="str">
        <f aca="false">IF($B30=CU$12,$U30,"")</f>
        <v/>
      </c>
      <c r="CV30" s="86" t="str">
        <f aca="false">IF($B30=CV$12,$U30,"")</f>
        <v/>
      </c>
      <c r="CW30" s="86" t="str">
        <f aca="false">IF($B30=CW$12,$U30,"")</f>
        <v/>
      </c>
      <c r="CX30" s="86" t="str">
        <f aca="false">IF($B30=CX$12,$U30,"")</f>
        <v/>
      </c>
      <c r="CY30" s="86" t="str">
        <f aca="false">IF($B30=CY$12,$U30,"")</f>
        <v/>
      </c>
      <c r="CZ30" s="86" t="str">
        <f aca="false">IF($B30=CZ$12,$U30,"")</f>
        <v/>
      </c>
      <c r="DA30" s="86" t="str">
        <f aca="false">IF($B30=DA$12,$U30,"")</f>
        <v/>
      </c>
      <c r="DB30" s="86" t="str">
        <f aca="false">IF($B30=DB$12,$U30,"")</f>
        <v/>
      </c>
      <c r="DC30" s="86" t="str">
        <f aca="false">IF($B30=DC$12,$U30,"")</f>
        <v/>
      </c>
      <c r="DD30" s="86" t="str">
        <f aca="false">IF($B30=DD$12,$U30,"")</f>
        <v/>
      </c>
      <c r="DE30" s="86" t="str">
        <f aca="false">IF($B30=DE$12,$U30,"")</f>
        <v/>
      </c>
      <c r="DF30" s="86" t="str">
        <f aca="false">IF($B30=DF$12,$U30,"")</f>
        <v/>
      </c>
      <c r="DG30" s="86" t="str">
        <f aca="false">IF($B30=DG$12,$U30,"")</f>
        <v/>
      </c>
      <c r="DH30" s="86" t="str">
        <f aca="false">IF($B30=DH$12,$U30,"")</f>
        <v/>
      </c>
      <c r="DI30" s="86" t="str">
        <f aca="false">IF($B30=DI$12,$U30,"")</f>
        <v/>
      </c>
      <c r="DJ30" s="86" t="str">
        <f aca="false">IF($B30=DJ$12,$U30,"")</f>
        <v/>
      </c>
      <c r="DK30" s="86" t="str">
        <f aca="false">IF($B30=DK$12,$U30,"")</f>
        <v/>
      </c>
      <c r="DL30" s="86" t="str">
        <f aca="false">IF($B30=DL$12,$U30,"")</f>
        <v/>
      </c>
      <c r="DM30" s="86" t="str">
        <f aca="false">IF($B30=DM$12,$U30,"")</f>
        <v/>
      </c>
      <c r="DN30" s="86" t="str">
        <f aca="false">IF($B30=DN$12,$U30,"")</f>
        <v/>
      </c>
      <c r="DO30" s="86" t="str">
        <f aca="false">IF($B30=DO$12,$U30,"")</f>
        <v/>
      </c>
      <c r="DP30" s="86" t="str">
        <f aca="false">IF($B30=DP$12,$U30,"")</f>
        <v/>
      </c>
      <c r="DQ30" s="86" t="str">
        <f aca="false">IF($B30=DQ$12,$U30,"")</f>
        <v/>
      </c>
      <c r="DR30" s="86" t="str">
        <f aca="false">IF($B30=DR$12,$U30,"")</f>
        <v/>
      </c>
      <c r="DS30" s="86" t="str">
        <f aca="false">IF($B30=DS$12,$U30,"")</f>
        <v/>
      </c>
      <c r="DT30" s="87" t="str">
        <f aca="false">IF($B30=DT$12,$U30,"")</f>
        <v/>
      </c>
      <c r="DU30" s="56"/>
      <c r="DV30" s="91"/>
      <c r="DW30" s="88" t="str">
        <f aca="false">IF($B30=DW$12,$O30,"")</f>
        <v/>
      </c>
      <c r="DX30" s="89" t="str">
        <f aca="false">IF($B30=DX$12,$O30,"")</f>
        <v/>
      </c>
      <c r="DY30" s="89" t="str">
        <f aca="false">IF($B30=DY$12,$O30,"")</f>
        <v/>
      </c>
      <c r="DZ30" s="89" t="str">
        <f aca="false">IF($B30=DZ$12,$O30,"")</f>
        <v/>
      </c>
      <c r="EA30" s="89" t="str">
        <f aca="false">IF($B30=EA$12,$O30,"")</f>
        <v/>
      </c>
      <c r="EB30" s="89" t="str">
        <f aca="false">IF($B30=EB$12,$O30,"")</f>
        <v/>
      </c>
      <c r="EC30" s="89" t="str">
        <f aca="false">IF($B30=EC$12,$O30,"")</f>
        <v/>
      </c>
      <c r="ED30" s="89" t="str">
        <f aca="false">IF($B30=ED$12,$O30,"")</f>
        <v/>
      </c>
      <c r="EE30" s="89" t="str">
        <f aca="false">IF($B30=EE$12,$O30,"")</f>
        <v/>
      </c>
      <c r="EF30" s="89" t="str">
        <f aca="false">IF($B30=EF$12,$O30,"")</f>
        <v/>
      </c>
      <c r="EG30" s="89" t="str">
        <f aca="false">IF($B30=EG$12,$O30,"")</f>
        <v/>
      </c>
      <c r="EH30" s="89" t="str">
        <f aca="false">IF($B30=EH$12,$O30,"")</f>
        <v/>
      </c>
      <c r="EI30" s="89" t="str">
        <f aca="false">IF($B30=EI$12,$O30,"")</f>
        <v/>
      </c>
      <c r="EJ30" s="89" t="str">
        <f aca="false">IF($B30=EJ$12,$O30,"")</f>
        <v/>
      </c>
      <c r="EK30" s="89" t="str">
        <f aca="false">IF($B30=EK$12,$O30,"")</f>
        <v/>
      </c>
      <c r="EL30" s="89" t="str">
        <f aca="false">IF($B30=EL$12,$O30,"")</f>
        <v/>
      </c>
      <c r="EM30" s="89" t="str">
        <f aca="false">IF($B30=EM$12,$O30,"")</f>
        <v/>
      </c>
      <c r="EN30" s="89" t="str">
        <f aca="false">IF($B30=EN$12,$O30,"")</f>
        <v/>
      </c>
      <c r="EO30" s="89" t="str">
        <f aca="false">IF($B30=EO$12,$O30,"")</f>
        <v/>
      </c>
      <c r="EP30" s="89" t="str">
        <f aca="false">IF($B30=EP$12,$O30,"")</f>
        <v/>
      </c>
      <c r="EQ30" s="89" t="str">
        <f aca="false">IF($B30=EQ$12,$O30,"")</f>
        <v/>
      </c>
      <c r="ER30" s="89" t="str">
        <f aca="false">IF($B30=ER$12,$O30,"")</f>
        <v/>
      </c>
      <c r="ES30" s="89" t="str">
        <f aca="false">IF($B30=ES$12,$O30,"")</f>
        <v/>
      </c>
      <c r="ET30" s="89" t="str">
        <f aca="false">IF($B30=ET$12,$O30,"")</f>
        <v/>
      </c>
      <c r="EU30" s="89" t="str">
        <f aca="false">IF($B30=EU$12,$O30,"")</f>
        <v/>
      </c>
      <c r="EV30" s="89" t="str">
        <f aca="false">IF($B30=EV$12,$O30,"")</f>
        <v/>
      </c>
      <c r="EW30" s="89" t="str">
        <f aca="false">IF($B30=EW$12,$O30,"")</f>
        <v/>
      </c>
      <c r="EX30" s="89" t="str">
        <f aca="false">IF($B30=EX$12,$O30,"")</f>
        <v/>
      </c>
      <c r="EY30" s="89" t="str">
        <f aca="false">IF($B30=EY$12,$O30,"")</f>
        <v/>
      </c>
      <c r="EZ30" s="89" t="str">
        <f aca="false">IF($B30=EZ$12,$O30,"")</f>
        <v/>
      </c>
      <c r="FA30" s="89" t="str">
        <f aca="false">IF($B30=FA$12,$O30,"")</f>
        <v/>
      </c>
      <c r="FB30" s="89" t="str">
        <f aca="false">IF($B30=FB$12,$O30,"")</f>
        <v/>
      </c>
      <c r="FC30" s="89" t="str">
        <f aca="false">IF($B30=FC$12,$O30,"")</f>
        <v/>
      </c>
      <c r="FD30" s="89" t="str">
        <f aca="false">IF($B30=FD$12,$O30,"")</f>
        <v/>
      </c>
      <c r="FE30" s="89" t="str">
        <f aca="false">IF($B30=FE$12,$O30,"")</f>
        <v/>
      </c>
      <c r="FF30" s="89" t="str">
        <f aca="false">IF($B30=FF$12,$O30,"")</f>
        <v/>
      </c>
      <c r="FG30" s="89" t="str">
        <f aca="false">IF($B30=FG$12,$O30,"")</f>
        <v/>
      </c>
      <c r="FH30" s="89" t="str">
        <f aca="false">IF($B30=FH$12,$O30,"")</f>
        <v/>
      </c>
      <c r="FI30" s="89" t="str">
        <f aca="false">IF($B30=FI$12,$O30,"")</f>
        <v/>
      </c>
      <c r="FJ30" s="89" t="str">
        <f aca="false">IF($B30=FJ$12,$O30,"")</f>
        <v/>
      </c>
      <c r="FK30" s="89" t="str">
        <f aca="false">IF($B30=FK$12,$O30,"")</f>
        <v/>
      </c>
      <c r="FL30" s="89" t="str">
        <f aca="false">IF($B30=FL$12,$O30,"")</f>
        <v/>
      </c>
      <c r="FM30" s="89" t="str">
        <f aca="false">IF($B30=FM$12,$O30,"")</f>
        <v/>
      </c>
      <c r="FN30" s="89" t="str">
        <f aca="false">IF($B30=FN$12,$O30,"")</f>
        <v/>
      </c>
      <c r="FO30" s="89" t="str">
        <f aca="false">IF($B30=FO$12,$O30,"")</f>
        <v/>
      </c>
      <c r="FP30" s="89" t="str">
        <f aca="false">IF($B30=FP$12,$O30,"")</f>
        <v/>
      </c>
      <c r="FQ30" s="89" t="str">
        <f aca="false">IF($B30=FQ$12,$O30,"")</f>
        <v/>
      </c>
      <c r="FR30" s="89" t="str">
        <f aca="false">IF($B30=FR$12,$O30,"")</f>
        <v/>
      </c>
      <c r="FS30" s="89" t="str">
        <f aca="false">IF($B30=FS$12,$O30,"")</f>
        <v/>
      </c>
      <c r="FT30" s="89" t="str">
        <f aca="false">IF($B30=FT$12,$O30,"")</f>
        <v/>
      </c>
      <c r="FU30" s="89" t="str">
        <f aca="false">IF($B30=FU$12,$O30,"")</f>
        <v/>
      </c>
      <c r="FV30" s="89" t="str">
        <f aca="false">IF($B30=FV$12,$O30,"")</f>
        <v/>
      </c>
      <c r="FW30" s="89" t="str">
        <f aca="false">IF($B30=FW$12,$O30,"")</f>
        <v/>
      </c>
      <c r="FX30" s="89" t="str">
        <f aca="false">IF($B30=FX$12,$O30,"")</f>
        <v/>
      </c>
      <c r="FY30" s="89" t="str">
        <f aca="false">IF($B30=FY$12,$O30,"")</f>
        <v/>
      </c>
      <c r="FZ30" s="89" t="str">
        <f aca="false">IF($B30=FZ$12,$O30,"")</f>
        <v/>
      </c>
      <c r="GA30" s="89" t="str">
        <f aca="false">IF($B30=GA$12,$O30,"")</f>
        <v/>
      </c>
      <c r="GB30" s="89" t="str">
        <f aca="false">IF($B30=GB$12,$O30,"")</f>
        <v/>
      </c>
      <c r="GC30" s="89" t="str">
        <f aca="false">IF($B30=GC$12,$O30,"")</f>
        <v/>
      </c>
      <c r="GD30" s="89" t="str">
        <f aca="false">IF($B30=GD$12,$O30,"")</f>
        <v/>
      </c>
      <c r="GE30" s="89" t="str">
        <f aca="false">IF($B30=GE$12,$O30,"")</f>
        <v/>
      </c>
      <c r="GF30" s="89" t="str">
        <f aca="false">IF($B30=GF$12,$O30,"")</f>
        <v/>
      </c>
      <c r="GG30" s="89" t="str">
        <f aca="false">IF($B30=GG$12,$O30,"")</f>
        <v/>
      </c>
      <c r="GH30" s="89" t="str">
        <f aca="false">IF($B30=GH$12,$O30,"")</f>
        <v/>
      </c>
      <c r="GI30" s="89" t="str">
        <f aca="false">IF($B30=GI$12,$O30,"")</f>
        <v/>
      </c>
      <c r="GJ30" s="89" t="str">
        <f aca="false">IF($B30=GJ$12,$O30,"")</f>
        <v/>
      </c>
      <c r="GK30" s="89" t="str">
        <f aca="false">IF($B30=GK$12,$O30,"")</f>
        <v/>
      </c>
      <c r="GL30" s="89" t="str">
        <f aca="false">IF($B30=GL$12,$O30,"")</f>
        <v/>
      </c>
      <c r="GM30" s="89" t="str">
        <f aca="false">IF($B30=GM$12,$O30,"")</f>
        <v/>
      </c>
      <c r="GN30" s="89" t="str">
        <f aca="false">IF($B30=GN$12,$O30,"")</f>
        <v/>
      </c>
      <c r="GO30" s="89" t="str">
        <f aca="false">IF($B30=GO$12,$O30,"")</f>
        <v/>
      </c>
      <c r="GP30" s="89" t="str">
        <f aca="false">IF($B30=GP$12,$O30,"")</f>
        <v/>
      </c>
      <c r="GQ30" s="89" t="str">
        <f aca="false">IF($B30=GQ$12,$O30,"")</f>
        <v/>
      </c>
      <c r="GR30" s="89" t="str">
        <f aca="false">IF($B30=GR$12,$O30,"")</f>
        <v/>
      </c>
      <c r="GS30" s="89" t="str">
        <f aca="false">IF($B30=GS$12,$O30,"")</f>
        <v/>
      </c>
      <c r="GT30" s="89" t="str">
        <f aca="false">IF($B30=GT$12,$O30,"")</f>
        <v/>
      </c>
      <c r="GU30" s="89" t="str">
        <f aca="false">IF($B30=GU$12,$O30,"")</f>
        <v/>
      </c>
      <c r="GV30" s="89" t="str">
        <f aca="false">IF($B30=GV$12,$O30,"")</f>
        <v/>
      </c>
      <c r="GW30" s="89" t="str">
        <f aca="false">IF($B30=GW$12,$O30,"")</f>
        <v/>
      </c>
      <c r="GX30" s="89" t="str">
        <f aca="false">IF($B30=GX$12,$O30,"")</f>
        <v/>
      </c>
      <c r="GY30" s="89" t="str">
        <f aca="false">IF($B30=GY$12,$O30,"")</f>
        <v/>
      </c>
      <c r="GZ30" s="89" t="str">
        <f aca="false">IF($B30=GZ$12,$O30,"")</f>
        <v/>
      </c>
      <c r="HA30" s="89" t="str">
        <f aca="false">IF($B30=HA$12,$O30,"")</f>
        <v/>
      </c>
      <c r="HB30" s="89" t="str">
        <f aca="false">IF($B30=HB$12,$O30,"")</f>
        <v/>
      </c>
      <c r="HC30" s="89" t="str">
        <f aca="false">IF($B30=HC$12,$O30,"")</f>
        <v/>
      </c>
      <c r="HD30" s="89" t="str">
        <f aca="false">IF($B30=HD$12,$O30,"")</f>
        <v/>
      </c>
      <c r="HE30" s="89" t="str">
        <f aca="false">IF($B30=HE$12,$O30,"")</f>
        <v/>
      </c>
      <c r="HF30" s="89" t="str">
        <f aca="false">IF($B30=HF$12,$O30,"")</f>
        <v/>
      </c>
      <c r="HG30" s="89" t="str">
        <f aca="false">IF($B30=HG$12,$O30,"")</f>
        <v/>
      </c>
      <c r="HH30" s="89" t="str">
        <f aca="false">IF($B30=HH$12,$O30,"")</f>
        <v/>
      </c>
      <c r="HI30" s="89" t="str">
        <f aca="false">IF($B30=HI$12,$O30,"")</f>
        <v/>
      </c>
      <c r="HJ30" s="89" t="str">
        <f aca="false">IF($B30=HJ$12,$O30,"")</f>
        <v/>
      </c>
      <c r="HK30" s="89" t="str">
        <f aca="false">IF($B30=HK$12,$O30,"")</f>
        <v/>
      </c>
      <c r="HL30" s="89" t="str">
        <f aca="false">IF($B30=HL$12,$O30,"")</f>
        <v/>
      </c>
      <c r="HM30" s="89" t="str">
        <f aca="false">IF($B30=HM$12,$O30,"")</f>
        <v/>
      </c>
      <c r="HN30" s="89" t="str">
        <f aca="false">IF($B30=HN$12,$O30,"")</f>
        <v/>
      </c>
      <c r="HO30" s="89" t="str">
        <f aca="false">IF($B30=HO$12,$O30,"")</f>
        <v/>
      </c>
      <c r="HP30" s="89" t="str">
        <f aca="false">IF($B30=HP$12,$O30,"")</f>
        <v/>
      </c>
      <c r="HQ30" s="89" t="str">
        <f aca="false">IF($B30=HQ$12,$O30,"")</f>
        <v/>
      </c>
      <c r="HR30" s="90" t="str">
        <f aca="false">IF($B30=HR$12,$O30,"")</f>
        <v/>
      </c>
    </row>
    <row r="31" customFormat="false" ht="10.5" hidden="false" customHeight="true" outlineLevel="0" collapsed="false">
      <c r="A31" s="75"/>
      <c r="B31" s="76"/>
      <c r="C31" s="77" t="str">
        <f aca="false">IF(A31=0,"",VLOOKUP(A31,[3]CO!$A$3:$F$5311,2,0))</f>
        <v/>
      </c>
      <c r="D31" s="78"/>
      <c r="E31" s="78"/>
      <c r="F31" s="78"/>
      <c r="G31" s="79" t="str">
        <f aca="false">IF(A31=0,"",VLOOKUP(A31,[3]CO!$A$3:$F$5311,3,0))</f>
        <v/>
      </c>
      <c r="H31" s="78"/>
      <c r="I31" s="80"/>
      <c r="J31" s="80"/>
      <c r="K31" s="80"/>
      <c r="L31" s="80"/>
      <c r="M31" s="81" t="str">
        <f aca="false">IF(L31=0,"",PRODUCT(I31:L31))</f>
        <v/>
      </c>
      <c r="N31" s="81" t="str">
        <f aca="false">IF(B31=0,"",IF(H31="M",HLOOKUP(B31,$Y$12:$DT$13,2),IF(A31=0,"",VLOOKUP(A31,[3]CO!$A$3:$F$5311,4,0))))</f>
        <v/>
      </c>
      <c r="O31" s="81" t="str">
        <f aca="false">IF(L31=0,"",PRODUCT(M31:N31))</f>
        <v/>
      </c>
      <c r="P31" s="82"/>
      <c r="Q31" s="83" t="str">
        <f aca="false">IF(P31=0,"",(HLOOKUP(P31,$DW$12:$HR$13,2)))</f>
        <v/>
      </c>
      <c r="R31" s="84" t="str">
        <f aca="false">IF(S31=0,"",IF(OR(G31="PEON",G31="OF",G31="JARD",G31="CARP",G31="MAESTRO",G31="SOLD",G31="BGRO",G31="CHOFER",G31="AYTE",G31="S.INTTE.",G31="ASEO",G31="P.PISOS",G31="VELADOR",G31="RESID",G31="PINTOR",G31="ELECT",G31="AZULE",G31="AUX CONT.",G31="SECRETARIA",G31="AUXILIAR ADMTVO.",G31="ARQUITECTO",G31="DIBUJANTE",G31="AUX. DE RESIDENTE"),VLOOKUP(B31,P$14:Q$57,2),"")*S31)</f>
        <v/>
      </c>
      <c r="S31" s="66"/>
      <c r="T31" s="67" t="str">
        <f aca="false">IF(A31=0,"",VLOOKUP(A31,[3]CO!$A$3:$F$5302,5,0))</f>
        <v/>
      </c>
      <c r="U31" s="56" t="n">
        <f aca="false">IF(T31=1,O31*0.1,)</f>
        <v>0</v>
      </c>
      <c r="V31" s="68"/>
      <c r="W31" s="91"/>
      <c r="X31" s="91"/>
      <c r="Y31" s="85" t="str">
        <f aca="false">IF($B31=Y$12,$U31,"")</f>
        <v/>
      </c>
      <c r="Z31" s="86" t="str">
        <f aca="false">IF($B31=Z$12,$U31,"")</f>
        <v/>
      </c>
      <c r="AA31" s="86" t="str">
        <f aca="false">IF($B31=AA$12,$U31,"")</f>
        <v/>
      </c>
      <c r="AB31" s="86" t="str">
        <f aca="false">IF($B31=AB$12,$U31,"")</f>
        <v/>
      </c>
      <c r="AC31" s="86" t="str">
        <f aca="false">IF($B31=AC$12,$U31,"")</f>
        <v/>
      </c>
      <c r="AD31" s="86" t="str">
        <f aca="false">IF($B31=AD$12,$U31,"")</f>
        <v/>
      </c>
      <c r="AE31" s="86" t="str">
        <f aca="false">IF($B31=AE$12,$U31,"")</f>
        <v/>
      </c>
      <c r="AF31" s="86" t="str">
        <f aca="false">IF($B31=AF$12,$U31,"")</f>
        <v/>
      </c>
      <c r="AG31" s="86" t="str">
        <f aca="false">IF($B31=AG$12,$U31,"")</f>
        <v/>
      </c>
      <c r="AH31" s="86" t="str">
        <f aca="false">IF($B31=AH$12,$U31,"")</f>
        <v/>
      </c>
      <c r="AI31" s="86" t="str">
        <f aca="false">IF($B31=AI$12,$U31,"")</f>
        <v/>
      </c>
      <c r="AJ31" s="86" t="str">
        <f aca="false">IF($B31=AJ$12,$U31,"")</f>
        <v/>
      </c>
      <c r="AK31" s="86" t="str">
        <f aca="false">IF($B31=AK$12,$U31,"")</f>
        <v/>
      </c>
      <c r="AL31" s="86" t="str">
        <f aca="false">IF($B31=AL$12,$U31,"")</f>
        <v/>
      </c>
      <c r="AM31" s="86" t="str">
        <f aca="false">IF($B31=AM$12,$U31,"")</f>
        <v/>
      </c>
      <c r="AN31" s="86" t="str">
        <f aca="false">IF($B31=AN$12,$U31,"")</f>
        <v/>
      </c>
      <c r="AO31" s="86" t="str">
        <f aca="false">IF($B31=AO$12,$U31,"")</f>
        <v/>
      </c>
      <c r="AP31" s="86" t="str">
        <f aca="false">IF($B31=AP$12,$U31,"")</f>
        <v/>
      </c>
      <c r="AQ31" s="86" t="str">
        <f aca="false">IF($B31=AQ$12,$U31,"")</f>
        <v/>
      </c>
      <c r="AR31" s="86" t="str">
        <f aca="false">IF($B31=AR$12,$U31,"")</f>
        <v/>
      </c>
      <c r="AS31" s="86" t="str">
        <f aca="false">IF($B31=AS$12,$U31,"")</f>
        <v/>
      </c>
      <c r="AT31" s="86" t="str">
        <f aca="false">IF($B31=AT$12,$U31,"")</f>
        <v/>
      </c>
      <c r="AU31" s="86" t="str">
        <f aca="false">IF($B31=AU$12,$U31,"")</f>
        <v/>
      </c>
      <c r="AV31" s="86" t="str">
        <f aca="false">IF($B31=AV$12,$U31,"")</f>
        <v/>
      </c>
      <c r="AW31" s="86" t="str">
        <f aca="false">IF($B31=AW$12,$U31,"")</f>
        <v/>
      </c>
      <c r="AX31" s="86" t="str">
        <f aca="false">IF($B31=AX$12,$U31,"")</f>
        <v/>
      </c>
      <c r="AY31" s="86" t="str">
        <f aca="false">IF($B31=AY$12,$U31,"")</f>
        <v/>
      </c>
      <c r="AZ31" s="86" t="str">
        <f aca="false">IF($B31=AZ$12,$U31,"")</f>
        <v/>
      </c>
      <c r="BA31" s="86" t="str">
        <f aca="false">IF($B31=BA$12,$U31,"")</f>
        <v/>
      </c>
      <c r="BB31" s="86" t="str">
        <f aca="false">IF($B31=BB$12,$U31,"")</f>
        <v/>
      </c>
      <c r="BC31" s="86" t="str">
        <f aca="false">IF($B31=BC$12,$U31,"")</f>
        <v/>
      </c>
      <c r="BD31" s="86" t="str">
        <f aca="false">IF($B31=BD$12,$U31,"")</f>
        <v/>
      </c>
      <c r="BE31" s="86" t="str">
        <f aca="false">IF($B31=BE$12,$U31,"")</f>
        <v/>
      </c>
      <c r="BF31" s="86" t="str">
        <f aca="false">IF($B31=BF$12,$U31,"")</f>
        <v/>
      </c>
      <c r="BG31" s="86" t="str">
        <f aca="false">IF($B31=BG$12,$U31,"")</f>
        <v/>
      </c>
      <c r="BH31" s="86" t="str">
        <f aca="false">IF($B31=BH$12,$U31,"")</f>
        <v/>
      </c>
      <c r="BI31" s="86" t="str">
        <f aca="false">IF($B31=BI$12,$U31,"")</f>
        <v/>
      </c>
      <c r="BJ31" s="86" t="str">
        <f aca="false">IF($B31=BJ$12,$U31,"")</f>
        <v/>
      </c>
      <c r="BK31" s="86" t="str">
        <f aca="false">IF($B31=BK$12,$U31,"")</f>
        <v/>
      </c>
      <c r="BL31" s="86" t="str">
        <f aca="false">IF($B31=BL$12,$U31,"")</f>
        <v/>
      </c>
      <c r="BM31" s="86" t="str">
        <f aca="false">IF($B31=BM$12,$U31,"")</f>
        <v/>
      </c>
      <c r="BN31" s="86" t="str">
        <f aca="false">IF($B31=BN$12,$U31,"")</f>
        <v/>
      </c>
      <c r="BO31" s="86" t="str">
        <f aca="false">IF($B31=BO$12,$U31,"")</f>
        <v/>
      </c>
      <c r="BP31" s="86" t="str">
        <f aca="false">IF($B31=BP$12,$U31,"")</f>
        <v/>
      </c>
      <c r="BQ31" s="86" t="str">
        <f aca="false">IF($B31=BQ$12,$U31,"")</f>
        <v/>
      </c>
      <c r="BR31" s="86" t="str">
        <f aca="false">IF($B31=BR$12,$U31,"")</f>
        <v/>
      </c>
      <c r="BS31" s="86" t="str">
        <f aca="false">IF($B31=BS$12,$U31,"")</f>
        <v/>
      </c>
      <c r="BT31" s="86" t="str">
        <f aca="false">IF($B31=BT$12,$U31,"")</f>
        <v/>
      </c>
      <c r="BU31" s="86" t="str">
        <f aca="false">IF($B31=BU$12,$U31,"")</f>
        <v/>
      </c>
      <c r="BV31" s="86" t="str">
        <f aca="false">IF($B31=BV$12,$U31,"")</f>
        <v/>
      </c>
      <c r="BW31" s="86" t="str">
        <f aca="false">IF($B31=BW$12,$U31,"")</f>
        <v/>
      </c>
      <c r="BX31" s="86" t="str">
        <f aca="false">IF($B31=BX$12,$U31,"")</f>
        <v/>
      </c>
      <c r="BY31" s="86" t="str">
        <f aca="false">IF($B31=BY$12,$U31,"")</f>
        <v/>
      </c>
      <c r="BZ31" s="86" t="str">
        <f aca="false">IF($B31=BZ$12,$U31,"")</f>
        <v/>
      </c>
      <c r="CA31" s="86" t="str">
        <f aca="false">IF($B31=CA$12,$U31,"")</f>
        <v/>
      </c>
      <c r="CB31" s="86" t="str">
        <f aca="false">IF($B31=CB$12,$U31,"")</f>
        <v/>
      </c>
      <c r="CC31" s="86" t="str">
        <f aca="false">IF($B31=CC$12,$U31,"")</f>
        <v/>
      </c>
      <c r="CD31" s="86" t="str">
        <f aca="false">IF($B31=CD$12,$U31,"")</f>
        <v/>
      </c>
      <c r="CE31" s="86" t="str">
        <f aca="false">IF($B31=CE$12,$U31,"")</f>
        <v/>
      </c>
      <c r="CF31" s="86" t="str">
        <f aca="false">IF($B31=CF$12,$U31,"")</f>
        <v/>
      </c>
      <c r="CG31" s="86" t="str">
        <f aca="false">IF($B31=CG$12,$U31,"")</f>
        <v/>
      </c>
      <c r="CH31" s="86" t="str">
        <f aca="false">IF($B31=CH$12,$U31,"")</f>
        <v/>
      </c>
      <c r="CI31" s="86" t="str">
        <f aca="false">IF($B31=CI$12,$U31,"")</f>
        <v/>
      </c>
      <c r="CJ31" s="86" t="str">
        <f aca="false">IF($B31=CJ$12,$U31,"")</f>
        <v/>
      </c>
      <c r="CK31" s="86" t="str">
        <f aca="false">IF($B31=CK$12,$U31,"")</f>
        <v/>
      </c>
      <c r="CL31" s="86" t="str">
        <f aca="false">IF($B31=CL$12,$U31,"")</f>
        <v/>
      </c>
      <c r="CM31" s="86" t="str">
        <f aca="false">IF($B31=CM$12,$U31,"")</f>
        <v/>
      </c>
      <c r="CN31" s="86" t="str">
        <f aca="false">IF($B31=CN$12,$U31,"")</f>
        <v/>
      </c>
      <c r="CO31" s="86" t="str">
        <f aca="false">IF($B31=CO$12,$U31,"")</f>
        <v/>
      </c>
      <c r="CP31" s="86" t="str">
        <f aca="false">IF($B31=CP$12,$U31,"")</f>
        <v/>
      </c>
      <c r="CQ31" s="86" t="str">
        <f aca="false">IF($B31=CQ$12,$U31,"")</f>
        <v/>
      </c>
      <c r="CR31" s="86" t="str">
        <f aca="false">IF($B31=CR$12,$U31,"")</f>
        <v/>
      </c>
      <c r="CS31" s="86" t="str">
        <f aca="false">IF($B31=CS$12,$U31,"")</f>
        <v/>
      </c>
      <c r="CT31" s="86" t="str">
        <f aca="false">IF($B31=CT$12,$U31,"")</f>
        <v/>
      </c>
      <c r="CU31" s="86" t="str">
        <f aca="false">IF($B31=CU$12,$U31,"")</f>
        <v/>
      </c>
      <c r="CV31" s="86" t="str">
        <f aca="false">IF($B31=CV$12,$U31,"")</f>
        <v/>
      </c>
      <c r="CW31" s="86" t="str">
        <f aca="false">IF($B31=CW$12,$U31,"")</f>
        <v/>
      </c>
      <c r="CX31" s="86" t="str">
        <f aca="false">IF($B31=CX$12,$U31,"")</f>
        <v/>
      </c>
      <c r="CY31" s="86" t="str">
        <f aca="false">IF($B31=CY$12,$U31,"")</f>
        <v/>
      </c>
      <c r="CZ31" s="86" t="str">
        <f aca="false">IF($B31=CZ$12,$U31,"")</f>
        <v/>
      </c>
      <c r="DA31" s="86" t="str">
        <f aca="false">IF($B31=DA$12,$U31,"")</f>
        <v/>
      </c>
      <c r="DB31" s="86" t="str">
        <f aca="false">IF($B31=DB$12,$U31,"")</f>
        <v/>
      </c>
      <c r="DC31" s="86" t="str">
        <f aca="false">IF($B31=DC$12,$U31,"")</f>
        <v/>
      </c>
      <c r="DD31" s="86" t="str">
        <f aca="false">IF($B31=DD$12,$U31,"")</f>
        <v/>
      </c>
      <c r="DE31" s="86" t="str">
        <f aca="false">IF($B31=DE$12,$U31,"")</f>
        <v/>
      </c>
      <c r="DF31" s="86" t="str">
        <f aca="false">IF($B31=DF$12,$U31,"")</f>
        <v/>
      </c>
      <c r="DG31" s="86" t="str">
        <f aca="false">IF($B31=DG$12,$U31,"")</f>
        <v/>
      </c>
      <c r="DH31" s="86" t="str">
        <f aca="false">IF($B31=DH$12,$U31,"")</f>
        <v/>
      </c>
      <c r="DI31" s="86" t="str">
        <f aca="false">IF($B31=DI$12,$U31,"")</f>
        <v/>
      </c>
      <c r="DJ31" s="86" t="str">
        <f aca="false">IF($B31=DJ$12,$U31,"")</f>
        <v/>
      </c>
      <c r="DK31" s="86" t="str">
        <f aca="false">IF($B31=DK$12,$U31,"")</f>
        <v/>
      </c>
      <c r="DL31" s="86" t="str">
        <f aca="false">IF($B31=DL$12,$U31,"")</f>
        <v/>
      </c>
      <c r="DM31" s="86" t="str">
        <f aca="false">IF($B31=DM$12,$U31,"")</f>
        <v/>
      </c>
      <c r="DN31" s="86" t="str">
        <f aca="false">IF($B31=DN$12,$U31,"")</f>
        <v/>
      </c>
      <c r="DO31" s="86" t="str">
        <f aca="false">IF($B31=DO$12,$U31,"")</f>
        <v/>
      </c>
      <c r="DP31" s="86" t="str">
        <f aca="false">IF($B31=DP$12,$U31,"")</f>
        <v/>
      </c>
      <c r="DQ31" s="86" t="str">
        <f aca="false">IF($B31=DQ$12,$U31,"")</f>
        <v/>
      </c>
      <c r="DR31" s="86" t="str">
        <f aca="false">IF($B31=DR$12,$U31,"")</f>
        <v/>
      </c>
      <c r="DS31" s="86" t="str">
        <f aca="false">IF($B31=DS$12,$U31,"")</f>
        <v/>
      </c>
      <c r="DT31" s="87" t="str">
        <f aca="false">IF($B31=DT$12,$U31,"")</f>
        <v/>
      </c>
      <c r="DU31" s="56"/>
      <c r="DV31" s="91"/>
      <c r="DW31" s="88" t="str">
        <f aca="false">IF($B31=DW$12,$O31,"")</f>
        <v/>
      </c>
      <c r="DX31" s="89" t="str">
        <f aca="false">IF($B31=DX$12,$O31,"")</f>
        <v/>
      </c>
      <c r="DY31" s="89" t="str">
        <f aca="false">IF($B31=DY$12,$O31,"")</f>
        <v/>
      </c>
      <c r="DZ31" s="89" t="str">
        <f aca="false">IF($B31=DZ$12,$O31,"")</f>
        <v/>
      </c>
      <c r="EA31" s="89" t="str">
        <f aca="false">IF($B31=EA$12,$O31,"")</f>
        <v/>
      </c>
      <c r="EB31" s="89" t="str">
        <f aca="false">IF($B31=EB$12,$O31,"")</f>
        <v/>
      </c>
      <c r="EC31" s="89" t="str">
        <f aca="false">IF($B31=EC$12,$O31,"")</f>
        <v/>
      </c>
      <c r="ED31" s="89" t="str">
        <f aca="false">IF($B31=ED$12,$O31,"")</f>
        <v/>
      </c>
      <c r="EE31" s="89" t="str">
        <f aca="false">IF($B31=EE$12,$O31,"")</f>
        <v/>
      </c>
      <c r="EF31" s="89" t="str">
        <f aca="false">IF($B31=EF$12,$O31,"")</f>
        <v/>
      </c>
      <c r="EG31" s="89" t="str">
        <f aca="false">IF($B31=EG$12,$O31,"")</f>
        <v/>
      </c>
      <c r="EH31" s="89" t="str">
        <f aca="false">IF($B31=EH$12,$O31,"")</f>
        <v/>
      </c>
      <c r="EI31" s="89" t="str">
        <f aca="false">IF($B31=EI$12,$O31,"")</f>
        <v/>
      </c>
      <c r="EJ31" s="89" t="str">
        <f aca="false">IF($B31=EJ$12,$O31,"")</f>
        <v/>
      </c>
      <c r="EK31" s="89" t="str">
        <f aca="false">IF($B31=EK$12,$O31,"")</f>
        <v/>
      </c>
      <c r="EL31" s="89" t="str">
        <f aca="false">IF($B31=EL$12,$O31,"")</f>
        <v/>
      </c>
      <c r="EM31" s="89" t="str">
        <f aca="false">IF($B31=EM$12,$O31,"")</f>
        <v/>
      </c>
      <c r="EN31" s="89" t="str">
        <f aca="false">IF($B31=EN$12,$O31,"")</f>
        <v/>
      </c>
      <c r="EO31" s="89" t="str">
        <f aca="false">IF($B31=EO$12,$O31,"")</f>
        <v/>
      </c>
      <c r="EP31" s="89" t="str">
        <f aca="false">IF($B31=EP$12,$O31,"")</f>
        <v/>
      </c>
      <c r="EQ31" s="89" t="str">
        <f aca="false">IF($B31=EQ$12,$O31,"")</f>
        <v/>
      </c>
      <c r="ER31" s="89" t="str">
        <f aca="false">IF($B31=ER$12,$O31,"")</f>
        <v/>
      </c>
      <c r="ES31" s="89" t="str">
        <f aca="false">IF($B31=ES$12,$O31,"")</f>
        <v/>
      </c>
      <c r="ET31" s="89" t="str">
        <f aca="false">IF($B31=ET$12,$O31,"")</f>
        <v/>
      </c>
      <c r="EU31" s="89" t="str">
        <f aca="false">IF($B31=EU$12,$O31,"")</f>
        <v/>
      </c>
      <c r="EV31" s="89" t="str">
        <f aca="false">IF($B31=EV$12,$O31,"")</f>
        <v/>
      </c>
      <c r="EW31" s="89" t="str">
        <f aca="false">IF($B31=EW$12,$O31,"")</f>
        <v/>
      </c>
      <c r="EX31" s="89" t="str">
        <f aca="false">IF($B31=EX$12,$O31,"")</f>
        <v/>
      </c>
      <c r="EY31" s="89" t="str">
        <f aca="false">IF($B31=EY$12,$O31,"")</f>
        <v/>
      </c>
      <c r="EZ31" s="89" t="str">
        <f aca="false">IF($B31=EZ$12,$O31,"")</f>
        <v/>
      </c>
      <c r="FA31" s="89" t="str">
        <f aca="false">IF($B31=FA$12,$O31,"")</f>
        <v/>
      </c>
      <c r="FB31" s="89" t="str">
        <f aca="false">IF($B31=FB$12,$O31,"")</f>
        <v/>
      </c>
      <c r="FC31" s="89" t="str">
        <f aca="false">IF($B31=FC$12,$O31,"")</f>
        <v/>
      </c>
      <c r="FD31" s="89" t="str">
        <f aca="false">IF($B31=FD$12,$O31,"")</f>
        <v/>
      </c>
      <c r="FE31" s="89" t="str">
        <f aca="false">IF($B31=FE$12,$O31,"")</f>
        <v/>
      </c>
      <c r="FF31" s="89" t="str">
        <f aca="false">IF($B31=FF$12,$O31,"")</f>
        <v/>
      </c>
      <c r="FG31" s="89" t="str">
        <f aca="false">IF($B31=FG$12,$O31,"")</f>
        <v/>
      </c>
      <c r="FH31" s="89" t="str">
        <f aca="false">IF($B31=FH$12,$O31,"")</f>
        <v/>
      </c>
      <c r="FI31" s="89" t="str">
        <f aca="false">IF($B31=FI$12,$O31,"")</f>
        <v/>
      </c>
      <c r="FJ31" s="89" t="str">
        <f aca="false">IF($B31=FJ$12,$O31,"")</f>
        <v/>
      </c>
      <c r="FK31" s="89" t="str">
        <f aca="false">IF($B31=FK$12,$O31,"")</f>
        <v/>
      </c>
      <c r="FL31" s="89" t="str">
        <f aca="false">IF($B31=FL$12,$O31,"")</f>
        <v/>
      </c>
      <c r="FM31" s="89" t="str">
        <f aca="false">IF($B31=FM$12,$O31,"")</f>
        <v/>
      </c>
      <c r="FN31" s="89" t="str">
        <f aca="false">IF($B31=FN$12,$O31,"")</f>
        <v/>
      </c>
      <c r="FO31" s="89" t="str">
        <f aca="false">IF($B31=FO$12,$O31,"")</f>
        <v/>
      </c>
      <c r="FP31" s="89" t="str">
        <f aca="false">IF($B31=FP$12,$O31,"")</f>
        <v/>
      </c>
      <c r="FQ31" s="89" t="str">
        <f aca="false">IF($B31=FQ$12,$O31,"")</f>
        <v/>
      </c>
      <c r="FR31" s="89" t="str">
        <f aca="false">IF($B31=FR$12,$O31,"")</f>
        <v/>
      </c>
      <c r="FS31" s="89" t="str">
        <f aca="false">IF($B31=FS$12,$O31,"")</f>
        <v/>
      </c>
      <c r="FT31" s="89" t="str">
        <f aca="false">IF($B31=FT$12,$O31,"")</f>
        <v/>
      </c>
      <c r="FU31" s="89" t="str">
        <f aca="false">IF($B31=FU$12,$O31,"")</f>
        <v/>
      </c>
      <c r="FV31" s="89" t="str">
        <f aca="false">IF($B31=FV$12,$O31,"")</f>
        <v/>
      </c>
      <c r="FW31" s="89" t="str">
        <f aca="false">IF($B31=FW$12,$O31,"")</f>
        <v/>
      </c>
      <c r="FX31" s="89" t="str">
        <f aca="false">IF($B31=FX$12,$O31,"")</f>
        <v/>
      </c>
      <c r="FY31" s="89" t="str">
        <f aca="false">IF($B31=FY$12,$O31,"")</f>
        <v/>
      </c>
      <c r="FZ31" s="89" t="str">
        <f aca="false">IF($B31=FZ$12,$O31,"")</f>
        <v/>
      </c>
      <c r="GA31" s="89" t="str">
        <f aca="false">IF($B31=GA$12,$O31,"")</f>
        <v/>
      </c>
      <c r="GB31" s="89" t="str">
        <f aca="false">IF($B31=GB$12,$O31,"")</f>
        <v/>
      </c>
      <c r="GC31" s="89" t="str">
        <f aca="false">IF($B31=GC$12,$O31,"")</f>
        <v/>
      </c>
      <c r="GD31" s="89" t="str">
        <f aca="false">IF($B31=GD$12,$O31,"")</f>
        <v/>
      </c>
      <c r="GE31" s="89" t="str">
        <f aca="false">IF($B31=GE$12,$O31,"")</f>
        <v/>
      </c>
      <c r="GF31" s="89" t="str">
        <f aca="false">IF($B31=GF$12,$O31,"")</f>
        <v/>
      </c>
      <c r="GG31" s="89" t="str">
        <f aca="false">IF($B31=GG$12,$O31,"")</f>
        <v/>
      </c>
      <c r="GH31" s="89" t="str">
        <f aca="false">IF($B31=GH$12,$O31,"")</f>
        <v/>
      </c>
      <c r="GI31" s="89" t="str">
        <f aca="false">IF($B31=GI$12,$O31,"")</f>
        <v/>
      </c>
      <c r="GJ31" s="89" t="str">
        <f aca="false">IF($B31=GJ$12,$O31,"")</f>
        <v/>
      </c>
      <c r="GK31" s="89" t="str">
        <f aca="false">IF($B31=GK$12,$O31,"")</f>
        <v/>
      </c>
      <c r="GL31" s="89" t="str">
        <f aca="false">IF($B31=GL$12,$O31,"")</f>
        <v/>
      </c>
      <c r="GM31" s="89" t="str">
        <f aca="false">IF($B31=GM$12,$O31,"")</f>
        <v/>
      </c>
      <c r="GN31" s="89" t="str">
        <f aca="false">IF($B31=GN$12,$O31,"")</f>
        <v/>
      </c>
      <c r="GO31" s="89" t="str">
        <f aca="false">IF($B31=GO$12,$O31,"")</f>
        <v/>
      </c>
      <c r="GP31" s="89" t="str">
        <f aca="false">IF($B31=GP$12,$O31,"")</f>
        <v/>
      </c>
      <c r="GQ31" s="89" t="str">
        <f aca="false">IF($B31=GQ$12,$O31,"")</f>
        <v/>
      </c>
      <c r="GR31" s="89" t="str">
        <f aca="false">IF($B31=GR$12,$O31,"")</f>
        <v/>
      </c>
      <c r="GS31" s="89" t="str">
        <f aca="false">IF($B31=GS$12,$O31,"")</f>
        <v/>
      </c>
      <c r="GT31" s="89" t="str">
        <f aca="false">IF($B31=GT$12,$O31,"")</f>
        <v/>
      </c>
      <c r="GU31" s="89" t="str">
        <f aca="false">IF($B31=GU$12,$O31,"")</f>
        <v/>
      </c>
      <c r="GV31" s="89" t="str">
        <f aca="false">IF($B31=GV$12,$O31,"")</f>
        <v/>
      </c>
      <c r="GW31" s="89" t="str">
        <f aca="false">IF($B31=GW$12,$O31,"")</f>
        <v/>
      </c>
      <c r="GX31" s="89" t="str">
        <f aca="false">IF($B31=GX$12,$O31,"")</f>
        <v/>
      </c>
      <c r="GY31" s="89" t="str">
        <f aca="false">IF($B31=GY$12,$O31,"")</f>
        <v/>
      </c>
      <c r="GZ31" s="89" t="str">
        <f aca="false">IF($B31=GZ$12,$O31,"")</f>
        <v/>
      </c>
      <c r="HA31" s="89" t="str">
        <f aca="false">IF($B31=HA$12,$O31,"")</f>
        <v/>
      </c>
      <c r="HB31" s="89" t="str">
        <f aca="false">IF($B31=HB$12,$O31,"")</f>
        <v/>
      </c>
      <c r="HC31" s="89" t="str">
        <f aca="false">IF($B31=HC$12,$O31,"")</f>
        <v/>
      </c>
      <c r="HD31" s="89" t="str">
        <f aca="false">IF($B31=HD$12,$O31,"")</f>
        <v/>
      </c>
      <c r="HE31" s="89" t="str">
        <f aca="false">IF($B31=HE$12,$O31,"")</f>
        <v/>
      </c>
      <c r="HF31" s="89" t="str">
        <f aca="false">IF($B31=HF$12,$O31,"")</f>
        <v/>
      </c>
      <c r="HG31" s="89" t="str">
        <f aca="false">IF($B31=HG$12,$O31,"")</f>
        <v/>
      </c>
      <c r="HH31" s="89" t="str">
        <f aca="false">IF($B31=HH$12,$O31,"")</f>
        <v/>
      </c>
      <c r="HI31" s="89" t="str">
        <f aca="false">IF($B31=HI$12,$O31,"")</f>
        <v/>
      </c>
      <c r="HJ31" s="89" t="str">
        <f aca="false">IF($B31=HJ$12,$O31,"")</f>
        <v/>
      </c>
      <c r="HK31" s="89" t="str">
        <f aca="false">IF($B31=HK$12,$O31,"")</f>
        <v/>
      </c>
      <c r="HL31" s="89" t="str">
        <f aca="false">IF($B31=HL$12,$O31,"")</f>
        <v/>
      </c>
      <c r="HM31" s="89" t="str">
        <f aca="false">IF($B31=HM$12,$O31,"")</f>
        <v/>
      </c>
      <c r="HN31" s="89" t="str">
        <f aca="false">IF($B31=HN$12,$O31,"")</f>
        <v/>
      </c>
      <c r="HO31" s="89" t="str">
        <f aca="false">IF($B31=HO$12,$O31,"")</f>
        <v/>
      </c>
      <c r="HP31" s="89" t="str">
        <f aca="false">IF($B31=HP$12,$O31,"")</f>
        <v/>
      </c>
      <c r="HQ31" s="89" t="str">
        <f aca="false">IF($B31=HQ$12,$O31,"")</f>
        <v/>
      </c>
      <c r="HR31" s="90" t="str">
        <f aca="false">IF($B31=HR$12,$O31,"")</f>
        <v/>
      </c>
    </row>
    <row r="32" customFormat="false" ht="10.5" hidden="false" customHeight="true" outlineLevel="0" collapsed="false">
      <c r="A32" s="92"/>
      <c r="B32" s="93"/>
      <c r="C32" s="94" t="str">
        <f aca="false">IF(A32=0,"",VLOOKUP(A32,[3]CO!$A$3:$F$5311,2,0))</f>
        <v/>
      </c>
      <c r="D32" s="95"/>
      <c r="E32" s="95"/>
      <c r="F32" s="95"/>
      <c r="G32" s="96" t="str">
        <f aca="false">IF(A32=0,"",VLOOKUP(A32,[3]CO!$A$3:$F$5311,3,0))</f>
        <v/>
      </c>
      <c r="H32" s="95"/>
      <c r="I32" s="97"/>
      <c r="J32" s="97"/>
      <c r="K32" s="97"/>
      <c r="L32" s="97"/>
      <c r="M32" s="98" t="str">
        <f aca="false">IF(L32=0,"",PRODUCT(I32:L32))</f>
        <v/>
      </c>
      <c r="N32" s="98" t="str">
        <f aca="false">IF(B32=0,"",IF(H32="M",HLOOKUP(B32,$Y$12:$DT$13,2),IF(A32=0,"",VLOOKUP(A32,[3]CO!$A$3:$F$5311,4,0))))</f>
        <v/>
      </c>
      <c r="O32" s="98" t="str">
        <f aca="false">IF(L32=0,"",PRODUCT(M32:N32))</f>
        <v/>
      </c>
      <c r="P32" s="99"/>
      <c r="Q32" s="100" t="str">
        <f aca="false">IF(P32=0,"",(HLOOKUP(P32,$DW$12:$HR$13,2)))</f>
        <v/>
      </c>
      <c r="R32" s="101" t="str">
        <f aca="false">IF(S32=0,"",IF(OR(G32="PEON",G32="OF",G32="JARD",G32="CARP",G32="MAESTRO",G32="SOLD",G32="BGRO",G32="CHOFER",G32="AYTE",G32="S.INTTE.",G32="ASEO",G32="P.PISOS",G32="VELADOR",G32="RESID",G32="PINTOR",G32="ELECT",G32="AZULE",G32="AUX CONT.",G32="SECRETARIA",G32="AUXILIAR ADMTVO.",G32="ARQUITECTO",G32="DIBUJANTE",G32="AUX. DE RESIDENTE"),VLOOKUP(B32,P$14:Q$57,2),"")*S32)</f>
        <v/>
      </c>
      <c r="S32" s="66"/>
      <c r="T32" s="67" t="str">
        <f aca="false">IF(A32=0,"",VLOOKUP(A32,[3]CO!$A$3:$F$5302,5,0))</f>
        <v/>
      </c>
      <c r="U32" s="56" t="n">
        <f aca="false">IF(T32=1,O32*0.1,)</f>
        <v>0</v>
      </c>
      <c r="V32" s="68"/>
      <c r="W32" s="91"/>
      <c r="X32" s="91"/>
      <c r="Y32" s="102" t="str">
        <f aca="false">IF($B32=Y$12,$U32,"")</f>
        <v/>
      </c>
      <c r="Z32" s="103" t="str">
        <f aca="false">IF($B32=Z$12,$U32,"")</f>
        <v/>
      </c>
      <c r="AA32" s="103" t="str">
        <f aca="false">IF($B32=AA$12,$U32,"")</f>
        <v/>
      </c>
      <c r="AB32" s="103" t="str">
        <f aca="false">IF($B32=AB$12,$U32,"")</f>
        <v/>
      </c>
      <c r="AC32" s="103" t="str">
        <f aca="false">IF($B32=AC$12,$U32,"")</f>
        <v/>
      </c>
      <c r="AD32" s="103" t="str">
        <f aca="false">IF($B32=AD$12,$U32,"")</f>
        <v/>
      </c>
      <c r="AE32" s="103" t="str">
        <f aca="false">IF($B32=AE$12,$U32,"")</f>
        <v/>
      </c>
      <c r="AF32" s="103" t="str">
        <f aca="false">IF($B32=AF$12,$U32,"")</f>
        <v/>
      </c>
      <c r="AG32" s="103" t="str">
        <f aca="false">IF($B32=AG$12,$U32,"")</f>
        <v/>
      </c>
      <c r="AH32" s="103" t="str">
        <f aca="false">IF($B32=AH$12,$U32,"")</f>
        <v/>
      </c>
      <c r="AI32" s="103" t="str">
        <f aca="false">IF($B32=AI$12,$U32,"")</f>
        <v/>
      </c>
      <c r="AJ32" s="103" t="str">
        <f aca="false">IF($B32=AJ$12,$U32,"")</f>
        <v/>
      </c>
      <c r="AK32" s="103" t="str">
        <f aca="false">IF($B32=AK$12,$U32,"")</f>
        <v/>
      </c>
      <c r="AL32" s="103" t="str">
        <f aca="false">IF($B32=AL$12,$U32,"")</f>
        <v/>
      </c>
      <c r="AM32" s="103" t="str">
        <f aca="false">IF($B32=AM$12,$U32,"")</f>
        <v/>
      </c>
      <c r="AN32" s="103" t="str">
        <f aca="false">IF($B32=AN$12,$U32,"")</f>
        <v/>
      </c>
      <c r="AO32" s="103" t="str">
        <f aca="false">IF($B32=AO$12,$U32,"")</f>
        <v/>
      </c>
      <c r="AP32" s="103" t="str">
        <f aca="false">IF($B32=AP$12,$U32,"")</f>
        <v/>
      </c>
      <c r="AQ32" s="103" t="str">
        <f aca="false">IF($B32=AQ$12,$U32,"")</f>
        <v/>
      </c>
      <c r="AR32" s="103" t="str">
        <f aca="false">IF($B32=AR$12,$U32,"")</f>
        <v/>
      </c>
      <c r="AS32" s="103" t="str">
        <f aca="false">IF($B32=AS$12,$U32,"")</f>
        <v/>
      </c>
      <c r="AT32" s="103" t="str">
        <f aca="false">IF($B32=AT$12,$U32,"")</f>
        <v/>
      </c>
      <c r="AU32" s="103" t="str">
        <f aca="false">IF($B32=AU$12,$U32,"")</f>
        <v/>
      </c>
      <c r="AV32" s="103" t="str">
        <f aca="false">IF($B32=AV$12,$U32,"")</f>
        <v/>
      </c>
      <c r="AW32" s="103" t="str">
        <f aca="false">IF($B32=AW$12,$U32,"")</f>
        <v/>
      </c>
      <c r="AX32" s="103" t="str">
        <f aca="false">IF($B32=AX$12,$U32,"")</f>
        <v/>
      </c>
      <c r="AY32" s="103" t="str">
        <f aca="false">IF($B32=AY$12,$U32,"")</f>
        <v/>
      </c>
      <c r="AZ32" s="103" t="str">
        <f aca="false">IF($B32=AZ$12,$U32,"")</f>
        <v/>
      </c>
      <c r="BA32" s="103" t="str">
        <f aca="false">IF($B32=BA$12,$U32,"")</f>
        <v/>
      </c>
      <c r="BB32" s="103" t="str">
        <f aca="false">IF($B32=BB$12,$U32,"")</f>
        <v/>
      </c>
      <c r="BC32" s="103" t="str">
        <f aca="false">IF($B32=BC$12,$U32,"")</f>
        <v/>
      </c>
      <c r="BD32" s="103" t="str">
        <f aca="false">IF($B32=BD$12,$U32,"")</f>
        <v/>
      </c>
      <c r="BE32" s="103" t="str">
        <f aca="false">IF($B32=BE$12,$U32,"")</f>
        <v/>
      </c>
      <c r="BF32" s="103" t="str">
        <f aca="false">IF($B32=BF$12,$U32,"")</f>
        <v/>
      </c>
      <c r="BG32" s="103" t="str">
        <f aca="false">IF($B32=BG$12,$U32,"")</f>
        <v/>
      </c>
      <c r="BH32" s="103" t="str">
        <f aca="false">IF($B32=BH$12,$U32,"")</f>
        <v/>
      </c>
      <c r="BI32" s="103" t="str">
        <f aca="false">IF($B32=BI$12,$U32,"")</f>
        <v/>
      </c>
      <c r="BJ32" s="103" t="str">
        <f aca="false">IF($B32=BJ$12,$U32,"")</f>
        <v/>
      </c>
      <c r="BK32" s="103" t="str">
        <f aca="false">IF($B32=BK$12,$U32,"")</f>
        <v/>
      </c>
      <c r="BL32" s="103" t="str">
        <f aca="false">IF($B32=BL$12,$U32,"")</f>
        <v/>
      </c>
      <c r="BM32" s="103" t="str">
        <f aca="false">IF($B32=BM$12,$U32,"")</f>
        <v/>
      </c>
      <c r="BN32" s="103" t="str">
        <f aca="false">IF($B32=BN$12,$U32,"")</f>
        <v/>
      </c>
      <c r="BO32" s="103" t="str">
        <f aca="false">IF($B32=BO$12,$U32,"")</f>
        <v/>
      </c>
      <c r="BP32" s="103" t="str">
        <f aca="false">IF($B32=BP$12,$U32,"")</f>
        <v/>
      </c>
      <c r="BQ32" s="103" t="str">
        <f aca="false">IF($B32=BQ$12,$U32,"")</f>
        <v/>
      </c>
      <c r="BR32" s="103" t="str">
        <f aca="false">IF($B32=BR$12,$U32,"")</f>
        <v/>
      </c>
      <c r="BS32" s="103" t="str">
        <f aca="false">IF($B32=BS$12,$U32,"")</f>
        <v/>
      </c>
      <c r="BT32" s="103" t="str">
        <f aca="false">IF($B32=BT$12,$U32,"")</f>
        <v/>
      </c>
      <c r="BU32" s="103" t="str">
        <f aca="false">IF($B32=BU$12,$U32,"")</f>
        <v/>
      </c>
      <c r="BV32" s="103" t="str">
        <f aca="false">IF($B32=BV$12,$U32,"")</f>
        <v/>
      </c>
      <c r="BW32" s="103" t="str">
        <f aca="false">IF($B32=BW$12,$U32,"")</f>
        <v/>
      </c>
      <c r="BX32" s="103" t="str">
        <f aca="false">IF($B32=BX$12,$U32,"")</f>
        <v/>
      </c>
      <c r="BY32" s="103" t="str">
        <f aca="false">IF($B32=BY$12,$U32,"")</f>
        <v/>
      </c>
      <c r="BZ32" s="103" t="str">
        <f aca="false">IF($B32=BZ$12,$U32,"")</f>
        <v/>
      </c>
      <c r="CA32" s="103" t="str">
        <f aca="false">IF($B32=CA$12,$U32,"")</f>
        <v/>
      </c>
      <c r="CB32" s="103" t="str">
        <f aca="false">IF($B32=CB$12,$U32,"")</f>
        <v/>
      </c>
      <c r="CC32" s="103" t="str">
        <f aca="false">IF($B32=CC$12,$U32,"")</f>
        <v/>
      </c>
      <c r="CD32" s="103" t="str">
        <f aca="false">IF($B32=CD$12,$U32,"")</f>
        <v/>
      </c>
      <c r="CE32" s="103" t="str">
        <f aca="false">IF($B32=CE$12,$U32,"")</f>
        <v/>
      </c>
      <c r="CF32" s="103" t="str">
        <f aca="false">IF($B32=CF$12,$U32,"")</f>
        <v/>
      </c>
      <c r="CG32" s="103" t="str">
        <f aca="false">IF($B32=CG$12,$U32,"")</f>
        <v/>
      </c>
      <c r="CH32" s="103" t="str">
        <f aca="false">IF($B32=CH$12,$U32,"")</f>
        <v/>
      </c>
      <c r="CI32" s="103" t="str">
        <f aca="false">IF($B32=CI$12,$U32,"")</f>
        <v/>
      </c>
      <c r="CJ32" s="103" t="str">
        <f aca="false">IF($B32=CJ$12,$U32,"")</f>
        <v/>
      </c>
      <c r="CK32" s="103" t="str">
        <f aca="false">IF($B32=CK$12,$U32,"")</f>
        <v/>
      </c>
      <c r="CL32" s="103" t="str">
        <f aca="false">IF($B32=CL$12,$U32,"")</f>
        <v/>
      </c>
      <c r="CM32" s="103" t="str">
        <f aca="false">IF($B32=CM$12,$U32,"")</f>
        <v/>
      </c>
      <c r="CN32" s="103" t="str">
        <f aca="false">IF($B32=CN$12,$U32,"")</f>
        <v/>
      </c>
      <c r="CO32" s="103" t="str">
        <f aca="false">IF($B32=CO$12,$U32,"")</f>
        <v/>
      </c>
      <c r="CP32" s="103" t="str">
        <f aca="false">IF($B32=CP$12,$U32,"")</f>
        <v/>
      </c>
      <c r="CQ32" s="103" t="str">
        <f aca="false">IF($B32=CQ$12,$U32,"")</f>
        <v/>
      </c>
      <c r="CR32" s="103" t="str">
        <f aca="false">IF($B32=CR$12,$U32,"")</f>
        <v/>
      </c>
      <c r="CS32" s="103" t="str">
        <f aca="false">IF($B32=CS$12,$U32,"")</f>
        <v/>
      </c>
      <c r="CT32" s="103" t="str">
        <f aca="false">IF($B32=CT$12,$U32,"")</f>
        <v/>
      </c>
      <c r="CU32" s="103" t="str">
        <f aca="false">IF($B32=CU$12,$U32,"")</f>
        <v/>
      </c>
      <c r="CV32" s="103" t="str">
        <f aca="false">IF($B32=CV$12,$U32,"")</f>
        <v/>
      </c>
      <c r="CW32" s="103" t="str">
        <f aca="false">IF($B32=CW$12,$U32,"")</f>
        <v/>
      </c>
      <c r="CX32" s="103" t="str">
        <f aca="false">IF($B32=CX$12,$U32,"")</f>
        <v/>
      </c>
      <c r="CY32" s="103" t="str">
        <f aca="false">IF($B32=CY$12,$U32,"")</f>
        <v/>
      </c>
      <c r="CZ32" s="103" t="str">
        <f aca="false">IF($B32=CZ$12,$U32,"")</f>
        <v/>
      </c>
      <c r="DA32" s="103" t="str">
        <f aca="false">IF($B32=DA$12,$U32,"")</f>
        <v/>
      </c>
      <c r="DB32" s="103" t="str">
        <f aca="false">IF($B32=DB$12,$U32,"")</f>
        <v/>
      </c>
      <c r="DC32" s="103" t="str">
        <f aca="false">IF($B32=DC$12,$U32,"")</f>
        <v/>
      </c>
      <c r="DD32" s="103" t="str">
        <f aca="false">IF($B32=DD$12,$U32,"")</f>
        <v/>
      </c>
      <c r="DE32" s="103" t="str">
        <f aca="false">IF($B32=DE$12,$U32,"")</f>
        <v/>
      </c>
      <c r="DF32" s="103" t="str">
        <f aca="false">IF($B32=DF$12,$U32,"")</f>
        <v/>
      </c>
      <c r="DG32" s="103" t="str">
        <f aca="false">IF($B32=DG$12,$U32,"")</f>
        <v/>
      </c>
      <c r="DH32" s="103" t="str">
        <f aca="false">IF($B32=DH$12,$U32,"")</f>
        <v/>
      </c>
      <c r="DI32" s="103" t="str">
        <f aca="false">IF($B32=DI$12,$U32,"")</f>
        <v/>
      </c>
      <c r="DJ32" s="103" t="str">
        <f aca="false">IF($B32=DJ$12,$U32,"")</f>
        <v/>
      </c>
      <c r="DK32" s="103" t="str">
        <f aca="false">IF($B32=DK$12,$U32,"")</f>
        <v/>
      </c>
      <c r="DL32" s="103" t="str">
        <f aca="false">IF($B32=DL$12,$U32,"")</f>
        <v/>
      </c>
      <c r="DM32" s="103" t="str">
        <f aca="false">IF($B32=DM$12,$U32,"")</f>
        <v/>
      </c>
      <c r="DN32" s="103" t="str">
        <f aca="false">IF($B32=DN$12,$U32,"")</f>
        <v/>
      </c>
      <c r="DO32" s="103" t="str">
        <f aca="false">IF($B32=DO$12,$U32,"")</f>
        <v/>
      </c>
      <c r="DP32" s="103" t="str">
        <f aca="false">IF($B32=DP$12,$U32,"")</f>
        <v/>
      </c>
      <c r="DQ32" s="103" t="str">
        <f aca="false">IF($B32=DQ$12,$U32,"")</f>
        <v/>
      </c>
      <c r="DR32" s="103" t="str">
        <f aca="false">IF($B32=DR$12,$U32,"")</f>
        <v/>
      </c>
      <c r="DS32" s="103" t="str">
        <f aca="false">IF($B32=DS$12,$U32,"")</f>
        <v/>
      </c>
      <c r="DT32" s="104" t="str">
        <f aca="false">IF($B32=DT$12,$U32,"")</f>
        <v/>
      </c>
      <c r="DU32" s="56"/>
      <c r="DV32" s="91"/>
      <c r="DW32" s="105" t="str">
        <f aca="false">IF($B32=DW$12,$O32,"")</f>
        <v/>
      </c>
      <c r="DX32" s="106" t="str">
        <f aca="false">IF($B32=DX$12,$O32,"")</f>
        <v/>
      </c>
      <c r="DY32" s="106" t="str">
        <f aca="false">IF($B32=DY$12,$O32,"")</f>
        <v/>
      </c>
      <c r="DZ32" s="106" t="str">
        <f aca="false">IF($B32=DZ$12,$O32,"")</f>
        <v/>
      </c>
      <c r="EA32" s="106" t="str">
        <f aca="false">IF($B32=EA$12,$O32,"")</f>
        <v/>
      </c>
      <c r="EB32" s="106" t="str">
        <f aca="false">IF($B32=EB$12,$O32,"")</f>
        <v/>
      </c>
      <c r="EC32" s="106" t="str">
        <f aca="false">IF($B32=EC$12,$O32,"")</f>
        <v/>
      </c>
      <c r="ED32" s="106" t="str">
        <f aca="false">IF($B32=ED$12,$O32,"")</f>
        <v/>
      </c>
      <c r="EE32" s="106" t="str">
        <f aca="false">IF($B32=EE$12,$O32,"")</f>
        <v/>
      </c>
      <c r="EF32" s="106" t="str">
        <f aca="false">IF($B32=EF$12,$O32,"")</f>
        <v/>
      </c>
      <c r="EG32" s="106" t="str">
        <f aca="false">IF($B32=EG$12,$O32,"")</f>
        <v/>
      </c>
      <c r="EH32" s="106" t="str">
        <f aca="false">IF($B32=EH$12,$O32,"")</f>
        <v/>
      </c>
      <c r="EI32" s="106" t="str">
        <f aca="false">IF($B32=EI$12,$O32,"")</f>
        <v/>
      </c>
      <c r="EJ32" s="106" t="str">
        <f aca="false">IF($B32=EJ$12,$O32,"")</f>
        <v/>
      </c>
      <c r="EK32" s="106" t="str">
        <f aca="false">IF($B32=EK$12,$O32,"")</f>
        <v/>
      </c>
      <c r="EL32" s="106" t="str">
        <f aca="false">IF($B32=EL$12,$O32,"")</f>
        <v/>
      </c>
      <c r="EM32" s="106" t="str">
        <f aca="false">IF($B32=EM$12,$O32,"")</f>
        <v/>
      </c>
      <c r="EN32" s="106" t="str">
        <f aca="false">IF($B32=EN$12,$O32,"")</f>
        <v/>
      </c>
      <c r="EO32" s="106" t="str">
        <f aca="false">IF($B32=EO$12,$O32,"")</f>
        <v/>
      </c>
      <c r="EP32" s="106" t="str">
        <f aca="false">IF($B32=EP$12,$O32,"")</f>
        <v/>
      </c>
      <c r="EQ32" s="106" t="str">
        <f aca="false">IF($B32=EQ$12,$O32,"")</f>
        <v/>
      </c>
      <c r="ER32" s="106" t="str">
        <f aca="false">IF($B32=ER$12,$O32,"")</f>
        <v/>
      </c>
      <c r="ES32" s="106" t="str">
        <f aca="false">IF($B32=ES$12,$O32,"")</f>
        <v/>
      </c>
      <c r="ET32" s="106" t="str">
        <f aca="false">IF($B32=ET$12,$O32,"")</f>
        <v/>
      </c>
      <c r="EU32" s="106" t="str">
        <f aca="false">IF($B32=EU$12,$O32,"")</f>
        <v/>
      </c>
      <c r="EV32" s="106" t="str">
        <f aca="false">IF($B32=EV$12,$O32,"")</f>
        <v/>
      </c>
      <c r="EW32" s="106" t="str">
        <f aca="false">IF($B32=EW$12,$O32,"")</f>
        <v/>
      </c>
      <c r="EX32" s="106" t="str">
        <f aca="false">IF($B32=EX$12,$O32,"")</f>
        <v/>
      </c>
      <c r="EY32" s="106" t="str">
        <f aca="false">IF($B32=EY$12,$O32,"")</f>
        <v/>
      </c>
      <c r="EZ32" s="106" t="str">
        <f aca="false">IF($B32=EZ$12,$O32,"")</f>
        <v/>
      </c>
      <c r="FA32" s="106" t="str">
        <f aca="false">IF($B32=FA$12,$O32,"")</f>
        <v/>
      </c>
      <c r="FB32" s="106" t="str">
        <f aca="false">IF($B32=FB$12,$O32,"")</f>
        <v/>
      </c>
      <c r="FC32" s="106" t="str">
        <f aca="false">IF($B32=FC$12,$O32,"")</f>
        <v/>
      </c>
      <c r="FD32" s="106" t="str">
        <f aca="false">IF($B32=FD$12,$O32,"")</f>
        <v/>
      </c>
      <c r="FE32" s="106" t="str">
        <f aca="false">IF($B32=FE$12,$O32,"")</f>
        <v/>
      </c>
      <c r="FF32" s="106" t="str">
        <f aca="false">IF($B32=FF$12,$O32,"")</f>
        <v/>
      </c>
      <c r="FG32" s="106" t="str">
        <f aca="false">IF($B32=FG$12,$O32,"")</f>
        <v/>
      </c>
      <c r="FH32" s="106" t="str">
        <f aca="false">IF($B32=FH$12,$O32,"")</f>
        <v/>
      </c>
      <c r="FI32" s="106" t="str">
        <f aca="false">IF($B32=FI$12,$O32,"")</f>
        <v/>
      </c>
      <c r="FJ32" s="106" t="str">
        <f aca="false">IF($B32=FJ$12,$O32,"")</f>
        <v/>
      </c>
      <c r="FK32" s="106" t="str">
        <f aca="false">IF($B32=FK$12,$O32,"")</f>
        <v/>
      </c>
      <c r="FL32" s="106" t="str">
        <f aca="false">IF($B32=FL$12,$O32,"")</f>
        <v/>
      </c>
      <c r="FM32" s="106" t="str">
        <f aca="false">IF($B32=FM$12,$O32,"")</f>
        <v/>
      </c>
      <c r="FN32" s="106" t="str">
        <f aca="false">IF($B32=FN$12,$O32,"")</f>
        <v/>
      </c>
      <c r="FO32" s="106" t="str">
        <f aca="false">IF($B32=FO$12,$O32,"")</f>
        <v/>
      </c>
      <c r="FP32" s="106" t="str">
        <f aca="false">IF($B32=FP$12,$O32,"")</f>
        <v/>
      </c>
      <c r="FQ32" s="106" t="str">
        <f aca="false">IF($B32=FQ$12,$O32,"")</f>
        <v/>
      </c>
      <c r="FR32" s="106" t="str">
        <f aca="false">IF($B32=FR$12,$O32,"")</f>
        <v/>
      </c>
      <c r="FS32" s="106" t="str">
        <f aca="false">IF($B32=FS$12,$O32,"")</f>
        <v/>
      </c>
      <c r="FT32" s="106" t="str">
        <f aca="false">IF($B32=FT$12,$O32,"")</f>
        <v/>
      </c>
      <c r="FU32" s="106" t="str">
        <f aca="false">IF($B32=FU$12,$O32,"")</f>
        <v/>
      </c>
      <c r="FV32" s="106" t="str">
        <f aca="false">IF($B32=FV$12,$O32,"")</f>
        <v/>
      </c>
      <c r="FW32" s="106" t="str">
        <f aca="false">IF($B32=FW$12,$O32,"")</f>
        <v/>
      </c>
      <c r="FX32" s="106" t="str">
        <f aca="false">IF($B32=FX$12,$O32,"")</f>
        <v/>
      </c>
      <c r="FY32" s="106" t="str">
        <f aca="false">IF($B32=FY$12,$O32,"")</f>
        <v/>
      </c>
      <c r="FZ32" s="106" t="str">
        <f aca="false">IF($B32=FZ$12,$O32,"")</f>
        <v/>
      </c>
      <c r="GA32" s="106" t="str">
        <f aca="false">IF($B32=GA$12,$O32,"")</f>
        <v/>
      </c>
      <c r="GB32" s="106" t="str">
        <f aca="false">IF($B32=GB$12,$O32,"")</f>
        <v/>
      </c>
      <c r="GC32" s="106" t="str">
        <f aca="false">IF($B32=GC$12,$O32,"")</f>
        <v/>
      </c>
      <c r="GD32" s="106" t="str">
        <f aca="false">IF($B32=GD$12,$O32,"")</f>
        <v/>
      </c>
      <c r="GE32" s="106" t="str">
        <f aca="false">IF($B32=GE$12,$O32,"")</f>
        <v/>
      </c>
      <c r="GF32" s="106" t="str">
        <f aca="false">IF($B32=GF$12,$O32,"")</f>
        <v/>
      </c>
      <c r="GG32" s="106" t="str">
        <f aca="false">IF($B32=GG$12,$O32,"")</f>
        <v/>
      </c>
      <c r="GH32" s="106" t="str">
        <f aca="false">IF($B32=GH$12,$O32,"")</f>
        <v/>
      </c>
      <c r="GI32" s="106" t="str">
        <f aca="false">IF($B32=GI$12,$O32,"")</f>
        <v/>
      </c>
      <c r="GJ32" s="106" t="str">
        <f aca="false">IF($B32=GJ$12,$O32,"")</f>
        <v/>
      </c>
      <c r="GK32" s="106" t="str">
        <f aca="false">IF($B32=GK$12,$O32,"")</f>
        <v/>
      </c>
      <c r="GL32" s="106" t="str">
        <f aca="false">IF($B32=GL$12,$O32,"")</f>
        <v/>
      </c>
      <c r="GM32" s="106" t="str">
        <f aca="false">IF($B32=GM$12,$O32,"")</f>
        <v/>
      </c>
      <c r="GN32" s="106" t="str">
        <f aca="false">IF($B32=GN$12,$O32,"")</f>
        <v/>
      </c>
      <c r="GO32" s="106" t="str">
        <f aca="false">IF($B32=GO$12,$O32,"")</f>
        <v/>
      </c>
      <c r="GP32" s="106" t="str">
        <f aca="false">IF($B32=GP$12,$O32,"")</f>
        <v/>
      </c>
      <c r="GQ32" s="106" t="str">
        <f aca="false">IF($B32=GQ$12,$O32,"")</f>
        <v/>
      </c>
      <c r="GR32" s="106" t="str">
        <f aca="false">IF($B32=GR$12,$O32,"")</f>
        <v/>
      </c>
      <c r="GS32" s="106" t="str">
        <f aca="false">IF($B32=GS$12,$O32,"")</f>
        <v/>
      </c>
      <c r="GT32" s="106" t="str">
        <f aca="false">IF($B32=GT$12,$O32,"")</f>
        <v/>
      </c>
      <c r="GU32" s="106" t="str">
        <f aca="false">IF($B32=GU$12,$O32,"")</f>
        <v/>
      </c>
      <c r="GV32" s="106" t="str">
        <f aca="false">IF($B32=GV$12,$O32,"")</f>
        <v/>
      </c>
      <c r="GW32" s="106" t="str">
        <f aca="false">IF($B32=GW$12,$O32,"")</f>
        <v/>
      </c>
      <c r="GX32" s="106" t="str">
        <f aca="false">IF($B32=GX$12,$O32,"")</f>
        <v/>
      </c>
      <c r="GY32" s="106" t="str">
        <f aca="false">IF($B32=GY$12,$O32,"")</f>
        <v/>
      </c>
      <c r="GZ32" s="106" t="str">
        <f aca="false">IF($B32=GZ$12,$O32,"")</f>
        <v/>
      </c>
      <c r="HA32" s="106" t="str">
        <f aca="false">IF($B32=HA$12,$O32,"")</f>
        <v/>
      </c>
      <c r="HB32" s="106" t="str">
        <f aca="false">IF($B32=HB$12,$O32,"")</f>
        <v/>
      </c>
      <c r="HC32" s="106" t="str">
        <f aca="false">IF($B32=HC$12,$O32,"")</f>
        <v/>
      </c>
      <c r="HD32" s="106" t="str">
        <f aca="false">IF($B32=HD$12,$O32,"")</f>
        <v/>
      </c>
      <c r="HE32" s="106" t="str">
        <f aca="false">IF($B32=HE$12,$O32,"")</f>
        <v/>
      </c>
      <c r="HF32" s="106" t="str">
        <f aca="false">IF($B32=HF$12,$O32,"")</f>
        <v/>
      </c>
      <c r="HG32" s="106" t="str">
        <f aca="false">IF($B32=HG$12,$O32,"")</f>
        <v/>
      </c>
      <c r="HH32" s="106" t="str">
        <f aca="false">IF($B32=HH$12,$O32,"")</f>
        <v/>
      </c>
      <c r="HI32" s="106" t="str">
        <f aca="false">IF($B32=HI$12,$O32,"")</f>
        <v/>
      </c>
      <c r="HJ32" s="106" t="str">
        <f aca="false">IF($B32=HJ$12,$O32,"")</f>
        <v/>
      </c>
      <c r="HK32" s="106" t="str">
        <f aca="false">IF($B32=HK$12,$O32,"")</f>
        <v/>
      </c>
      <c r="HL32" s="106" t="str">
        <f aca="false">IF($B32=HL$12,$O32,"")</f>
        <v/>
      </c>
      <c r="HM32" s="106" t="str">
        <f aca="false">IF($B32=HM$12,$O32,"")</f>
        <v/>
      </c>
      <c r="HN32" s="106" t="str">
        <f aca="false">IF($B32=HN$12,$O32,"")</f>
        <v/>
      </c>
      <c r="HO32" s="106" t="str">
        <f aca="false">IF($B32=HO$12,$O32,"")</f>
        <v/>
      </c>
      <c r="HP32" s="106" t="str">
        <f aca="false">IF($B32=HP$12,$O32,"")</f>
        <v/>
      </c>
      <c r="HQ32" s="106" t="str">
        <f aca="false">IF($B32=HQ$12,$O32,"")</f>
        <v/>
      </c>
      <c r="HR32" s="107" t="str">
        <f aca="false">IF($B32=HR$12,$O32,"")</f>
        <v/>
      </c>
    </row>
    <row r="33" customFormat="false" ht="10.5" hidden="false" customHeight="true" outlineLevel="0" collapsed="false">
      <c r="A33" s="108"/>
    </row>
    <row r="34" customFormat="false" ht="12.75" hidden="false" customHeight="false" outlineLevel="0" collapsed="false">
      <c r="O34" s="109" t="s">
        <v>24</v>
      </c>
      <c r="P34" s="110"/>
      <c r="Q34" s="111" t="n">
        <f aca="false">SUM(Q14:Q32)</f>
        <v>0</v>
      </c>
      <c r="R34" s="111" t="n">
        <f aca="false">SUM(R14:R32)</f>
        <v>0</v>
      </c>
      <c r="S34" s="112"/>
    </row>
    <row r="35" customFormat="false" ht="10.5" hidden="false" customHeight="true" outlineLevel="0" collapsed="false"/>
    <row r="36" customFormat="false" ht="16.5" hidden="false" customHeight="false" outlineLevel="0" collapsed="false">
      <c r="A36" s="113"/>
      <c r="B36" s="114"/>
      <c r="C36" s="114"/>
      <c r="D36" s="114"/>
      <c r="E36" s="114"/>
      <c r="F36" s="114"/>
      <c r="G36" s="114" t="s">
        <v>25</v>
      </c>
      <c r="H36" s="114"/>
      <c r="I36" s="114"/>
      <c r="J36" s="115"/>
      <c r="K36" s="114"/>
      <c r="L36" s="114"/>
      <c r="M36" s="114"/>
      <c r="N36" s="114"/>
      <c r="O36" s="114"/>
      <c r="P36" s="114"/>
      <c r="Q36" s="114"/>
      <c r="R36" s="116"/>
    </row>
    <row r="37" customFormat="false" ht="10.5" hidden="false" customHeight="true" outlineLevel="0" collapsed="false"/>
    <row r="38" customFormat="false" ht="10.5" hidden="false" customHeight="true" outlineLevel="0" collapsed="false">
      <c r="A38" s="57"/>
      <c r="B38" s="117"/>
      <c r="C38" s="118" t="str">
        <f aca="false">IF(A38=0,"",VLOOKUP(A38,[3]CO!$A$3:$F$5311,2,0))</f>
        <v/>
      </c>
      <c r="D38" s="119"/>
      <c r="E38" s="119"/>
      <c r="F38" s="119"/>
      <c r="G38" s="120" t="str">
        <f aca="false">IF(A38=0,"",VLOOKUP(A38,[3]CO!$A$3:$F$5311,3,0))</f>
        <v/>
      </c>
      <c r="H38" s="121"/>
      <c r="I38" s="122"/>
      <c r="J38" s="122"/>
      <c r="K38" s="122"/>
      <c r="L38" s="122"/>
      <c r="M38" s="123" t="str">
        <f aca="false">IF(H38&gt;0,H38*Q$34/N38,IF(AND(L38&gt;0,I38&gt;0),L38*I38,IF(L38&gt;0,L38,"")))</f>
        <v/>
      </c>
      <c r="N38" s="123" t="str">
        <f aca="false">IF(B38=0,"",IF(H38="M",HLOOKUP(B38,$Y$12:$DT$13,2),IF(A38=0,"",VLOOKUP(A38,[3]CO!$A$3:$F$5311,4,0))))</f>
        <v/>
      </c>
      <c r="O38" s="123" t="str">
        <f aca="false">IF(L38=0,"",PRODUCT(M38:N38))</f>
        <v/>
      </c>
      <c r="P38" s="58"/>
      <c r="Q38" s="64" t="str">
        <f aca="false">IF(P38=0,"",(HLOOKUP(P38,$DW$12:$HR$13,2)))</f>
        <v/>
      </c>
      <c r="R38" s="65" t="str">
        <f aca="false">IF(S38=0,"",IF(OR(G38="PEON",G38="OF",G38="JARD",G38="CARP",G38="MAESTRO",G38="SOLD",G38="BGRO",G38="CHOFER",G38="AYTE",G38="S.INTTE.",G38="ASEO",G38="P.PISOS",G38="VELADOR",G38="RESID",G38="PINTOR",G38="ELECT",G38="AZULE",G38="AUX CONT.",G38="SECRETARIA",G38="AUXILIAR ADMTVO.",G38="ARQUITECTO",G38="DIBUJANTE",G38="AUX. DE RESIDENTE",G38="TOPOGRAFIA"),VLOOKUP(B38,P$14:Q$357,2),"")*S38)</f>
        <v/>
      </c>
      <c r="S38" s="51"/>
      <c r="T38" s="67" t="str">
        <f aca="false">IF(A38=0,"",VLOOKUP(A38,[3]CO!$A$3:$F$5302,5,0))</f>
        <v/>
      </c>
      <c r="U38" s="56" t="n">
        <f aca="false">IF(T38=1,O38*0.1,)</f>
        <v>0</v>
      </c>
      <c r="V38" s="68"/>
      <c r="W38" s="91"/>
      <c r="X38" s="91"/>
      <c r="Y38" s="124" t="str">
        <f aca="false">IF($B38=Y$12,$U38,"")</f>
        <v/>
      </c>
      <c r="Z38" s="125" t="str">
        <f aca="false">IF($B38=Z$12,$U38,"")</f>
        <v/>
      </c>
      <c r="AA38" s="125" t="str">
        <f aca="false">IF($B38=AA$12,$U38,"")</f>
        <v/>
      </c>
      <c r="AB38" s="125" t="str">
        <f aca="false">IF($B38=AB$12,$U38,"")</f>
        <v/>
      </c>
      <c r="AC38" s="125" t="str">
        <f aca="false">IF($B38=AC$12,$U38,"")</f>
        <v/>
      </c>
      <c r="AD38" s="125" t="str">
        <f aca="false">IF($B38=AD$12,$U38,"")</f>
        <v/>
      </c>
      <c r="AE38" s="125" t="str">
        <f aca="false">IF($B38=AE$12,$U38,"")</f>
        <v/>
      </c>
      <c r="AF38" s="125" t="str">
        <f aca="false">IF($B38=AF$12,$U38,"")</f>
        <v/>
      </c>
      <c r="AG38" s="125" t="str">
        <f aca="false">IF($B38=AG$12,$U38,"")</f>
        <v/>
      </c>
      <c r="AH38" s="125" t="str">
        <f aca="false">IF($B38=AH$12,$U38,"")</f>
        <v/>
      </c>
      <c r="AI38" s="125" t="str">
        <f aca="false">IF($B38=AI$12,$U38,"")</f>
        <v/>
      </c>
      <c r="AJ38" s="125" t="str">
        <f aca="false">IF($B38=AJ$12,$U38,"")</f>
        <v/>
      </c>
      <c r="AK38" s="125" t="str">
        <f aca="false">IF($B38=AK$12,$U38,"")</f>
        <v/>
      </c>
      <c r="AL38" s="125" t="str">
        <f aca="false">IF($B38=AL$12,$U38,"")</f>
        <v/>
      </c>
      <c r="AM38" s="125" t="str">
        <f aca="false">IF($B38=AM$12,$U38,"")</f>
        <v/>
      </c>
      <c r="AN38" s="125" t="str">
        <f aca="false">IF($B38=AN$12,$U38,"")</f>
        <v/>
      </c>
      <c r="AO38" s="125" t="str">
        <f aca="false">IF($B38=AO$12,$U38,"")</f>
        <v/>
      </c>
      <c r="AP38" s="125" t="str">
        <f aca="false">IF($B38=AP$12,$U38,"")</f>
        <v/>
      </c>
      <c r="AQ38" s="125" t="str">
        <f aca="false">IF($B38=AQ$12,$U38,"")</f>
        <v/>
      </c>
      <c r="AR38" s="125" t="str">
        <f aca="false">IF($B38=AR$12,$U38,"")</f>
        <v/>
      </c>
      <c r="AS38" s="125" t="str">
        <f aca="false">IF($B38=AS$12,$U38,"")</f>
        <v/>
      </c>
      <c r="AT38" s="125" t="str">
        <f aca="false">IF($B38=AT$12,$U38,"")</f>
        <v/>
      </c>
      <c r="AU38" s="125" t="str">
        <f aca="false">IF($B38=AU$12,$U38,"")</f>
        <v/>
      </c>
      <c r="AV38" s="125" t="str">
        <f aca="false">IF($B38=AV$12,$U38,"")</f>
        <v/>
      </c>
      <c r="AW38" s="125" t="str">
        <f aca="false">IF($B38=AW$12,$U38,"")</f>
        <v/>
      </c>
      <c r="AX38" s="125" t="str">
        <f aca="false">IF($B38=AX$12,$U38,"")</f>
        <v/>
      </c>
      <c r="AY38" s="125" t="str">
        <f aca="false">IF($B38=AY$12,$U38,"")</f>
        <v/>
      </c>
      <c r="AZ38" s="125" t="str">
        <f aca="false">IF($B38=AZ$12,$U38,"")</f>
        <v/>
      </c>
      <c r="BA38" s="125" t="str">
        <f aca="false">IF($B38=BA$12,$U38,"")</f>
        <v/>
      </c>
      <c r="BB38" s="125" t="str">
        <f aca="false">IF($B38=BB$12,$U38,"")</f>
        <v/>
      </c>
      <c r="BC38" s="125" t="str">
        <f aca="false">IF($B38=BC$12,$U38,"")</f>
        <v/>
      </c>
      <c r="BD38" s="125" t="str">
        <f aca="false">IF($B38=BD$12,$U38,"")</f>
        <v/>
      </c>
      <c r="BE38" s="125" t="str">
        <f aca="false">IF($B38=BE$12,$U38,"")</f>
        <v/>
      </c>
      <c r="BF38" s="125" t="str">
        <f aca="false">IF($B38=BF$12,$U38,"")</f>
        <v/>
      </c>
      <c r="BG38" s="125" t="str">
        <f aca="false">IF($B38=BG$12,$U38,"")</f>
        <v/>
      </c>
      <c r="BH38" s="125" t="str">
        <f aca="false">IF($B38=BH$12,$U38,"")</f>
        <v/>
      </c>
      <c r="BI38" s="125" t="str">
        <f aca="false">IF($B38=BI$12,$U38,"")</f>
        <v/>
      </c>
      <c r="BJ38" s="125" t="str">
        <f aca="false">IF($B38=BJ$12,$U38,"")</f>
        <v/>
      </c>
      <c r="BK38" s="125" t="str">
        <f aca="false">IF($B38=BK$12,$U38,"")</f>
        <v/>
      </c>
      <c r="BL38" s="125" t="str">
        <f aca="false">IF($B38=BL$12,$U38,"")</f>
        <v/>
      </c>
      <c r="BM38" s="125" t="str">
        <f aca="false">IF($B38=BM$12,$U38,"")</f>
        <v/>
      </c>
      <c r="BN38" s="125" t="str">
        <f aca="false">IF($B38=BN$12,$U38,"")</f>
        <v/>
      </c>
      <c r="BO38" s="125" t="str">
        <f aca="false">IF($B38=BO$12,$U38,"")</f>
        <v/>
      </c>
      <c r="BP38" s="125" t="str">
        <f aca="false">IF($B38=BP$12,$U38,"")</f>
        <v/>
      </c>
      <c r="BQ38" s="125" t="str">
        <f aca="false">IF($B38=BQ$12,$U38,"")</f>
        <v/>
      </c>
      <c r="BR38" s="125" t="str">
        <f aca="false">IF($B38=BR$12,$U38,"")</f>
        <v/>
      </c>
      <c r="BS38" s="125" t="str">
        <f aca="false">IF($B38=BS$12,$U38,"")</f>
        <v/>
      </c>
      <c r="BT38" s="125" t="str">
        <f aca="false">IF($B38=BT$12,$U38,"")</f>
        <v/>
      </c>
      <c r="BU38" s="125" t="str">
        <f aca="false">IF($B38=BU$12,$U38,"")</f>
        <v/>
      </c>
      <c r="BV38" s="125" t="str">
        <f aca="false">IF($B38=BV$12,$U38,"")</f>
        <v/>
      </c>
      <c r="BW38" s="125" t="str">
        <f aca="false">IF($B38=BW$12,$U38,"")</f>
        <v/>
      </c>
      <c r="BX38" s="125" t="str">
        <f aca="false">IF($B38=BX$12,$U38,"")</f>
        <v/>
      </c>
      <c r="BY38" s="125" t="str">
        <f aca="false">IF($B38=BY$12,$U38,"")</f>
        <v/>
      </c>
      <c r="BZ38" s="125" t="str">
        <f aca="false">IF($B38=BZ$12,$U38,"")</f>
        <v/>
      </c>
      <c r="CA38" s="125" t="str">
        <f aca="false">IF($B38=CA$12,$U38,"")</f>
        <v/>
      </c>
      <c r="CB38" s="125" t="str">
        <f aca="false">IF($B38=CB$12,$U38,"")</f>
        <v/>
      </c>
      <c r="CC38" s="125" t="str">
        <f aca="false">IF($B38=CC$12,$U38,"")</f>
        <v/>
      </c>
      <c r="CD38" s="125" t="str">
        <f aca="false">IF($B38=CD$12,$U38,"")</f>
        <v/>
      </c>
      <c r="CE38" s="125" t="str">
        <f aca="false">IF($B38=CE$12,$U38,"")</f>
        <v/>
      </c>
      <c r="CF38" s="125" t="str">
        <f aca="false">IF($B38=CF$12,$U38,"")</f>
        <v/>
      </c>
      <c r="CG38" s="125" t="str">
        <f aca="false">IF($B38=CG$12,$U38,"")</f>
        <v/>
      </c>
      <c r="CH38" s="125" t="str">
        <f aca="false">IF($B38=CH$12,$U38,"")</f>
        <v/>
      </c>
      <c r="CI38" s="125" t="str">
        <f aca="false">IF($B38=CI$12,$U38,"")</f>
        <v/>
      </c>
      <c r="CJ38" s="125" t="str">
        <f aca="false">IF($B38=CJ$12,$U38,"")</f>
        <v/>
      </c>
      <c r="CK38" s="125" t="str">
        <f aca="false">IF($B38=CK$12,$U38,"")</f>
        <v/>
      </c>
      <c r="CL38" s="125" t="str">
        <f aca="false">IF($B38=CL$12,$U38,"")</f>
        <v/>
      </c>
      <c r="CM38" s="125" t="str">
        <f aca="false">IF($B38=CM$12,$U38,"")</f>
        <v/>
      </c>
      <c r="CN38" s="125" t="str">
        <f aca="false">IF($B38=CN$12,$U38,"")</f>
        <v/>
      </c>
      <c r="CO38" s="125" t="str">
        <f aca="false">IF($B38=CO$12,$U38,"")</f>
        <v/>
      </c>
      <c r="CP38" s="125" t="str">
        <f aca="false">IF($B38=CP$12,$U38,"")</f>
        <v/>
      </c>
      <c r="CQ38" s="125" t="str">
        <f aca="false">IF($B38=CQ$12,$U38,"")</f>
        <v/>
      </c>
      <c r="CR38" s="125" t="str">
        <f aca="false">IF($B38=CR$12,$U38,"")</f>
        <v/>
      </c>
      <c r="CS38" s="125" t="str">
        <f aca="false">IF($B38=CS$12,$U38,"")</f>
        <v/>
      </c>
      <c r="CT38" s="125" t="str">
        <f aca="false">IF($B38=CT$12,$U38,"")</f>
        <v/>
      </c>
      <c r="CU38" s="125" t="str">
        <f aca="false">IF($B38=CU$12,$U38,"")</f>
        <v/>
      </c>
      <c r="CV38" s="125" t="str">
        <f aca="false">IF($B38=CV$12,$U38,"")</f>
        <v/>
      </c>
      <c r="CW38" s="125" t="str">
        <f aca="false">IF($B38=CW$12,$U38,"")</f>
        <v/>
      </c>
      <c r="CX38" s="125" t="str">
        <f aca="false">IF($B38=CX$12,$U38,"")</f>
        <v/>
      </c>
      <c r="CY38" s="125" t="str">
        <f aca="false">IF($B38=CY$12,$U38,"")</f>
        <v/>
      </c>
      <c r="CZ38" s="125" t="str">
        <f aca="false">IF($B38=CZ$12,$U38,"")</f>
        <v/>
      </c>
      <c r="DA38" s="125" t="str">
        <f aca="false">IF($B38=DA$12,$U38,"")</f>
        <v/>
      </c>
      <c r="DB38" s="125" t="str">
        <f aca="false">IF($B38=DB$12,$U38,"")</f>
        <v/>
      </c>
      <c r="DC38" s="125" t="str">
        <f aca="false">IF($B38=DC$12,$U38,"")</f>
        <v/>
      </c>
      <c r="DD38" s="125" t="str">
        <f aca="false">IF($B38=DD$12,$U38,"")</f>
        <v/>
      </c>
      <c r="DE38" s="125" t="str">
        <f aca="false">IF($B38=DE$12,$U38,"")</f>
        <v/>
      </c>
      <c r="DF38" s="125" t="str">
        <f aca="false">IF($B38=DF$12,$U38,"")</f>
        <v/>
      </c>
      <c r="DG38" s="125" t="str">
        <f aca="false">IF($B38=DG$12,$U38,"")</f>
        <v/>
      </c>
      <c r="DH38" s="125" t="str">
        <f aca="false">IF($B38=DH$12,$U38,"")</f>
        <v/>
      </c>
      <c r="DI38" s="125" t="str">
        <f aca="false">IF($B38=DI$12,$U38,"")</f>
        <v/>
      </c>
      <c r="DJ38" s="125" t="str">
        <f aca="false">IF($B38=DJ$12,$U38,"")</f>
        <v/>
      </c>
      <c r="DK38" s="125" t="str">
        <f aca="false">IF($B38=DK$12,$U38,"")</f>
        <v/>
      </c>
      <c r="DL38" s="125" t="str">
        <f aca="false">IF($B38=DL$12,$U38,"")</f>
        <v/>
      </c>
      <c r="DM38" s="125" t="str">
        <f aca="false">IF($B38=DM$12,$U38,"")</f>
        <v/>
      </c>
      <c r="DN38" s="125" t="str">
        <f aca="false">IF($B38=DN$12,$U38,"")</f>
        <v/>
      </c>
      <c r="DO38" s="125" t="str">
        <f aca="false">IF($B38=DO$12,$U38,"")</f>
        <v/>
      </c>
      <c r="DP38" s="125" t="str">
        <f aca="false">IF($B38=DP$12,$U38,"")</f>
        <v/>
      </c>
      <c r="DQ38" s="125" t="str">
        <f aca="false">IF($B38=DQ$12,$U38,"")</f>
        <v/>
      </c>
      <c r="DR38" s="125" t="str">
        <f aca="false">IF($B38=DR$12,$U38,"")</f>
        <v/>
      </c>
      <c r="DS38" s="125" t="str">
        <f aca="false">IF($B38=DS$12,$U38,"")</f>
        <v/>
      </c>
      <c r="DT38" s="126" t="str">
        <f aca="false">IF($B38=DT$12,$U38,"")</f>
        <v/>
      </c>
      <c r="DU38" s="56"/>
      <c r="DV38" s="91"/>
      <c r="DW38" s="127" t="str">
        <f aca="false">IF($B38=DW$12,$O38,"")</f>
        <v/>
      </c>
      <c r="DX38" s="128" t="str">
        <f aca="false">IF($B38=DX$12,$O38,"")</f>
        <v/>
      </c>
      <c r="DY38" s="128" t="str">
        <f aca="false">IF($B38=DY$12,$O38,"")</f>
        <v/>
      </c>
      <c r="DZ38" s="128" t="str">
        <f aca="false">IF($B38=DZ$12,$O38,"")</f>
        <v/>
      </c>
      <c r="EA38" s="128" t="str">
        <f aca="false">IF($B38=EA$12,$O38,"")</f>
        <v/>
      </c>
      <c r="EB38" s="128" t="str">
        <f aca="false">IF($B38=EB$12,$O38,"")</f>
        <v/>
      </c>
      <c r="EC38" s="128" t="str">
        <f aca="false">IF($B38=EC$12,$O38,"")</f>
        <v/>
      </c>
      <c r="ED38" s="128" t="str">
        <f aca="false">IF($B38=ED$12,$O38,"")</f>
        <v/>
      </c>
      <c r="EE38" s="128" t="str">
        <f aca="false">IF($B38=EE$12,$O38,"")</f>
        <v/>
      </c>
      <c r="EF38" s="128" t="str">
        <f aca="false">IF($B38=EF$12,$O38,"")</f>
        <v/>
      </c>
      <c r="EG38" s="128" t="str">
        <f aca="false">IF($B38=EG$12,$O38,"")</f>
        <v/>
      </c>
      <c r="EH38" s="128" t="str">
        <f aca="false">IF($B38=EH$12,$O38,"")</f>
        <v/>
      </c>
      <c r="EI38" s="128" t="str">
        <f aca="false">IF($B38=EI$12,$O38,"")</f>
        <v/>
      </c>
      <c r="EJ38" s="128" t="str">
        <f aca="false">IF($B38=EJ$12,$O38,"")</f>
        <v/>
      </c>
      <c r="EK38" s="128" t="str">
        <f aca="false">IF($B38=EK$12,$O38,"")</f>
        <v/>
      </c>
      <c r="EL38" s="128" t="str">
        <f aca="false">IF($B38=EL$12,$O38,"")</f>
        <v/>
      </c>
      <c r="EM38" s="128" t="str">
        <f aca="false">IF($B38=EM$12,$O38,"")</f>
        <v/>
      </c>
      <c r="EN38" s="128" t="str">
        <f aca="false">IF($B38=EN$12,$O38,"")</f>
        <v/>
      </c>
      <c r="EO38" s="128" t="str">
        <f aca="false">IF($B38=EO$12,$O38,"")</f>
        <v/>
      </c>
      <c r="EP38" s="128" t="str">
        <f aca="false">IF($B38=EP$12,$O38,"")</f>
        <v/>
      </c>
      <c r="EQ38" s="128" t="str">
        <f aca="false">IF($B38=EQ$12,$O38,"")</f>
        <v/>
      </c>
      <c r="ER38" s="128" t="str">
        <f aca="false">IF($B38=ER$12,$O38,"")</f>
        <v/>
      </c>
      <c r="ES38" s="128" t="str">
        <f aca="false">IF($B38=ES$12,$O38,"")</f>
        <v/>
      </c>
      <c r="ET38" s="128" t="str">
        <f aca="false">IF($B38=ET$12,$O38,"")</f>
        <v/>
      </c>
      <c r="EU38" s="128" t="str">
        <f aca="false">IF($B38=EU$12,$O38,"")</f>
        <v/>
      </c>
      <c r="EV38" s="128" t="str">
        <f aca="false">IF($B38=EV$12,$O38,"")</f>
        <v/>
      </c>
      <c r="EW38" s="128" t="str">
        <f aca="false">IF($B38=EW$12,$O38,"")</f>
        <v/>
      </c>
      <c r="EX38" s="128" t="str">
        <f aca="false">IF($B38=EX$12,$O38,"")</f>
        <v/>
      </c>
      <c r="EY38" s="128" t="str">
        <f aca="false">IF($B38=EY$12,$O38,"")</f>
        <v/>
      </c>
      <c r="EZ38" s="128" t="str">
        <f aca="false">IF($B38=EZ$12,$O38,"")</f>
        <v/>
      </c>
      <c r="FA38" s="128" t="str">
        <f aca="false">IF($B38=FA$12,$O38,"")</f>
        <v/>
      </c>
      <c r="FB38" s="128" t="str">
        <f aca="false">IF($B38=FB$12,$O38,"")</f>
        <v/>
      </c>
      <c r="FC38" s="128" t="str">
        <f aca="false">IF($B38=FC$12,$O38,"")</f>
        <v/>
      </c>
      <c r="FD38" s="128" t="str">
        <f aca="false">IF($B38=FD$12,$O38,"")</f>
        <v/>
      </c>
      <c r="FE38" s="128" t="str">
        <f aca="false">IF($B38=FE$12,$O38,"")</f>
        <v/>
      </c>
      <c r="FF38" s="128" t="str">
        <f aca="false">IF($B38=FF$12,$O38,"")</f>
        <v/>
      </c>
      <c r="FG38" s="128" t="str">
        <f aca="false">IF($B38=FG$12,$O38,"")</f>
        <v/>
      </c>
      <c r="FH38" s="128" t="str">
        <f aca="false">IF($B38=FH$12,$O38,"")</f>
        <v/>
      </c>
      <c r="FI38" s="128" t="str">
        <f aca="false">IF($B38=FI$12,$O38,"")</f>
        <v/>
      </c>
      <c r="FJ38" s="128" t="str">
        <f aca="false">IF($B38=FJ$12,$O38,"")</f>
        <v/>
      </c>
      <c r="FK38" s="128" t="str">
        <f aca="false">IF($B38=FK$12,$O38,"")</f>
        <v/>
      </c>
      <c r="FL38" s="128" t="str">
        <f aca="false">IF($B38=FL$12,$O38,"")</f>
        <v/>
      </c>
      <c r="FM38" s="128" t="str">
        <f aca="false">IF($B38=FM$12,$O38,"")</f>
        <v/>
      </c>
      <c r="FN38" s="128" t="str">
        <f aca="false">IF($B38=FN$12,$O38,"")</f>
        <v/>
      </c>
      <c r="FO38" s="128" t="str">
        <f aca="false">IF($B38=FO$12,$O38,"")</f>
        <v/>
      </c>
      <c r="FP38" s="128" t="str">
        <f aca="false">IF($B38=FP$12,$O38,"")</f>
        <v/>
      </c>
      <c r="FQ38" s="128" t="str">
        <f aca="false">IF($B38=FQ$12,$O38,"")</f>
        <v/>
      </c>
      <c r="FR38" s="128" t="str">
        <f aca="false">IF($B38=FR$12,$O38,"")</f>
        <v/>
      </c>
      <c r="FS38" s="128" t="str">
        <f aca="false">IF($B38=FS$12,$O38,"")</f>
        <v/>
      </c>
      <c r="FT38" s="128" t="str">
        <f aca="false">IF($B38=FT$12,$O38,"")</f>
        <v/>
      </c>
      <c r="FU38" s="128" t="str">
        <f aca="false">IF($B38=FU$12,$O38,"")</f>
        <v/>
      </c>
      <c r="FV38" s="128" t="str">
        <f aca="false">IF($B38=FV$12,$O38,"")</f>
        <v/>
      </c>
      <c r="FW38" s="128" t="str">
        <f aca="false">IF($B38=FW$12,$O38,"")</f>
        <v/>
      </c>
      <c r="FX38" s="128" t="str">
        <f aca="false">IF($B38=FX$12,$O38,"")</f>
        <v/>
      </c>
      <c r="FY38" s="128" t="str">
        <f aca="false">IF($B38=FY$12,$O38,"")</f>
        <v/>
      </c>
      <c r="FZ38" s="128" t="str">
        <f aca="false">IF($B38=FZ$12,$O38,"")</f>
        <v/>
      </c>
      <c r="GA38" s="128" t="str">
        <f aca="false">IF($B38=GA$12,$O38,"")</f>
        <v/>
      </c>
      <c r="GB38" s="128" t="str">
        <f aca="false">IF($B38=GB$12,$O38,"")</f>
        <v/>
      </c>
      <c r="GC38" s="128" t="str">
        <f aca="false">IF($B38=GC$12,$O38,"")</f>
        <v/>
      </c>
      <c r="GD38" s="128" t="str">
        <f aca="false">IF($B38=GD$12,$O38,"")</f>
        <v/>
      </c>
      <c r="GE38" s="128" t="str">
        <f aca="false">IF($B38=GE$12,$O38,"")</f>
        <v/>
      </c>
      <c r="GF38" s="128" t="str">
        <f aca="false">IF($B38=GF$12,$O38,"")</f>
        <v/>
      </c>
      <c r="GG38" s="128" t="str">
        <f aca="false">IF($B38=GG$12,$O38,"")</f>
        <v/>
      </c>
      <c r="GH38" s="128" t="str">
        <f aca="false">IF($B38=GH$12,$O38,"")</f>
        <v/>
      </c>
      <c r="GI38" s="128" t="str">
        <f aca="false">IF($B38=GI$12,$O38,"")</f>
        <v/>
      </c>
      <c r="GJ38" s="128" t="str">
        <f aca="false">IF($B38=GJ$12,$O38,"")</f>
        <v/>
      </c>
      <c r="GK38" s="128" t="str">
        <f aca="false">IF($B38=GK$12,$O38,"")</f>
        <v/>
      </c>
      <c r="GL38" s="128" t="str">
        <f aca="false">IF($B38=GL$12,$O38,"")</f>
        <v/>
      </c>
      <c r="GM38" s="128" t="str">
        <f aca="false">IF($B38=GM$12,$O38,"")</f>
        <v/>
      </c>
      <c r="GN38" s="128" t="str">
        <f aca="false">IF($B38=GN$12,$O38,"")</f>
        <v/>
      </c>
      <c r="GO38" s="128" t="str">
        <f aca="false">IF($B38=GO$12,$O38,"")</f>
        <v/>
      </c>
      <c r="GP38" s="128" t="str">
        <f aca="false">IF($B38=GP$12,$O38,"")</f>
        <v/>
      </c>
      <c r="GQ38" s="128" t="str">
        <f aca="false">IF($B38=GQ$12,$O38,"")</f>
        <v/>
      </c>
      <c r="GR38" s="128" t="str">
        <f aca="false">IF($B38=GR$12,$O38,"")</f>
        <v/>
      </c>
      <c r="GS38" s="128" t="str">
        <f aca="false">IF($B38=GS$12,$O38,"")</f>
        <v/>
      </c>
      <c r="GT38" s="128" t="str">
        <f aca="false">IF($B38=GT$12,$O38,"")</f>
        <v/>
      </c>
      <c r="GU38" s="128" t="str">
        <f aca="false">IF($B38=GU$12,$O38,"")</f>
        <v/>
      </c>
      <c r="GV38" s="128" t="str">
        <f aca="false">IF($B38=GV$12,$O38,"")</f>
        <v/>
      </c>
      <c r="GW38" s="128" t="str">
        <f aca="false">IF($B38=GW$12,$O38,"")</f>
        <v/>
      </c>
      <c r="GX38" s="128" t="str">
        <f aca="false">IF($B38=GX$12,$O38,"")</f>
        <v/>
      </c>
      <c r="GY38" s="128" t="str">
        <f aca="false">IF($B38=GY$12,$O38,"")</f>
        <v/>
      </c>
      <c r="GZ38" s="128" t="str">
        <f aca="false">IF($B38=GZ$12,$O38,"")</f>
        <v/>
      </c>
      <c r="HA38" s="128" t="str">
        <f aca="false">IF($B38=HA$12,$O38,"")</f>
        <v/>
      </c>
      <c r="HB38" s="128" t="str">
        <f aca="false">IF($B38=HB$12,$O38,"")</f>
        <v/>
      </c>
      <c r="HC38" s="128" t="str">
        <f aca="false">IF($B38=HC$12,$O38,"")</f>
        <v/>
      </c>
      <c r="HD38" s="128" t="str">
        <f aca="false">IF($B38=HD$12,$O38,"")</f>
        <v/>
      </c>
      <c r="HE38" s="128" t="str">
        <f aca="false">IF($B38=HE$12,$O38,"")</f>
        <v/>
      </c>
      <c r="HF38" s="128" t="str">
        <f aca="false">IF($B38=HF$12,$O38,"")</f>
        <v/>
      </c>
      <c r="HG38" s="128" t="str">
        <f aca="false">IF($B38=HG$12,$O38,"")</f>
        <v/>
      </c>
      <c r="HH38" s="128" t="str">
        <f aca="false">IF($B38=HH$12,$O38,"")</f>
        <v/>
      </c>
      <c r="HI38" s="128" t="str">
        <f aca="false">IF($B38=HI$12,$O38,"")</f>
        <v/>
      </c>
      <c r="HJ38" s="128" t="str">
        <f aca="false">IF($B38=HJ$12,$O38,"")</f>
        <v/>
      </c>
      <c r="HK38" s="128" t="str">
        <f aca="false">IF($B38=HK$12,$O38,"")</f>
        <v/>
      </c>
      <c r="HL38" s="128" t="str">
        <f aca="false">IF($B38=HL$12,$O38,"")</f>
        <v/>
      </c>
      <c r="HM38" s="128" t="str">
        <f aca="false">IF($B38=HM$12,$O38,"")</f>
        <v/>
      </c>
      <c r="HN38" s="128" t="str">
        <f aca="false">IF($B38=HN$12,$O38,"")</f>
        <v/>
      </c>
      <c r="HO38" s="128" t="str">
        <f aca="false">IF($B38=HO$12,$O38,"")</f>
        <v/>
      </c>
      <c r="HP38" s="128" t="str">
        <f aca="false">IF($B38=HP$12,$O38,"")</f>
        <v/>
      </c>
      <c r="HQ38" s="128" t="str">
        <f aca="false">IF($B38=HQ$12,$O38,"")</f>
        <v/>
      </c>
      <c r="HR38" s="129" t="str">
        <f aca="false">IF($B38=HR$12,$O38,"")</f>
        <v/>
      </c>
    </row>
    <row r="39" customFormat="false" ht="10.5" hidden="false" customHeight="true" outlineLevel="0" collapsed="false">
      <c r="A39" s="75"/>
      <c r="B39" s="76"/>
      <c r="C39" s="77" t="str">
        <f aca="false">IF(A39=0,"",VLOOKUP(A39,[3]CO!$A$3:$F$5311,2,0))</f>
        <v/>
      </c>
      <c r="D39" s="78"/>
      <c r="E39" s="78"/>
      <c r="F39" s="78"/>
      <c r="G39" s="79" t="str">
        <f aca="false">IF(A39=0,"",VLOOKUP(A39,[3]CO!$A$3:$F$5311,3,0))</f>
        <v/>
      </c>
      <c r="H39" s="130"/>
      <c r="I39" s="80"/>
      <c r="J39" s="80"/>
      <c r="K39" s="80"/>
      <c r="L39" s="80"/>
      <c r="M39" s="81" t="str">
        <f aca="false">IF(H39&gt;0,H39*Q$34/N39,IF(AND(L39&gt;0,I39&gt;0),L39*I39,IF(L39&gt;0,L39,"")))</f>
        <v/>
      </c>
      <c r="N39" s="81" t="str">
        <f aca="false">IF(B39=0,"",IF(H39="M",HLOOKUP(B39,$Y$12:$DT$13,2),IF(A39=0,"",VLOOKUP(A39,[3]CO!$A$3:$F$5311,4,0))))</f>
        <v/>
      </c>
      <c r="O39" s="81" t="str">
        <f aca="false">IF(L39=0,"",PRODUCT(M39:N39))</f>
        <v/>
      </c>
      <c r="P39" s="82"/>
      <c r="Q39" s="83" t="str">
        <f aca="false">IF(P39=0,"",(HLOOKUP(P39,$DW$12:$HR$13,2)))</f>
        <v/>
      </c>
      <c r="R39" s="84" t="e">
        <f aca="false">IF(S39=0,"",IF(OR(G39="PEON",G39="OF",G39="JARD",G39="CARP",G39="MAESTRO",G39="SOLD",G39="BGRO",G39="CHOFER",G39="AYTE",G39="S.INTTE.",G39="ASEO",G39="P.PISOS",G39="VELADOR",G39="RESID",G39="PINTOR",G39="ELECT",G39="AZULE",G39="AUX CONT.",G39="SECRETARIA",G39="AUXILIAR ADMTVO.",G39="ARQUITECTO",G39="DIBUJANTE",G39="AUX. DE RESIDENTE",G39="TOPOGRAFIA",G39="DESTAJOS"),VLOOKUP(B39,P$14:Q$57,2),"")*S39)</f>
        <v>#VALUE!</v>
      </c>
      <c r="S39" s="51" t="n">
        <v>1</v>
      </c>
      <c r="T39" s="67" t="str">
        <f aca="false">IF(A39=0,"",VLOOKUP(A39,[3]CO!$A$3:$F$5302,5,0))</f>
        <v/>
      </c>
      <c r="U39" s="56" t="n">
        <f aca="false">IF(T39=1,O39*0.1,)</f>
        <v>0</v>
      </c>
      <c r="V39" s="68"/>
      <c r="W39" s="91"/>
      <c r="X39" s="91"/>
      <c r="Y39" s="85" t="str">
        <f aca="false">IF($B39=Y$12,$U39,"")</f>
        <v/>
      </c>
      <c r="Z39" s="86" t="str">
        <f aca="false">IF($B39=Z$12,$U39,"")</f>
        <v/>
      </c>
      <c r="AA39" s="86" t="str">
        <f aca="false">IF($B39=AA$12,$U39,"")</f>
        <v/>
      </c>
      <c r="AB39" s="86" t="str">
        <f aca="false">IF($B39=AB$12,$U39,"")</f>
        <v/>
      </c>
      <c r="AC39" s="86" t="str">
        <f aca="false">IF($B39=AC$12,$U39,"")</f>
        <v/>
      </c>
      <c r="AD39" s="86" t="str">
        <f aca="false">IF($B39=AD$12,$U39,"")</f>
        <v/>
      </c>
      <c r="AE39" s="86" t="str">
        <f aca="false">IF($B39=AE$12,$U39,"")</f>
        <v/>
      </c>
      <c r="AF39" s="86" t="str">
        <f aca="false">IF($B39=AF$12,$U39,"")</f>
        <v/>
      </c>
      <c r="AG39" s="86" t="str">
        <f aca="false">IF($B39=AG$12,$U39,"")</f>
        <v/>
      </c>
      <c r="AH39" s="86" t="str">
        <f aca="false">IF($B39=AH$12,$U39,"")</f>
        <v/>
      </c>
      <c r="AI39" s="86" t="str">
        <f aca="false">IF($B39=AI$12,$U39,"")</f>
        <v/>
      </c>
      <c r="AJ39" s="86" t="str">
        <f aca="false">IF($B39=AJ$12,$U39,"")</f>
        <v/>
      </c>
      <c r="AK39" s="86" t="str">
        <f aca="false">IF($B39=AK$12,$U39,"")</f>
        <v/>
      </c>
      <c r="AL39" s="86" t="str">
        <f aca="false">IF($B39=AL$12,$U39,"")</f>
        <v/>
      </c>
      <c r="AM39" s="86" t="str">
        <f aca="false">IF($B39=AM$12,$U39,"")</f>
        <v/>
      </c>
      <c r="AN39" s="86" t="str">
        <f aca="false">IF($B39=AN$12,$U39,"")</f>
        <v/>
      </c>
      <c r="AO39" s="86" t="str">
        <f aca="false">IF($B39=AO$12,$U39,"")</f>
        <v/>
      </c>
      <c r="AP39" s="86" t="str">
        <f aca="false">IF($B39=AP$12,$U39,"")</f>
        <v/>
      </c>
      <c r="AQ39" s="86" t="str">
        <f aca="false">IF($B39=AQ$12,$U39,"")</f>
        <v/>
      </c>
      <c r="AR39" s="86" t="str">
        <f aca="false">IF($B39=AR$12,$U39,"")</f>
        <v/>
      </c>
      <c r="AS39" s="86" t="str">
        <f aca="false">IF($B39=AS$12,$U39,"")</f>
        <v/>
      </c>
      <c r="AT39" s="86" t="str">
        <f aca="false">IF($B39=AT$12,$U39,"")</f>
        <v/>
      </c>
      <c r="AU39" s="86" t="str">
        <f aca="false">IF($B39=AU$12,$U39,"")</f>
        <v/>
      </c>
      <c r="AV39" s="86" t="str">
        <f aca="false">IF($B39=AV$12,$U39,"")</f>
        <v/>
      </c>
      <c r="AW39" s="86" t="str">
        <f aca="false">IF($B39=AW$12,$U39,"")</f>
        <v/>
      </c>
      <c r="AX39" s="86" t="str">
        <f aca="false">IF($B39=AX$12,$U39,"")</f>
        <v/>
      </c>
      <c r="AY39" s="86" t="str">
        <f aca="false">IF($B39=AY$12,$U39,"")</f>
        <v/>
      </c>
      <c r="AZ39" s="86" t="str">
        <f aca="false">IF($B39=AZ$12,$U39,"")</f>
        <v/>
      </c>
      <c r="BA39" s="86" t="str">
        <f aca="false">IF($B39=BA$12,$U39,"")</f>
        <v/>
      </c>
      <c r="BB39" s="86" t="str">
        <f aca="false">IF($B39=BB$12,$U39,"")</f>
        <v/>
      </c>
      <c r="BC39" s="86" t="str">
        <f aca="false">IF($B39=BC$12,$U39,"")</f>
        <v/>
      </c>
      <c r="BD39" s="86" t="str">
        <f aca="false">IF($B39=BD$12,$U39,"")</f>
        <v/>
      </c>
      <c r="BE39" s="86" t="str">
        <f aca="false">IF($B39=BE$12,$U39,"")</f>
        <v/>
      </c>
      <c r="BF39" s="86" t="str">
        <f aca="false">IF($B39=BF$12,$U39,"")</f>
        <v/>
      </c>
      <c r="BG39" s="86" t="str">
        <f aca="false">IF($B39=BG$12,$U39,"")</f>
        <v/>
      </c>
      <c r="BH39" s="86" t="str">
        <f aca="false">IF($B39=BH$12,$U39,"")</f>
        <v/>
      </c>
      <c r="BI39" s="86" t="str">
        <f aca="false">IF($B39=BI$12,$U39,"")</f>
        <v/>
      </c>
      <c r="BJ39" s="86" t="str">
        <f aca="false">IF($B39=BJ$12,$U39,"")</f>
        <v/>
      </c>
      <c r="BK39" s="86" t="str">
        <f aca="false">IF($B39=BK$12,$U39,"")</f>
        <v/>
      </c>
      <c r="BL39" s="86" t="str">
        <f aca="false">IF($B39=BL$12,$U39,"")</f>
        <v/>
      </c>
      <c r="BM39" s="86" t="str">
        <f aca="false">IF($B39=BM$12,$U39,"")</f>
        <v/>
      </c>
      <c r="BN39" s="86" t="str">
        <f aca="false">IF($B39=BN$12,$U39,"")</f>
        <v/>
      </c>
      <c r="BO39" s="86" t="str">
        <f aca="false">IF($B39=BO$12,$U39,"")</f>
        <v/>
      </c>
      <c r="BP39" s="86" t="str">
        <f aca="false">IF($B39=BP$12,$U39,"")</f>
        <v/>
      </c>
      <c r="BQ39" s="86" t="str">
        <f aca="false">IF($B39=BQ$12,$U39,"")</f>
        <v/>
      </c>
      <c r="BR39" s="86" t="str">
        <f aca="false">IF($B39=BR$12,$U39,"")</f>
        <v/>
      </c>
      <c r="BS39" s="86" t="str">
        <f aca="false">IF($B39=BS$12,$U39,"")</f>
        <v/>
      </c>
      <c r="BT39" s="86" t="str">
        <f aca="false">IF($B39=BT$12,$U39,"")</f>
        <v/>
      </c>
      <c r="BU39" s="86" t="str">
        <f aca="false">IF($B39=BU$12,$U39,"")</f>
        <v/>
      </c>
      <c r="BV39" s="86" t="str">
        <f aca="false">IF($B39=BV$12,$U39,"")</f>
        <v/>
      </c>
      <c r="BW39" s="86" t="str">
        <f aca="false">IF($B39=BW$12,$U39,"")</f>
        <v/>
      </c>
      <c r="BX39" s="86" t="str">
        <f aca="false">IF($B39=BX$12,$U39,"")</f>
        <v/>
      </c>
      <c r="BY39" s="86" t="str">
        <f aca="false">IF($B39=BY$12,$U39,"")</f>
        <v/>
      </c>
      <c r="BZ39" s="86" t="str">
        <f aca="false">IF($B39=BZ$12,$U39,"")</f>
        <v/>
      </c>
      <c r="CA39" s="86" t="str">
        <f aca="false">IF($B39=CA$12,$U39,"")</f>
        <v/>
      </c>
      <c r="CB39" s="86" t="str">
        <f aca="false">IF($B39=CB$12,$U39,"")</f>
        <v/>
      </c>
      <c r="CC39" s="86" t="str">
        <f aca="false">IF($B39=CC$12,$U39,"")</f>
        <v/>
      </c>
      <c r="CD39" s="86" t="str">
        <f aca="false">IF($B39=CD$12,$U39,"")</f>
        <v/>
      </c>
      <c r="CE39" s="86" t="str">
        <f aca="false">IF($B39=CE$12,$U39,"")</f>
        <v/>
      </c>
      <c r="CF39" s="86" t="str">
        <f aca="false">IF($B39=CF$12,$U39,"")</f>
        <v/>
      </c>
      <c r="CG39" s="86" t="str">
        <f aca="false">IF($B39=CG$12,$U39,"")</f>
        <v/>
      </c>
      <c r="CH39" s="86" t="str">
        <f aca="false">IF($B39=CH$12,$U39,"")</f>
        <v/>
      </c>
      <c r="CI39" s="86" t="str">
        <f aca="false">IF($B39=CI$12,$U39,"")</f>
        <v/>
      </c>
      <c r="CJ39" s="86" t="str">
        <f aca="false">IF($B39=CJ$12,$U39,"")</f>
        <v/>
      </c>
      <c r="CK39" s="86" t="str">
        <f aca="false">IF($B39=CK$12,$U39,"")</f>
        <v/>
      </c>
      <c r="CL39" s="86" t="str">
        <f aca="false">IF($B39=CL$12,$U39,"")</f>
        <v/>
      </c>
      <c r="CM39" s="86" t="str">
        <f aca="false">IF($B39=CM$12,$U39,"")</f>
        <v/>
      </c>
      <c r="CN39" s="86" t="str">
        <f aca="false">IF($B39=CN$12,$U39,"")</f>
        <v/>
      </c>
      <c r="CO39" s="86" t="str">
        <f aca="false">IF($B39=CO$12,$U39,"")</f>
        <v/>
      </c>
      <c r="CP39" s="86" t="str">
        <f aca="false">IF($B39=CP$12,$U39,"")</f>
        <v/>
      </c>
      <c r="CQ39" s="86" t="str">
        <f aca="false">IF($B39=CQ$12,$U39,"")</f>
        <v/>
      </c>
      <c r="CR39" s="86" t="str">
        <f aca="false">IF($B39=CR$12,$U39,"")</f>
        <v/>
      </c>
      <c r="CS39" s="86" t="str">
        <f aca="false">IF($B39=CS$12,$U39,"")</f>
        <v/>
      </c>
      <c r="CT39" s="86" t="str">
        <f aca="false">IF($B39=CT$12,$U39,"")</f>
        <v/>
      </c>
      <c r="CU39" s="86" t="str">
        <f aca="false">IF($B39=CU$12,$U39,"")</f>
        <v/>
      </c>
      <c r="CV39" s="86" t="str">
        <f aca="false">IF($B39=CV$12,$U39,"")</f>
        <v/>
      </c>
      <c r="CW39" s="86" t="str">
        <f aca="false">IF($B39=CW$12,$U39,"")</f>
        <v/>
      </c>
      <c r="CX39" s="86" t="str">
        <f aca="false">IF($B39=CX$12,$U39,"")</f>
        <v/>
      </c>
      <c r="CY39" s="86" t="str">
        <f aca="false">IF($B39=CY$12,$U39,"")</f>
        <v/>
      </c>
      <c r="CZ39" s="86" t="str">
        <f aca="false">IF($B39=CZ$12,$U39,"")</f>
        <v/>
      </c>
      <c r="DA39" s="86" t="str">
        <f aca="false">IF($B39=DA$12,$U39,"")</f>
        <v/>
      </c>
      <c r="DB39" s="86" t="str">
        <f aca="false">IF($B39=DB$12,$U39,"")</f>
        <v/>
      </c>
      <c r="DC39" s="86" t="str">
        <f aca="false">IF($B39=DC$12,$U39,"")</f>
        <v/>
      </c>
      <c r="DD39" s="86" t="str">
        <f aca="false">IF($B39=DD$12,$U39,"")</f>
        <v/>
      </c>
      <c r="DE39" s="86" t="str">
        <f aca="false">IF($B39=DE$12,$U39,"")</f>
        <v/>
      </c>
      <c r="DF39" s="86" t="str">
        <f aca="false">IF($B39=DF$12,$U39,"")</f>
        <v/>
      </c>
      <c r="DG39" s="86" t="str">
        <f aca="false">IF($B39=DG$12,$U39,"")</f>
        <v/>
      </c>
      <c r="DH39" s="86" t="str">
        <f aca="false">IF($B39=DH$12,$U39,"")</f>
        <v/>
      </c>
      <c r="DI39" s="86" t="str">
        <f aca="false">IF($B39=DI$12,$U39,"")</f>
        <v/>
      </c>
      <c r="DJ39" s="86" t="str">
        <f aca="false">IF($B39=DJ$12,$U39,"")</f>
        <v/>
      </c>
      <c r="DK39" s="86" t="str">
        <f aca="false">IF($B39=DK$12,$U39,"")</f>
        <v/>
      </c>
      <c r="DL39" s="86" t="str">
        <f aca="false">IF($B39=DL$12,$U39,"")</f>
        <v/>
      </c>
      <c r="DM39" s="86" t="str">
        <f aca="false">IF($B39=DM$12,$U39,"")</f>
        <v/>
      </c>
      <c r="DN39" s="86" t="str">
        <f aca="false">IF($B39=DN$12,$U39,"")</f>
        <v/>
      </c>
      <c r="DO39" s="86" t="str">
        <f aca="false">IF($B39=DO$12,$U39,"")</f>
        <v/>
      </c>
      <c r="DP39" s="86" t="str">
        <f aca="false">IF($B39=DP$12,$U39,"")</f>
        <v/>
      </c>
      <c r="DQ39" s="86" t="str">
        <f aca="false">IF($B39=DQ$12,$U39,"")</f>
        <v/>
      </c>
      <c r="DR39" s="86" t="str">
        <f aca="false">IF($B39=DR$12,$U39,"")</f>
        <v/>
      </c>
      <c r="DS39" s="86" t="str">
        <f aca="false">IF($B39=DS$12,$U39,"")</f>
        <v/>
      </c>
      <c r="DT39" s="87" t="str">
        <f aca="false">IF($B39=DT$12,$U39,"")</f>
        <v/>
      </c>
      <c r="DU39" s="56"/>
      <c r="DV39" s="91"/>
      <c r="DW39" s="88" t="str">
        <f aca="false">IF($B39=DW$12,$O39,"")</f>
        <v/>
      </c>
      <c r="DX39" s="89" t="str">
        <f aca="false">IF($B39=DX$12,$O39,"")</f>
        <v/>
      </c>
      <c r="DY39" s="89" t="str">
        <f aca="false">IF($B39=DY$12,$O39,"")</f>
        <v/>
      </c>
      <c r="DZ39" s="89" t="str">
        <f aca="false">IF($B39=DZ$12,$O39,"")</f>
        <v/>
      </c>
      <c r="EA39" s="89" t="str">
        <f aca="false">IF($B39=EA$12,$O39,"")</f>
        <v/>
      </c>
      <c r="EB39" s="89" t="str">
        <f aca="false">IF($B39=EB$12,$O39,"")</f>
        <v/>
      </c>
      <c r="EC39" s="89" t="str">
        <f aca="false">IF($B39=EC$12,$O39,"")</f>
        <v/>
      </c>
      <c r="ED39" s="89" t="str">
        <f aca="false">IF($B39=ED$12,$O39,"")</f>
        <v/>
      </c>
      <c r="EE39" s="89" t="str">
        <f aca="false">IF($B39=EE$12,$O39,"")</f>
        <v/>
      </c>
      <c r="EF39" s="89" t="str">
        <f aca="false">IF($B39=EF$12,$O39,"")</f>
        <v/>
      </c>
      <c r="EG39" s="89" t="str">
        <f aca="false">IF($B39=EG$12,$O39,"")</f>
        <v/>
      </c>
      <c r="EH39" s="89" t="str">
        <f aca="false">IF($B39=EH$12,$O39,"")</f>
        <v/>
      </c>
      <c r="EI39" s="89" t="str">
        <f aca="false">IF($B39=EI$12,$O39,"")</f>
        <v/>
      </c>
      <c r="EJ39" s="89" t="str">
        <f aca="false">IF($B39=EJ$12,$O39,"")</f>
        <v/>
      </c>
      <c r="EK39" s="89" t="str">
        <f aca="false">IF($B39=EK$12,$O39,"")</f>
        <v/>
      </c>
      <c r="EL39" s="89" t="str">
        <f aca="false">IF($B39=EL$12,$O39,"")</f>
        <v/>
      </c>
      <c r="EM39" s="89" t="str">
        <f aca="false">IF($B39=EM$12,$O39,"")</f>
        <v/>
      </c>
      <c r="EN39" s="89" t="str">
        <f aca="false">IF($B39=EN$12,$O39,"")</f>
        <v/>
      </c>
      <c r="EO39" s="89" t="str">
        <f aca="false">IF($B39=EO$12,$O39,"")</f>
        <v/>
      </c>
      <c r="EP39" s="89" t="str">
        <f aca="false">IF($B39=EP$12,$O39,"")</f>
        <v/>
      </c>
      <c r="EQ39" s="89" t="str">
        <f aca="false">IF($B39=EQ$12,$O39,"")</f>
        <v/>
      </c>
      <c r="ER39" s="89" t="str">
        <f aca="false">IF($B39=ER$12,$O39,"")</f>
        <v/>
      </c>
      <c r="ES39" s="89" t="str">
        <f aca="false">IF($B39=ES$12,$O39,"")</f>
        <v/>
      </c>
      <c r="ET39" s="89" t="str">
        <f aca="false">IF($B39=ET$12,$O39,"")</f>
        <v/>
      </c>
      <c r="EU39" s="89" t="str">
        <f aca="false">IF($B39=EU$12,$O39,"")</f>
        <v/>
      </c>
      <c r="EV39" s="89" t="str">
        <f aca="false">IF($B39=EV$12,$O39,"")</f>
        <v/>
      </c>
      <c r="EW39" s="89" t="str">
        <f aca="false">IF($B39=EW$12,$O39,"")</f>
        <v/>
      </c>
      <c r="EX39" s="89" t="str">
        <f aca="false">IF($B39=EX$12,$O39,"")</f>
        <v/>
      </c>
      <c r="EY39" s="89" t="str">
        <f aca="false">IF($B39=EY$12,$O39,"")</f>
        <v/>
      </c>
      <c r="EZ39" s="89" t="str">
        <f aca="false">IF($B39=EZ$12,$O39,"")</f>
        <v/>
      </c>
      <c r="FA39" s="89" t="str">
        <f aca="false">IF($B39=FA$12,$O39,"")</f>
        <v/>
      </c>
      <c r="FB39" s="89" t="str">
        <f aca="false">IF($B39=FB$12,$O39,"")</f>
        <v/>
      </c>
      <c r="FC39" s="89" t="str">
        <f aca="false">IF($B39=FC$12,$O39,"")</f>
        <v/>
      </c>
      <c r="FD39" s="89" t="str">
        <f aca="false">IF($B39=FD$12,$O39,"")</f>
        <v/>
      </c>
      <c r="FE39" s="89" t="str">
        <f aca="false">IF($B39=FE$12,$O39,"")</f>
        <v/>
      </c>
      <c r="FF39" s="89" t="str">
        <f aca="false">IF($B39=FF$12,$O39,"")</f>
        <v/>
      </c>
      <c r="FG39" s="89" t="str">
        <f aca="false">IF($B39=FG$12,$O39,"")</f>
        <v/>
      </c>
      <c r="FH39" s="89" t="str">
        <f aca="false">IF($B39=FH$12,$O39,"")</f>
        <v/>
      </c>
      <c r="FI39" s="89" t="str">
        <f aca="false">IF($B39=FI$12,$O39,"")</f>
        <v/>
      </c>
      <c r="FJ39" s="89" t="str">
        <f aca="false">IF($B39=FJ$12,$O39,"")</f>
        <v/>
      </c>
      <c r="FK39" s="89" t="str">
        <f aca="false">IF($B39=FK$12,$O39,"")</f>
        <v/>
      </c>
      <c r="FL39" s="89" t="str">
        <f aca="false">IF($B39=FL$12,$O39,"")</f>
        <v/>
      </c>
      <c r="FM39" s="89" t="str">
        <f aca="false">IF($B39=FM$12,$O39,"")</f>
        <v/>
      </c>
      <c r="FN39" s="89" t="str">
        <f aca="false">IF($B39=FN$12,$O39,"")</f>
        <v/>
      </c>
      <c r="FO39" s="89" t="str">
        <f aca="false">IF($B39=FO$12,$O39,"")</f>
        <v/>
      </c>
      <c r="FP39" s="89" t="str">
        <f aca="false">IF($B39=FP$12,$O39,"")</f>
        <v/>
      </c>
      <c r="FQ39" s="89" t="str">
        <f aca="false">IF($B39=FQ$12,$O39,"")</f>
        <v/>
      </c>
      <c r="FR39" s="89" t="str">
        <f aca="false">IF($B39=FR$12,$O39,"")</f>
        <v/>
      </c>
      <c r="FS39" s="89" t="str">
        <f aca="false">IF($B39=FS$12,$O39,"")</f>
        <v/>
      </c>
      <c r="FT39" s="89" t="str">
        <f aca="false">IF($B39=FT$12,$O39,"")</f>
        <v/>
      </c>
      <c r="FU39" s="89" t="str">
        <f aca="false">IF($B39=FU$12,$O39,"")</f>
        <v/>
      </c>
      <c r="FV39" s="89" t="str">
        <f aca="false">IF($B39=FV$12,$O39,"")</f>
        <v/>
      </c>
      <c r="FW39" s="89" t="str">
        <f aca="false">IF($B39=FW$12,$O39,"")</f>
        <v/>
      </c>
      <c r="FX39" s="89" t="str">
        <f aca="false">IF($B39=FX$12,$O39,"")</f>
        <v/>
      </c>
      <c r="FY39" s="89" t="str">
        <f aca="false">IF($B39=FY$12,$O39,"")</f>
        <v/>
      </c>
      <c r="FZ39" s="89" t="str">
        <f aca="false">IF($B39=FZ$12,$O39,"")</f>
        <v/>
      </c>
      <c r="GA39" s="89" t="str">
        <f aca="false">IF($B39=GA$12,$O39,"")</f>
        <v/>
      </c>
      <c r="GB39" s="89" t="str">
        <f aca="false">IF($B39=GB$12,$O39,"")</f>
        <v/>
      </c>
      <c r="GC39" s="89" t="str">
        <f aca="false">IF($B39=GC$12,$O39,"")</f>
        <v/>
      </c>
      <c r="GD39" s="89" t="str">
        <f aca="false">IF($B39=GD$12,$O39,"")</f>
        <v/>
      </c>
      <c r="GE39" s="89" t="str">
        <f aca="false">IF($B39=GE$12,$O39,"")</f>
        <v/>
      </c>
      <c r="GF39" s="89" t="str">
        <f aca="false">IF($B39=GF$12,$O39,"")</f>
        <v/>
      </c>
      <c r="GG39" s="89" t="str">
        <f aca="false">IF($B39=GG$12,$O39,"")</f>
        <v/>
      </c>
      <c r="GH39" s="89" t="str">
        <f aca="false">IF($B39=GH$12,$O39,"")</f>
        <v/>
      </c>
      <c r="GI39" s="89" t="str">
        <f aca="false">IF($B39=GI$12,$O39,"")</f>
        <v/>
      </c>
      <c r="GJ39" s="89" t="str">
        <f aca="false">IF($B39=GJ$12,$O39,"")</f>
        <v/>
      </c>
      <c r="GK39" s="89" t="str">
        <f aca="false">IF($B39=GK$12,$O39,"")</f>
        <v/>
      </c>
      <c r="GL39" s="89" t="str">
        <f aca="false">IF($B39=GL$12,$O39,"")</f>
        <v/>
      </c>
      <c r="GM39" s="89" t="str">
        <f aca="false">IF($B39=GM$12,$O39,"")</f>
        <v/>
      </c>
      <c r="GN39" s="89" t="str">
        <f aca="false">IF($B39=GN$12,$O39,"")</f>
        <v/>
      </c>
      <c r="GO39" s="89" t="str">
        <f aca="false">IF($B39=GO$12,$O39,"")</f>
        <v/>
      </c>
      <c r="GP39" s="89" t="str">
        <f aca="false">IF($B39=GP$12,$O39,"")</f>
        <v/>
      </c>
      <c r="GQ39" s="89" t="str">
        <f aca="false">IF($B39=GQ$12,$O39,"")</f>
        <v/>
      </c>
      <c r="GR39" s="89" t="str">
        <f aca="false">IF($B39=GR$12,$O39,"")</f>
        <v/>
      </c>
      <c r="GS39" s="89" t="str">
        <f aca="false">IF($B39=GS$12,$O39,"")</f>
        <v/>
      </c>
      <c r="GT39" s="89" t="str">
        <f aca="false">IF($B39=GT$12,$O39,"")</f>
        <v/>
      </c>
      <c r="GU39" s="89" t="str">
        <f aca="false">IF($B39=GU$12,$O39,"")</f>
        <v/>
      </c>
      <c r="GV39" s="89" t="str">
        <f aca="false">IF($B39=GV$12,$O39,"")</f>
        <v/>
      </c>
      <c r="GW39" s="89" t="str">
        <f aca="false">IF($B39=GW$12,$O39,"")</f>
        <v/>
      </c>
      <c r="GX39" s="89" t="str">
        <f aca="false">IF($B39=GX$12,$O39,"")</f>
        <v/>
      </c>
      <c r="GY39" s="89" t="str">
        <f aca="false">IF($B39=GY$12,$O39,"")</f>
        <v/>
      </c>
      <c r="GZ39" s="89" t="str">
        <f aca="false">IF($B39=GZ$12,$O39,"")</f>
        <v/>
      </c>
      <c r="HA39" s="89" t="str">
        <f aca="false">IF($B39=HA$12,$O39,"")</f>
        <v/>
      </c>
      <c r="HB39" s="89" t="str">
        <f aca="false">IF($B39=HB$12,$O39,"")</f>
        <v/>
      </c>
      <c r="HC39" s="89" t="str">
        <f aca="false">IF($B39=HC$12,$O39,"")</f>
        <v/>
      </c>
      <c r="HD39" s="89" t="str">
        <f aca="false">IF($B39=HD$12,$O39,"")</f>
        <v/>
      </c>
      <c r="HE39" s="89" t="str">
        <f aca="false">IF($B39=HE$12,$O39,"")</f>
        <v/>
      </c>
      <c r="HF39" s="89" t="str">
        <f aca="false">IF($B39=HF$12,$O39,"")</f>
        <v/>
      </c>
      <c r="HG39" s="89" t="str">
        <f aca="false">IF($B39=HG$12,$O39,"")</f>
        <v/>
      </c>
      <c r="HH39" s="89" t="str">
        <f aca="false">IF($B39=HH$12,$O39,"")</f>
        <v/>
      </c>
      <c r="HI39" s="89" t="str">
        <f aca="false">IF($B39=HI$12,$O39,"")</f>
        <v/>
      </c>
      <c r="HJ39" s="89" t="str">
        <f aca="false">IF($B39=HJ$12,$O39,"")</f>
        <v/>
      </c>
      <c r="HK39" s="89" t="str">
        <f aca="false">IF($B39=HK$12,$O39,"")</f>
        <v/>
      </c>
      <c r="HL39" s="89" t="str">
        <f aca="false">IF($B39=HL$12,$O39,"")</f>
        <v/>
      </c>
      <c r="HM39" s="89" t="str">
        <f aca="false">IF($B39=HM$12,$O39,"")</f>
        <v/>
      </c>
      <c r="HN39" s="89" t="str">
        <f aca="false">IF($B39=HN$12,$O39,"")</f>
        <v/>
      </c>
      <c r="HO39" s="89" t="str">
        <f aca="false">IF($B39=HO$12,$O39,"")</f>
        <v/>
      </c>
      <c r="HP39" s="89" t="str">
        <f aca="false">IF($B39=HP$12,$O39,"")</f>
        <v/>
      </c>
      <c r="HQ39" s="89" t="str">
        <f aca="false">IF($B39=HQ$12,$O39,"")</f>
        <v/>
      </c>
      <c r="HR39" s="90" t="str">
        <f aca="false">IF($B39=HR$12,$O39,"")</f>
        <v/>
      </c>
    </row>
    <row r="40" customFormat="false" ht="10.5" hidden="false" customHeight="true" outlineLevel="0" collapsed="false">
      <c r="A40" s="75"/>
      <c r="B40" s="76"/>
      <c r="C40" s="77" t="str">
        <f aca="false">IF(A40=0,"",VLOOKUP(A40,[3]CO!$A$3:$F$5311,2,0))</f>
        <v/>
      </c>
      <c r="D40" s="78"/>
      <c r="E40" s="78"/>
      <c r="F40" s="78"/>
      <c r="G40" s="79" t="str">
        <f aca="false">IF(A40=0,"",VLOOKUP(A40,[3]CO!$A$3:$F$5311,3,0))</f>
        <v/>
      </c>
      <c r="H40" s="130" t="n">
        <v>0.04</v>
      </c>
      <c r="I40" s="80"/>
      <c r="J40" s="80"/>
      <c r="K40" s="80"/>
      <c r="L40" s="80" t="n">
        <v>1</v>
      </c>
      <c r="M40" s="81" t="e">
        <f aca="false">IF(H40&gt;0,H40*Q$34/N40,IF(AND(L40&gt;0,I40&gt;0),L40*I40,IF(L40&gt;0,L40,"")))</f>
        <v>#VALUE!</v>
      </c>
      <c r="N40" s="81" t="str">
        <f aca="false">IF(B40=0,"",IF(H40="M",HLOOKUP(B40,$Y$12:$DT$13,2),IF(A40=0,"",VLOOKUP(A40,[3]CO!$A$3:$F$5311,4,0))))</f>
        <v/>
      </c>
      <c r="O40" s="81" t="e">
        <f aca="false">IF(L40=0,"",PRODUCT(M40:N40))</f>
        <v>#VALUE!</v>
      </c>
      <c r="P40" s="82" t="n">
        <v>50</v>
      </c>
      <c r="Q40" s="83" t="n">
        <f aca="false">IF(P40=0,"",(HLOOKUP(P40,$DW$12:$HR$13,2)))</f>
        <v>0</v>
      </c>
      <c r="R40" s="84" t="str">
        <f aca="false">IF(S40=0,"",IF(OR(G40="PEON",G40="OF",G40="JARD",G40="CARP",G40="MAESTRO",G40="SOLD",G40="BGRO",G40="CHOFER",G40="AYTE",G40="S.INTTE.",G40="ASEO",G40="P.PISOS",G40="VELADOR",G40="RESID",G40="PINTOR",G40="ELECT",G40="AZULE",G40="AUX CONT.",G40="SECRETARIA",G40="AUXILIAR ADMTVO.",G40="ARQUITECTO",G40="DIBUJANTE",G40="AUX. DE RESIDENTE",G40="TOPOGRAFIA"),VLOOKUP(B40,P$14:Q$357,2),"")*S40)</f>
        <v/>
      </c>
      <c r="T40" s="67" t="str">
        <f aca="false">IF(A40=0,"",VLOOKUP(A40,[3]CO!$A$3:$F$5302,5,0))</f>
        <v/>
      </c>
      <c r="U40" s="56" t="n">
        <f aca="false">IF(T40=1,O40*0.1,)</f>
        <v>0</v>
      </c>
      <c r="V40" s="68"/>
      <c r="W40" s="91"/>
      <c r="X40" s="91"/>
      <c r="Y40" s="85" t="str">
        <f aca="false">IF($B40=Y$12,$U40,"")</f>
        <v/>
      </c>
      <c r="Z40" s="86" t="str">
        <f aca="false">IF($B40=Z$12,$U40,"")</f>
        <v/>
      </c>
      <c r="AA40" s="86" t="str">
        <f aca="false">IF($B40=AA$12,$U40,"")</f>
        <v/>
      </c>
      <c r="AB40" s="86" t="str">
        <f aca="false">IF($B40=AB$12,$U40,"")</f>
        <v/>
      </c>
      <c r="AC40" s="86" t="str">
        <f aca="false">IF($B40=AC$12,$U40,"")</f>
        <v/>
      </c>
      <c r="AD40" s="86" t="str">
        <f aca="false">IF($B40=AD$12,$U40,"")</f>
        <v/>
      </c>
      <c r="AE40" s="86" t="str">
        <f aca="false">IF($B40=AE$12,$U40,"")</f>
        <v/>
      </c>
      <c r="AF40" s="86" t="str">
        <f aca="false">IF($B40=AF$12,$U40,"")</f>
        <v/>
      </c>
      <c r="AG40" s="86" t="str">
        <f aca="false">IF($B40=AG$12,$U40,"")</f>
        <v/>
      </c>
      <c r="AH40" s="86" t="str">
        <f aca="false">IF($B40=AH$12,$U40,"")</f>
        <v/>
      </c>
      <c r="AI40" s="86" t="str">
        <f aca="false">IF($B40=AI$12,$U40,"")</f>
        <v/>
      </c>
      <c r="AJ40" s="86" t="str">
        <f aca="false">IF($B40=AJ$12,$U40,"")</f>
        <v/>
      </c>
      <c r="AK40" s="86" t="str">
        <f aca="false">IF($B40=AK$12,$U40,"")</f>
        <v/>
      </c>
      <c r="AL40" s="86" t="str">
        <f aca="false">IF($B40=AL$12,$U40,"")</f>
        <v/>
      </c>
      <c r="AM40" s="86" t="str">
        <f aca="false">IF($B40=AM$12,$U40,"")</f>
        <v/>
      </c>
      <c r="AN40" s="86" t="str">
        <f aca="false">IF($B40=AN$12,$U40,"")</f>
        <v/>
      </c>
      <c r="AO40" s="86" t="str">
        <f aca="false">IF($B40=AO$12,$U40,"")</f>
        <v/>
      </c>
      <c r="AP40" s="86" t="str">
        <f aca="false">IF($B40=AP$12,$U40,"")</f>
        <v/>
      </c>
      <c r="AQ40" s="86" t="str">
        <f aca="false">IF($B40=AQ$12,$U40,"")</f>
        <v/>
      </c>
      <c r="AR40" s="86" t="str">
        <f aca="false">IF($B40=AR$12,$U40,"")</f>
        <v/>
      </c>
      <c r="AS40" s="86" t="str">
        <f aca="false">IF($B40=AS$12,$U40,"")</f>
        <v/>
      </c>
      <c r="AT40" s="86" t="str">
        <f aca="false">IF($B40=AT$12,$U40,"")</f>
        <v/>
      </c>
      <c r="AU40" s="86" t="str">
        <f aca="false">IF($B40=AU$12,$U40,"")</f>
        <v/>
      </c>
      <c r="AV40" s="86" t="str">
        <f aca="false">IF($B40=AV$12,$U40,"")</f>
        <v/>
      </c>
      <c r="AW40" s="86" t="str">
        <f aca="false">IF($B40=AW$12,$U40,"")</f>
        <v/>
      </c>
      <c r="AX40" s="86" t="str">
        <f aca="false">IF($B40=AX$12,$U40,"")</f>
        <v/>
      </c>
      <c r="AY40" s="86" t="str">
        <f aca="false">IF($B40=AY$12,$U40,"")</f>
        <v/>
      </c>
      <c r="AZ40" s="86" t="str">
        <f aca="false">IF($B40=AZ$12,$U40,"")</f>
        <v/>
      </c>
      <c r="BA40" s="86" t="str">
        <f aca="false">IF($B40=BA$12,$U40,"")</f>
        <v/>
      </c>
      <c r="BB40" s="86" t="str">
        <f aca="false">IF($B40=BB$12,$U40,"")</f>
        <v/>
      </c>
      <c r="BC40" s="86" t="str">
        <f aca="false">IF($B40=BC$12,$U40,"")</f>
        <v/>
      </c>
      <c r="BD40" s="86" t="str">
        <f aca="false">IF($B40=BD$12,$U40,"")</f>
        <v/>
      </c>
      <c r="BE40" s="86" t="str">
        <f aca="false">IF($B40=BE$12,$U40,"")</f>
        <v/>
      </c>
      <c r="BF40" s="86" t="str">
        <f aca="false">IF($B40=BF$12,$U40,"")</f>
        <v/>
      </c>
      <c r="BG40" s="86" t="str">
        <f aca="false">IF($B40=BG$12,$U40,"")</f>
        <v/>
      </c>
      <c r="BH40" s="86" t="str">
        <f aca="false">IF($B40=BH$12,$U40,"")</f>
        <v/>
      </c>
      <c r="BI40" s="86" t="str">
        <f aca="false">IF($B40=BI$12,$U40,"")</f>
        <v/>
      </c>
      <c r="BJ40" s="86" t="str">
        <f aca="false">IF($B40=BJ$12,$U40,"")</f>
        <v/>
      </c>
      <c r="BK40" s="86" t="str">
        <f aca="false">IF($B40=BK$12,$U40,"")</f>
        <v/>
      </c>
      <c r="BL40" s="86" t="str">
        <f aca="false">IF($B40=BL$12,$U40,"")</f>
        <v/>
      </c>
      <c r="BM40" s="86" t="str">
        <f aca="false">IF($B40=BM$12,$U40,"")</f>
        <v/>
      </c>
      <c r="BN40" s="86" t="str">
        <f aca="false">IF($B40=BN$12,$U40,"")</f>
        <v/>
      </c>
      <c r="BO40" s="86" t="str">
        <f aca="false">IF($B40=BO$12,$U40,"")</f>
        <v/>
      </c>
      <c r="BP40" s="86" t="str">
        <f aca="false">IF($B40=BP$12,$U40,"")</f>
        <v/>
      </c>
      <c r="BQ40" s="86" t="str">
        <f aca="false">IF($B40=BQ$12,$U40,"")</f>
        <v/>
      </c>
      <c r="BR40" s="86" t="str">
        <f aca="false">IF($B40=BR$12,$U40,"")</f>
        <v/>
      </c>
      <c r="BS40" s="86" t="str">
        <f aca="false">IF($B40=BS$12,$U40,"")</f>
        <v/>
      </c>
      <c r="BT40" s="86" t="str">
        <f aca="false">IF($B40=BT$12,$U40,"")</f>
        <v/>
      </c>
      <c r="BU40" s="86" t="str">
        <f aca="false">IF($B40=BU$12,$U40,"")</f>
        <v/>
      </c>
      <c r="BV40" s="86" t="str">
        <f aca="false">IF($B40=BV$12,$U40,"")</f>
        <v/>
      </c>
      <c r="BW40" s="86" t="str">
        <f aca="false">IF($B40=BW$12,$U40,"")</f>
        <v/>
      </c>
      <c r="BX40" s="86" t="str">
        <f aca="false">IF($B40=BX$12,$U40,"")</f>
        <v/>
      </c>
      <c r="BY40" s="86" t="str">
        <f aca="false">IF($B40=BY$12,$U40,"")</f>
        <v/>
      </c>
      <c r="BZ40" s="86" t="str">
        <f aca="false">IF($B40=BZ$12,$U40,"")</f>
        <v/>
      </c>
      <c r="CA40" s="86" t="str">
        <f aca="false">IF($B40=CA$12,$U40,"")</f>
        <v/>
      </c>
      <c r="CB40" s="86" t="str">
        <f aca="false">IF($B40=CB$12,$U40,"")</f>
        <v/>
      </c>
      <c r="CC40" s="86" t="str">
        <f aca="false">IF($B40=CC$12,$U40,"")</f>
        <v/>
      </c>
      <c r="CD40" s="86" t="str">
        <f aca="false">IF($B40=CD$12,$U40,"")</f>
        <v/>
      </c>
      <c r="CE40" s="86" t="str">
        <f aca="false">IF($B40=CE$12,$U40,"")</f>
        <v/>
      </c>
      <c r="CF40" s="86" t="str">
        <f aca="false">IF($B40=CF$12,$U40,"")</f>
        <v/>
      </c>
      <c r="CG40" s="86" t="str">
        <f aca="false">IF($B40=CG$12,$U40,"")</f>
        <v/>
      </c>
      <c r="CH40" s="86" t="str">
        <f aca="false">IF($B40=CH$12,$U40,"")</f>
        <v/>
      </c>
      <c r="CI40" s="86" t="str">
        <f aca="false">IF($B40=CI$12,$U40,"")</f>
        <v/>
      </c>
      <c r="CJ40" s="86" t="str">
        <f aca="false">IF($B40=CJ$12,$U40,"")</f>
        <v/>
      </c>
      <c r="CK40" s="86" t="str">
        <f aca="false">IF($B40=CK$12,$U40,"")</f>
        <v/>
      </c>
      <c r="CL40" s="86" t="str">
        <f aca="false">IF($B40=CL$12,$U40,"")</f>
        <v/>
      </c>
      <c r="CM40" s="86" t="str">
        <f aca="false">IF($B40=CM$12,$U40,"")</f>
        <v/>
      </c>
      <c r="CN40" s="86" t="str">
        <f aca="false">IF($B40=CN$12,$U40,"")</f>
        <v/>
      </c>
      <c r="CO40" s="86" t="str">
        <f aca="false">IF($B40=CO$12,$U40,"")</f>
        <v/>
      </c>
      <c r="CP40" s="86" t="str">
        <f aca="false">IF($B40=CP$12,$U40,"")</f>
        <v/>
      </c>
      <c r="CQ40" s="86" t="str">
        <f aca="false">IF($B40=CQ$12,$U40,"")</f>
        <v/>
      </c>
      <c r="CR40" s="86" t="str">
        <f aca="false">IF($B40=CR$12,$U40,"")</f>
        <v/>
      </c>
      <c r="CS40" s="86" t="str">
        <f aca="false">IF($B40=CS$12,$U40,"")</f>
        <v/>
      </c>
      <c r="CT40" s="86" t="str">
        <f aca="false">IF($B40=CT$12,$U40,"")</f>
        <v/>
      </c>
      <c r="CU40" s="86" t="str">
        <f aca="false">IF($B40=CU$12,$U40,"")</f>
        <v/>
      </c>
      <c r="CV40" s="86" t="str">
        <f aca="false">IF($B40=CV$12,$U40,"")</f>
        <v/>
      </c>
      <c r="CW40" s="86" t="str">
        <f aca="false">IF($B40=CW$12,$U40,"")</f>
        <v/>
      </c>
      <c r="CX40" s="86" t="str">
        <f aca="false">IF($B40=CX$12,$U40,"")</f>
        <v/>
      </c>
      <c r="CY40" s="86" t="str">
        <f aca="false">IF($B40=CY$12,$U40,"")</f>
        <v/>
      </c>
      <c r="CZ40" s="86" t="str">
        <f aca="false">IF($B40=CZ$12,$U40,"")</f>
        <v/>
      </c>
      <c r="DA40" s="86" t="str">
        <f aca="false">IF($B40=DA$12,$U40,"")</f>
        <v/>
      </c>
      <c r="DB40" s="86" t="str">
        <f aca="false">IF($B40=DB$12,$U40,"")</f>
        <v/>
      </c>
      <c r="DC40" s="86" t="str">
        <f aca="false">IF($B40=DC$12,$U40,"")</f>
        <v/>
      </c>
      <c r="DD40" s="86" t="str">
        <f aca="false">IF($B40=DD$12,$U40,"")</f>
        <v/>
      </c>
      <c r="DE40" s="86" t="str">
        <f aca="false">IF($B40=DE$12,$U40,"")</f>
        <v/>
      </c>
      <c r="DF40" s="86" t="str">
        <f aca="false">IF($B40=DF$12,$U40,"")</f>
        <v/>
      </c>
      <c r="DG40" s="86" t="str">
        <f aca="false">IF($B40=DG$12,$U40,"")</f>
        <v/>
      </c>
      <c r="DH40" s="86" t="str">
        <f aca="false">IF($B40=DH$12,$U40,"")</f>
        <v/>
      </c>
      <c r="DI40" s="86" t="str">
        <f aca="false">IF($B40=DI$12,$U40,"")</f>
        <v/>
      </c>
      <c r="DJ40" s="86" t="str">
        <f aca="false">IF($B40=DJ$12,$U40,"")</f>
        <v/>
      </c>
      <c r="DK40" s="86" t="str">
        <f aca="false">IF($B40=DK$12,$U40,"")</f>
        <v/>
      </c>
      <c r="DL40" s="86" t="str">
        <f aca="false">IF($B40=DL$12,$U40,"")</f>
        <v/>
      </c>
      <c r="DM40" s="86" t="str">
        <f aca="false">IF($B40=DM$12,$U40,"")</f>
        <v/>
      </c>
      <c r="DN40" s="86" t="str">
        <f aca="false">IF($B40=DN$12,$U40,"")</f>
        <v/>
      </c>
      <c r="DO40" s="86" t="str">
        <f aca="false">IF($B40=DO$12,$U40,"")</f>
        <v/>
      </c>
      <c r="DP40" s="86" t="str">
        <f aca="false">IF($B40=DP$12,$U40,"")</f>
        <v/>
      </c>
      <c r="DQ40" s="86" t="str">
        <f aca="false">IF($B40=DQ$12,$U40,"")</f>
        <v/>
      </c>
      <c r="DR40" s="86" t="str">
        <f aca="false">IF($B40=DR$12,$U40,"")</f>
        <v/>
      </c>
      <c r="DS40" s="86" t="str">
        <f aca="false">IF($B40=DS$12,$U40,"")</f>
        <v/>
      </c>
      <c r="DT40" s="87" t="str">
        <f aca="false">IF($B40=DT$12,$U40,"")</f>
        <v/>
      </c>
      <c r="DU40" s="56"/>
      <c r="DV40" s="91"/>
      <c r="DW40" s="88" t="str">
        <f aca="false">IF($B40=DW$12,$O40,"")</f>
        <v/>
      </c>
      <c r="DX40" s="89" t="str">
        <f aca="false">IF($B40=DX$12,$O40,"")</f>
        <v/>
      </c>
      <c r="DY40" s="89" t="str">
        <f aca="false">IF($B40=DY$12,$O40,"")</f>
        <v/>
      </c>
      <c r="DZ40" s="89" t="str">
        <f aca="false">IF($B40=DZ$12,$O40,"")</f>
        <v/>
      </c>
      <c r="EA40" s="89" t="str">
        <f aca="false">IF($B40=EA$12,$O40,"")</f>
        <v/>
      </c>
      <c r="EB40" s="89" t="str">
        <f aca="false">IF($B40=EB$12,$O40,"")</f>
        <v/>
      </c>
      <c r="EC40" s="89" t="str">
        <f aca="false">IF($B40=EC$12,$O40,"")</f>
        <v/>
      </c>
      <c r="ED40" s="89" t="str">
        <f aca="false">IF($B40=ED$12,$O40,"")</f>
        <v/>
      </c>
      <c r="EE40" s="89" t="str">
        <f aca="false">IF($B40=EE$12,$O40,"")</f>
        <v/>
      </c>
      <c r="EF40" s="89" t="str">
        <f aca="false">IF($B40=EF$12,$O40,"")</f>
        <v/>
      </c>
      <c r="EG40" s="89" t="str">
        <f aca="false">IF($B40=EG$12,$O40,"")</f>
        <v/>
      </c>
      <c r="EH40" s="89" t="str">
        <f aca="false">IF($B40=EH$12,$O40,"")</f>
        <v/>
      </c>
      <c r="EI40" s="89" t="str">
        <f aca="false">IF($B40=EI$12,$O40,"")</f>
        <v/>
      </c>
      <c r="EJ40" s="89" t="str">
        <f aca="false">IF($B40=EJ$12,$O40,"")</f>
        <v/>
      </c>
      <c r="EK40" s="89" t="str">
        <f aca="false">IF($B40=EK$12,$O40,"")</f>
        <v/>
      </c>
      <c r="EL40" s="89" t="str">
        <f aca="false">IF($B40=EL$12,$O40,"")</f>
        <v/>
      </c>
      <c r="EM40" s="89" t="str">
        <f aca="false">IF($B40=EM$12,$O40,"")</f>
        <v/>
      </c>
      <c r="EN40" s="89" t="str">
        <f aca="false">IF($B40=EN$12,$O40,"")</f>
        <v/>
      </c>
      <c r="EO40" s="89" t="str">
        <f aca="false">IF($B40=EO$12,$O40,"")</f>
        <v/>
      </c>
      <c r="EP40" s="89" t="str">
        <f aca="false">IF($B40=EP$12,$O40,"")</f>
        <v/>
      </c>
      <c r="EQ40" s="89" t="str">
        <f aca="false">IF($B40=EQ$12,$O40,"")</f>
        <v/>
      </c>
      <c r="ER40" s="89" t="str">
        <f aca="false">IF($B40=ER$12,$O40,"")</f>
        <v/>
      </c>
      <c r="ES40" s="89" t="str">
        <f aca="false">IF($B40=ES$12,$O40,"")</f>
        <v/>
      </c>
      <c r="ET40" s="89" t="str">
        <f aca="false">IF($B40=ET$12,$O40,"")</f>
        <v/>
      </c>
      <c r="EU40" s="89" t="str">
        <f aca="false">IF($B40=EU$12,$O40,"")</f>
        <v/>
      </c>
      <c r="EV40" s="89" t="str">
        <f aca="false">IF($B40=EV$12,$O40,"")</f>
        <v/>
      </c>
      <c r="EW40" s="89" t="str">
        <f aca="false">IF($B40=EW$12,$O40,"")</f>
        <v/>
      </c>
      <c r="EX40" s="89" t="str">
        <f aca="false">IF($B40=EX$12,$O40,"")</f>
        <v/>
      </c>
      <c r="EY40" s="89" t="str">
        <f aca="false">IF($B40=EY$12,$O40,"")</f>
        <v/>
      </c>
      <c r="EZ40" s="89" t="str">
        <f aca="false">IF($B40=EZ$12,$O40,"")</f>
        <v/>
      </c>
      <c r="FA40" s="89" t="str">
        <f aca="false">IF($B40=FA$12,$O40,"")</f>
        <v/>
      </c>
      <c r="FB40" s="89" t="str">
        <f aca="false">IF($B40=FB$12,$O40,"")</f>
        <v/>
      </c>
      <c r="FC40" s="89" t="str">
        <f aca="false">IF($B40=FC$12,$O40,"")</f>
        <v/>
      </c>
      <c r="FD40" s="89" t="str">
        <f aca="false">IF($B40=FD$12,$O40,"")</f>
        <v/>
      </c>
      <c r="FE40" s="89" t="str">
        <f aca="false">IF($B40=FE$12,$O40,"")</f>
        <v/>
      </c>
      <c r="FF40" s="89" t="str">
        <f aca="false">IF($B40=FF$12,$O40,"")</f>
        <v/>
      </c>
      <c r="FG40" s="89" t="str">
        <f aca="false">IF($B40=FG$12,$O40,"")</f>
        <v/>
      </c>
      <c r="FH40" s="89" t="str">
        <f aca="false">IF($B40=FH$12,$O40,"")</f>
        <v/>
      </c>
      <c r="FI40" s="89" t="str">
        <f aca="false">IF($B40=FI$12,$O40,"")</f>
        <v/>
      </c>
      <c r="FJ40" s="89" t="str">
        <f aca="false">IF($B40=FJ$12,$O40,"")</f>
        <v/>
      </c>
      <c r="FK40" s="89" t="str">
        <f aca="false">IF($B40=FK$12,$O40,"")</f>
        <v/>
      </c>
      <c r="FL40" s="89" t="str">
        <f aca="false">IF($B40=FL$12,$O40,"")</f>
        <v/>
      </c>
      <c r="FM40" s="89" t="str">
        <f aca="false">IF($B40=FM$12,$O40,"")</f>
        <v/>
      </c>
      <c r="FN40" s="89" t="str">
        <f aca="false">IF($B40=FN$12,$O40,"")</f>
        <v/>
      </c>
      <c r="FO40" s="89" t="str">
        <f aca="false">IF($B40=FO$12,$O40,"")</f>
        <v/>
      </c>
      <c r="FP40" s="89" t="str">
        <f aca="false">IF($B40=FP$12,$O40,"")</f>
        <v/>
      </c>
      <c r="FQ40" s="89" t="str">
        <f aca="false">IF($B40=FQ$12,$O40,"")</f>
        <v/>
      </c>
      <c r="FR40" s="89" t="str">
        <f aca="false">IF($B40=FR$12,$O40,"")</f>
        <v/>
      </c>
      <c r="FS40" s="89" t="str">
        <f aca="false">IF($B40=FS$12,$O40,"")</f>
        <v/>
      </c>
      <c r="FT40" s="89" t="str">
        <f aca="false">IF($B40=FT$12,$O40,"")</f>
        <v/>
      </c>
      <c r="FU40" s="89" t="str">
        <f aca="false">IF($B40=FU$12,$O40,"")</f>
        <v/>
      </c>
      <c r="FV40" s="89" t="str">
        <f aca="false">IF($B40=FV$12,$O40,"")</f>
        <v/>
      </c>
      <c r="FW40" s="89" t="str">
        <f aca="false">IF($B40=FW$12,$O40,"")</f>
        <v/>
      </c>
      <c r="FX40" s="89" t="str">
        <f aca="false">IF($B40=FX$12,$O40,"")</f>
        <v/>
      </c>
      <c r="FY40" s="89" t="str">
        <f aca="false">IF($B40=FY$12,$O40,"")</f>
        <v/>
      </c>
      <c r="FZ40" s="89" t="str">
        <f aca="false">IF($B40=FZ$12,$O40,"")</f>
        <v/>
      </c>
      <c r="GA40" s="89" t="str">
        <f aca="false">IF($B40=GA$12,$O40,"")</f>
        <v/>
      </c>
      <c r="GB40" s="89" t="str">
        <f aca="false">IF($B40=GB$12,$O40,"")</f>
        <v/>
      </c>
      <c r="GC40" s="89" t="str">
        <f aca="false">IF($B40=GC$12,$O40,"")</f>
        <v/>
      </c>
      <c r="GD40" s="89" t="str">
        <f aca="false">IF($B40=GD$12,$O40,"")</f>
        <v/>
      </c>
      <c r="GE40" s="89" t="str">
        <f aca="false">IF($B40=GE$12,$O40,"")</f>
        <v/>
      </c>
      <c r="GF40" s="89" t="str">
        <f aca="false">IF($B40=GF$12,$O40,"")</f>
        <v/>
      </c>
      <c r="GG40" s="89" t="str">
        <f aca="false">IF($B40=GG$12,$O40,"")</f>
        <v/>
      </c>
      <c r="GH40" s="89" t="str">
        <f aca="false">IF($B40=GH$12,$O40,"")</f>
        <v/>
      </c>
      <c r="GI40" s="89" t="str">
        <f aca="false">IF($B40=GI$12,$O40,"")</f>
        <v/>
      </c>
      <c r="GJ40" s="89" t="str">
        <f aca="false">IF($B40=GJ$12,$O40,"")</f>
        <v/>
      </c>
      <c r="GK40" s="89" t="str">
        <f aca="false">IF($B40=GK$12,$O40,"")</f>
        <v/>
      </c>
      <c r="GL40" s="89" t="str">
        <f aca="false">IF($B40=GL$12,$O40,"")</f>
        <v/>
      </c>
      <c r="GM40" s="89" t="str">
        <f aca="false">IF($B40=GM$12,$O40,"")</f>
        <v/>
      </c>
      <c r="GN40" s="89" t="str">
        <f aca="false">IF($B40=GN$12,$O40,"")</f>
        <v/>
      </c>
      <c r="GO40" s="89" t="str">
        <f aca="false">IF($B40=GO$12,$O40,"")</f>
        <v/>
      </c>
      <c r="GP40" s="89" t="str">
        <f aca="false">IF($B40=GP$12,$O40,"")</f>
        <v/>
      </c>
      <c r="GQ40" s="89" t="str">
        <f aca="false">IF($B40=GQ$12,$O40,"")</f>
        <v/>
      </c>
      <c r="GR40" s="89" t="str">
        <f aca="false">IF($B40=GR$12,$O40,"")</f>
        <v/>
      </c>
      <c r="GS40" s="89" t="str">
        <f aca="false">IF($B40=GS$12,$O40,"")</f>
        <v/>
      </c>
      <c r="GT40" s="89" t="str">
        <f aca="false">IF($B40=GT$12,$O40,"")</f>
        <v/>
      </c>
      <c r="GU40" s="89" t="str">
        <f aca="false">IF($B40=GU$12,$O40,"")</f>
        <v/>
      </c>
      <c r="GV40" s="89" t="str">
        <f aca="false">IF($B40=GV$12,$O40,"")</f>
        <v/>
      </c>
      <c r="GW40" s="89" t="str">
        <f aca="false">IF($B40=GW$12,$O40,"")</f>
        <v/>
      </c>
      <c r="GX40" s="89" t="str">
        <f aca="false">IF($B40=GX$12,$O40,"")</f>
        <v/>
      </c>
      <c r="GY40" s="89" t="str">
        <f aca="false">IF($B40=GY$12,$O40,"")</f>
        <v/>
      </c>
      <c r="GZ40" s="89" t="str">
        <f aca="false">IF($B40=GZ$12,$O40,"")</f>
        <v/>
      </c>
      <c r="HA40" s="89" t="str">
        <f aca="false">IF($B40=HA$12,$O40,"")</f>
        <v/>
      </c>
      <c r="HB40" s="89" t="str">
        <f aca="false">IF($B40=HB$12,$O40,"")</f>
        <v/>
      </c>
      <c r="HC40" s="89" t="str">
        <f aca="false">IF($B40=HC$12,$O40,"")</f>
        <v/>
      </c>
      <c r="HD40" s="89" t="str">
        <f aca="false">IF($B40=HD$12,$O40,"")</f>
        <v/>
      </c>
      <c r="HE40" s="89" t="str">
        <f aca="false">IF($B40=HE$12,$O40,"")</f>
        <v/>
      </c>
      <c r="HF40" s="89" t="str">
        <f aca="false">IF($B40=HF$12,$O40,"")</f>
        <v/>
      </c>
      <c r="HG40" s="89" t="str">
        <f aca="false">IF($B40=HG$12,$O40,"")</f>
        <v/>
      </c>
      <c r="HH40" s="89" t="str">
        <f aca="false">IF($B40=HH$12,$O40,"")</f>
        <v/>
      </c>
      <c r="HI40" s="89" t="str">
        <f aca="false">IF($B40=HI$12,$O40,"")</f>
        <v/>
      </c>
      <c r="HJ40" s="89" t="str">
        <f aca="false">IF($B40=HJ$12,$O40,"")</f>
        <v/>
      </c>
      <c r="HK40" s="89" t="str">
        <f aca="false">IF($B40=HK$12,$O40,"")</f>
        <v/>
      </c>
      <c r="HL40" s="89" t="str">
        <f aca="false">IF($B40=HL$12,$O40,"")</f>
        <v/>
      </c>
      <c r="HM40" s="89" t="str">
        <f aca="false">IF($B40=HM$12,$O40,"")</f>
        <v/>
      </c>
      <c r="HN40" s="89" t="str">
        <f aca="false">IF($B40=HN$12,$O40,"")</f>
        <v/>
      </c>
      <c r="HO40" s="89" t="str">
        <f aca="false">IF($B40=HO$12,$O40,"")</f>
        <v/>
      </c>
      <c r="HP40" s="89" t="str">
        <f aca="false">IF($B40=HP$12,$O40,"")</f>
        <v/>
      </c>
      <c r="HQ40" s="89" t="str">
        <f aca="false">IF($B40=HQ$12,$O40,"")</f>
        <v/>
      </c>
      <c r="HR40" s="90" t="str">
        <f aca="false">IF($B40=HR$12,$O40,"")</f>
        <v/>
      </c>
    </row>
    <row r="41" customFormat="false" ht="10.5" hidden="false" customHeight="true" outlineLevel="0" collapsed="false">
      <c r="A41" s="75"/>
      <c r="B41" s="76"/>
      <c r="C41" s="77" t="str">
        <f aca="false">IF(A41=0,"",VLOOKUP(A41,[3]CO!$A$3:$F$5311,2,0))</f>
        <v/>
      </c>
      <c r="D41" s="78"/>
      <c r="E41" s="78"/>
      <c r="F41" s="78"/>
      <c r="G41" s="79" t="str">
        <f aca="false">IF(A41=0,"",VLOOKUP(A41,[3]CO!$A$3:$F$5311,3,0))</f>
        <v/>
      </c>
      <c r="H41" s="130"/>
      <c r="I41" s="80"/>
      <c r="J41" s="80"/>
      <c r="K41" s="80"/>
      <c r="L41" s="80"/>
      <c r="M41" s="81" t="str">
        <f aca="false">IF(H41&gt;0,H41*Q$34/N41,IF(AND(L41&gt;0,I41&gt;0),L41*I41,IF(L41&gt;0,L41,"")))</f>
        <v/>
      </c>
      <c r="N41" s="81" t="str">
        <f aca="false">IF(B41=0,"",IF(H41="M",HLOOKUP(B41,$Y$12:$DT$13,2),IF(A41=0,"",VLOOKUP(A41,[3]CO!$A$3:$F$5311,4,0))))</f>
        <v/>
      </c>
      <c r="O41" s="81" t="str">
        <f aca="false">IF(L41=0,"",PRODUCT(M41:N41))</f>
        <v/>
      </c>
      <c r="P41" s="82"/>
      <c r="Q41" s="83" t="str">
        <f aca="false">IF(P41=0,"",(HLOOKUP(P41,$DW$12:$HR$13,2)))</f>
        <v/>
      </c>
      <c r="R41" s="84" t="str">
        <f aca="false">IF(S41=0,"",IF(OR(G41="PEON",G41="OF",G41="JARD",G41="CARP",G41="MAESTRO",G41="SOLD",G41="BGRO",G41="CHOFER",G41="AYTE",G41="S.INTTE.",G41="ASEO",G41="P.PISOS",G41="VELADOR",G41="RESID",G41="PINTOR",G41="ELECT",G41="AZULE",G41="AUX CONT.",G41="SECRETARIA",G41="AUXILIAR ADMTVO.",G41="ARQUITECTO",G41="DIBUJANTE",G41="AUX. DE RESIDENTE",G41="TOPOGRAFIA"),VLOOKUP(B41,P$14:Q$357,2),"")*S41)</f>
        <v/>
      </c>
      <c r="S41" s="51"/>
      <c r="T41" s="67" t="str">
        <f aca="false">IF(A41=0,"",VLOOKUP(A41,[3]CO!$A$3:$F$5302,5,0))</f>
        <v/>
      </c>
      <c r="U41" s="56" t="n">
        <f aca="false">IF(T41=1,O41*0.1,)</f>
        <v>0</v>
      </c>
      <c r="V41" s="68"/>
      <c r="W41" s="91"/>
      <c r="X41" s="91"/>
      <c r="Y41" s="85" t="str">
        <f aca="false">IF($B41=Y$12,$U41,"")</f>
        <v/>
      </c>
      <c r="Z41" s="86" t="str">
        <f aca="false">IF($B41=Z$12,$U41,"")</f>
        <v/>
      </c>
      <c r="AA41" s="86" t="str">
        <f aca="false">IF($B41=AA$12,$U41,"")</f>
        <v/>
      </c>
      <c r="AB41" s="86" t="str">
        <f aca="false">IF($B41=AB$12,$U41,"")</f>
        <v/>
      </c>
      <c r="AC41" s="86" t="str">
        <f aca="false">IF($B41=AC$12,$U41,"")</f>
        <v/>
      </c>
      <c r="AD41" s="86" t="str">
        <f aca="false">IF($B41=AD$12,$U41,"")</f>
        <v/>
      </c>
      <c r="AE41" s="86" t="str">
        <f aca="false">IF($B41=AE$12,$U41,"")</f>
        <v/>
      </c>
      <c r="AF41" s="86" t="str">
        <f aca="false">IF($B41=AF$12,$U41,"")</f>
        <v/>
      </c>
      <c r="AG41" s="86" t="str">
        <f aca="false">IF($B41=AG$12,$U41,"")</f>
        <v/>
      </c>
      <c r="AH41" s="86" t="str">
        <f aca="false">IF($B41=AH$12,$U41,"")</f>
        <v/>
      </c>
      <c r="AI41" s="86" t="str">
        <f aca="false">IF($B41=AI$12,$U41,"")</f>
        <v/>
      </c>
      <c r="AJ41" s="86" t="str">
        <f aca="false">IF($B41=AJ$12,$U41,"")</f>
        <v/>
      </c>
      <c r="AK41" s="86" t="str">
        <f aca="false">IF($B41=AK$12,$U41,"")</f>
        <v/>
      </c>
      <c r="AL41" s="86" t="str">
        <f aca="false">IF($B41=AL$12,$U41,"")</f>
        <v/>
      </c>
      <c r="AM41" s="86" t="str">
        <f aca="false">IF($B41=AM$12,$U41,"")</f>
        <v/>
      </c>
      <c r="AN41" s="86" t="str">
        <f aca="false">IF($B41=AN$12,$U41,"")</f>
        <v/>
      </c>
      <c r="AO41" s="86" t="str">
        <f aca="false">IF($B41=AO$12,$U41,"")</f>
        <v/>
      </c>
      <c r="AP41" s="86" t="str">
        <f aca="false">IF($B41=AP$12,$U41,"")</f>
        <v/>
      </c>
      <c r="AQ41" s="86" t="str">
        <f aca="false">IF($B41=AQ$12,$U41,"")</f>
        <v/>
      </c>
      <c r="AR41" s="86" t="str">
        <f aca="false">IF($B41=AR$12,$U41,"")</f>
        <v/>
      </c>
      <c r="AS41" s="86" t="str">
        <f aca="false">IF($B41=AS$12,$U41,"")</f>
        <v/>
      </c>
      <c r="AT41" s="86" t="str">
        <f aca="false">IF($B41=AT$12,$U41,"")</f>
        <v/>
      </c>
      <c r="AU41" s="86" t="str">
        <f aca="false">IF($B41=AU$12,$U41,"")</f>
        <v/>
      </c>
      <c r="AV41" s="86" t="str">
        <f aca="false">IF($B41=AV$12,$U41,"")</f>
        <v/>
      </c>
      <c r="AW41" s="86" t="str">
        <f aca="false">IF($B41=AW$12,$U41,"")</f>
        <v/>
      </c>
      <c r="AX41" s="86" t="str">
        <f aca="false">IF($B41=AX$12,$U41,"")</f>
        <v/>
      </c>
      <c r="AY41" s="86" t="str">
        <f aca="false">IF($B41=AY$12,$U41,"")</f>
        <v/>
      </c>
      <c r="AZ41" s="86" t="str">
        <f aca="false">IF($B41=AZ$12,$U41,"")</f>
        <v/>
      </c>
      <c r="BA41" s="86" t="str">
        <f aca="false">IF($B41=BA$12,$U41,"")</f>
        <v/>
      </c>
      <c r="BB41" s="86" t="str">
        <f aca="false">IF($B41=BB$12,$U41,"")</f>
        <v/>
      </c>
      <c r="BC41" s="86" t="str">
        <f aca="false">IF($B41=BC$12,$U41,"")</f>
        <v/>
      </c>
      <c r="BD41" s="86" t="str">
        <f aca="false">IF($B41=BD$12,$U41,"")</f>
        <v/>
      </c>
      <c r="BE41" s="86" t="str">
        <f aca="false">IF($B41=BE$12,$U41,"")</f>
        <v/>
      </c>
      <c r="BF41" s="86" t="str">
        <f aca="false">IF($B41=BF$12,$U41,"")</f>
        <v/>
      </c>
      <c r="BG41" s="86" t="str">
        <f aca="false">IF($B41=BG$12,$U41,"")</f>
        <v/>
      </c>
      <c r="BH41" s="86" t="str">
        <f aca="false">IF($B41=BH$12,$U41,"")</f>
        <v/>
      </c>
      <c r="BI41" s="86" t="str">
        <f aca="false">IF($B41=BI$12,$U41,"")</f>
        <v/>
      </c>
      <c r="BJ41" s="86" t="str">
        <f aca="false">IF($B41=BJ$12,$U41,"")</f>
        <v/>
      </c>
      <c r="BK41" s="86" t="str">
        <f aca="false">IF($B41=BK$12,$U41,"")</f>
        <v/>
      </c>
      <c r="BL41" s="86" t="str">
        <f aca="false">IF($B41=BL$12,$U41,"")</f>
        <v/>
      </c>
      <c r="BM41" s="86" t="str">
        <f aca="false">IF($B41=BM$12,$U41,"")</f>
        <v/>
      </c>
      <c r="BN41" s="86" t="str">
        <f aca="false">IF($B41=BN$12,$U41,"")</f>
        <v/>
      </c>
      <c r="BO41" s="86" t="str">
        <f aca="false">IF($B41=BO$12,$U41,"")</f>
        <v/>
      </c>
      <c r="BP41" s="86" t="str">
        <f aca="false">IF($B41=BP$12,$U41,"")</f>
        <v/>
      </c>
      <c r="BQ41" s="86" t="str">
        <f aca="false">IF($B41=BQ$12,$U41,"")</f>
        <v/>
      </c>
      <c r="BR41" s="86" t="str">
        <f aca="false">IF($B41=BR$12,$U41,"")</f>
        <v/>
      </c>
      <c r="BS41" s="86" t="str">
        <f aca="false">IF($B41=BS$12,$U41,"")</f>
        <v/>
      </c>
      <c r="BT41" s="86" t="str">
        <f aca="false">IF($B41=BT$12,$U41,"")</f>
        <v/>
      </c>
      <c r="BU41" s="86" t="str">
        <f aca="false">IF($B41=BU$12,$U41,"")</f>
        <v/>
      </c>
      <c r="BV41" s="86" t="str">
        <f aca="false">IF($B41=BV$12,$U41,"")</f>
        <v/>
      </c>
      <c r="BW41" s="86" t="str">
        <f aca="false">IF($B41=BW$12,$U41,"")</f>
        <v/>
      </c>
      <c r="BX41" s="86" t="str">
        <f aca="false">IF($B41=BX$12,$U41,"")</f>
        <v/>
      </c>
      <c r="BY41" s="86" t="str">
        <f aca="false">IF($B41=BY$12,$U41,"")</f>
        <v/>
      </c>
      <c r="BZ41" s="86" t="str">
        <f aca="false">IF($B41=BZ$12,$U41,"")</f>
        <v/>
      </c>
      <c r="CA41" s="86" t="str">
        <f aca="false">IF($B41=CA$12,$U41,"")</f>
        <v/>
      </c>
      <c r="CB41" s="86" t="str">
        <f aca="false">IF($B41=CB$12,$U41,"")</f>
        <v/>
      </c>
      <c r="CC41" s="86" t="str">
        <f aca="false">IF($B41=CC$12,$U41,"")</f>
        <v/>
      </c>
      <c r="CD41" s="86" t="str">
        <f aca="false">IF($B41=CD$12,$U41,"")</f>
        <v/>
      </c>
      <c r="CE41" s="86" t="str">
        <f aca="false">IF($B41=CE$12,$U41,"")</f>
        <v/>
      </c>
      <c r="CF41" s="86" t="str">
        <f aca="false">IF($B41=CF$12,$U41,"")</f>
        <v/>
      </c>
      <c r="CG41" s="86" t="str">
        <f aca="false">IF($B41=CG$12,$U41,"")</f>
        <v/>
      </c>
      <c r="CH41" s="86" t="str">
        <f aca="false">IF($B41=CH$12,$U41,"")</f>
        <v/>
      </c>
      <c r="CI41" s="86" t="str">
        <f aca="false">IF($B41=CI$12,$U41,"")</f>
        <v/>
      </c>
      <c r="CJ41" s="86" t="str">
        <f aca="false">IF($B41=CJ$12,$U41,"")</f>
        <v/>
      </c>
      <c r="CK41" s="86" t="str">
        <f aca="false">IF($B41=CK$12,$U41,"")</f>
        <v/>
      </c>
      <c r="CL41" s="86" t="str">
        <f aca="false">IF($B41=CL$12,$U41,"")</f>
        <v/>
      </c>
      <c r="CM41" s="86" t="str">
        <f aca="false">IF($B41=CM$12,$U41,"")</f>
        <v/>
      </c>
      <c r="CN41" s="86" t="str">
        <f aca="false">IF($B41=CN$12,$U41,"")</f>
        <v/>
      </c>
      <c r="CO41" s="86" t="str">
        <f aca="false">IF($B41=CO$12,$U41,"")</f>
        <v/>
      </c>
      <c r="CP41" s="86" t="str">
        <f aca="false">IF($B41=CP$12,$U41,"")</f>
        <v/>
      </c>
      <c r="CQ41" s="86" t="str">
        <f aca="false">IF($B41=CQ$12,$U41,"")</f>
        <v/>
      </c>
      <c r="CR41" s="86" t="str">
        <f aca="false">IF($B41=CR$12,$U41,"")</f>
        <v/>
      </c>
      <c r="CS41" s="86" t="str">
        <f aca="false">IF($B41=CS$12,$U41,"")</f>
        <v/>
      </c>
      <c r="CT41" s="86" t="str">
        <f aca="false">IF($B41=CT$12,$U41,"")</f>
        <v/>
      </c>
      <c r="CU41" s="86" t="str">
        <f aca="false">IF($B41=CU$12,$U41,"")</f>
        <v/>
      </c>
      <c r="CV41" s="86" t="str">
        <f aca="false">IF($B41=CV$12,$U41,"")</f>
        <v/>
      </c>
      <c r="CW41" s="86" t="str">
        <f aca="false">IF($B41=CW$12,$U41,"")</f>
        <v/>
      </c>
      <c r="CX41" s="86" t="str">
        <f aca="false">IF($B41=CX$12,$U41,"")</f>
        <v/>
      </c>
      <c r="CY41" s="86" t="str">
        <f aca="false">IF($B41=CY$12,$U41,"")</f>
        <v/>
      </c>
      <c r="CZ41" s="86" t="str">
        <f aca="false">IF($B41=CZ$12,$U41,"")</f>
        <v/>
      </c>
      <c r="DA41" s="86" t="str">
        <f aca="false">IF($B41=DA$12,$U41,"")</f>
        <v/>
      </c>
      <c r="DB41" s="86" t="str">
        <f aca="false">IF($B41=DB$12,$U41,"")</f>
        <v/>
      </c>
      <c r="DC41" s="86" t="str">
        <f aca="false">IF($B41=DC$12,$U41,"")</f>
        <v/>
      </c>
      <c r="DD41" s="86" t="str">
        <f aca="false">IF($B41=DD$12,$U41,"")</f>
        <v/>
      </c>
      <c r="DE41" s="86" t="str">
        <f aca="false">IF($B41=DE$12,$U41,"")</f>
        <v/>
      </c>
      <c r="DF41" s="86" t="str">
        <f aca="false">IF($B41=DF$12,$U41,"")</f>
        <v/>
      </c>
      <c r="DG41" s="86" t="str">
        <f aca="false">IF($B41=DG$12,$U41,"")</f>
        <v/>
      </c>
      <c r="DH41" s="86" t="str">
        <f aca="false">IF($B41=DH$12,$U41,"")</f>
        <v/>
      </c>
      <c r="DI41" s="86" t="str">
        <f aca="false">IF($B41=DI$12,$U41,"")</f>
        <v/>
      </c>
      <c r="DJ41" s="86" t="str">
        <f aca="false">IF($B41=DJ$12,$U41,"")</f>
        <v/>
      </c>
      <c r="DK41" s="86" t="str">
        <f aca="false">IF($B41=DK$12,$U41,"")</f>
        <v/>
      </c>
      <c r="DL41" s="86" t="str">
        <f aca="false">IF($B41=DL$12,$U41,"")</f>
        <v/>
      </c>
      <c r="DM41" s="86" t="str">
        <f aca="false">IF($B41=DM$12,$U41,"")</f>
        <v/>
      </c>
      <c r="DN41" s="86" t="str">
        <f aca="false">IF($B41=DN$12,$U41,"")</f>
        <v/>
      </c>
      <c r="DO41" s="86" t="str">
        <f aca="false">IF($B41=DO$12,$U41,"")</f>
        <v/>
      </c>
      <c r="DP41" s="86" t="str">
        <f aca="false">IF($B41=DP$12,$U41,"")</f>
        <v/>
      </c>
      <c r="DQ41" s="86" t="str">
        <f aca="false">IF($B41=DQ$12,$U41,"")</f>
        <v/>
      </c>
      <c r="DR41" s="86" t="str">
        <f aca="false">IF($B41=DR$12,$U41,"")</f>
        <v/>
      </c>
      <c r="DS41" s="86" t="str">
        <f aca="false">IF($B41=DS$12,$U41,"")</f>
        <v/>
      </c>
      <c r="DT41" s="87" t="str">
        <f aca="false">IF($B41=DT$12,$U41,"")</f>
        <v/>
      </c>
      <c r="DU41" s="56"/>
      <c r="DV41" s="91"/>
      <c r="DW41" s="88" t="str">
        <f aca="false">IF($B41=DW$12,$O41,"")</f>
        <v/>
      </c>
      <c r="DX41" s="89" t="str">
        <f aca="false">IF($B41=DX$12,$O41,"")</f>
        <v/>
      </c>
      <c r="DY41" s="89" t="str">
        <f aca="false">IF($B41=DY$12,$O41,"")</f>
        <v/>
      </c>
      <c r="DZ41" s="89" t="str">
        <f aca="false">IF($B41=DZ$12,$O41,"")</f>
        <v/>
      </c>
      <c r="EA41" s="89" t="str">
        <f aca="false">IF($B41=EA$12,$O41,"")</f>
        <v/>
      </c>
      <c r="EB41" s="89" t="str">
        <f aca="false">IF($B41=EB$12,$O41,"")</f>
        <v/>
      </c>
      <c r="EC41" s="89" t="str">
        <f aca="false">IF($B41=EC$12,$O41,"")</f>
        <v/>
      </c>
      <c r="ED41" s="89" t="str">
        <f aca="false">IF($B41=ED$12,$O41,"")</f>
        <v/>
      </c>
      <c r="EE41" s="89" t="str">
        <f aca="false">IF($B41=EE$12,$O41,"")</f>
        <v/>
      </c>
      <c r="EF41" s="89" t="str">
        <f aca="false">IF($B41=EF$12,$O41,"")</f>
        <v/>
      </c>
      <c r="EG41" s="89" t="str">
        <f aca="false">IF($B41=EG$12,$O41,"")</f>
        <v/>
      </c>
      <c r="EH41" s="89" t="str">
        <f aca="false">IF($B41=EH$12,$O41,"")</f>
        <v/>
      </c>
      <c r="EI41" s="89" t="str">
        <f aca="false">IF($B41=EI$12,$O41,"")</f>
        <v/>
      </c>
      <c r="EJ41" s="89" t="str">
        <f aca="false">IF($B41=EJ$12,$O41,"")</f>
        <v/>
      </c>
      <c r="EK41" s="89" t="str">
        <f aca="false">IF($B41=EK$12,$O41,"")</f>
        <v/>
      </c>
      <c r="EL41" s="89" t="str">
        <f aca="false">IF($B41=EL$12,$O41,"")</f>
        <v/>
      </c>
      <c r="EM41" s="89" t="str">
        <f aca="false">IF($B41=EM$12,$O41,"")</f>
        <v/>
      </c>
      <c r="EN41" s="89" t="str">
        <f aca="false">IF($B41=EN$12,$O41,"")</f>
        <v/>
      </c>
      <c r="EO41" s="89" t="str">
        <f aca="false">IF($B41=EO$12,$O41,"")</f>
        <v/>
      </c>
      <c r="EP41" s="89" t="str">
        <f aca="false">IF($B41=EP$12,$O41,"")</f>
        <v/>
      </c>
      <c r="EQ41" s="89" t="str">
        <f aca="false">IF($B41=EQ$12,$O41,"")</f>
        <v/>
      </c>
      <c r="ER41" s="89" t="str">
        <f aca="false">IF($B41=ER$12,$O41,"")</f>
        <v/>
      </c>
      <c r="ES41" s="89" t="str">
        <f aca="false">IF($B41=ES$12,$O41,"")</f>
        <v/>
      </c>
      <c r="ET41" s="89" t="str">
        <f aca="false">IF($B41=ET$12,$O41,"")</f>
        <v/>
      </c>
      <c r="EU41" s="89" t="str">
        <f aca="false">IF($B41=EU$12,$O41,"")</f>
        <v/>
      </c>
      <c r="EV41" s="89" t="str">
        <f aca="false">IF($B41=EV$12,$O41,"")</f>
        <v/>
      </c>
      <c r="EW41" s="89" t="str">
        <f aca="false">IF($B41=EW$12,$O41,"")</f>
        <v/>
      </c>
      <c r="EX41" s="89" t="str">
        <f aca="false">IF($B41=EX$12,$O41,"")</f>
        <v/>
      </c>
      <c r="EY41" s="89" t="str">
        <f aca="false">IF($B41=EY$12,$O41,"")</f>
        <v/>
      </c>
      <c r="EZ41" s="89" t="str">
        <f aca="false">IF($B41=EZ$12,$O41,"")</f>
        <v/>
      </c>
      <c r="FA41" s="89" t="str">
        <f aca="false">IF($B41=FA$12,$O41,"")</f>
        <v/>
      </c>
      <c r="FB41" s="89" t="str">
        <f aca="false">IF($B41=FB$12,$O41,"")</f>
        <v/>
      </c>
      <c r="FC41" s="89" t="str">
        <f aca="false">IF($B41=FC$12,$O41,"")</f>
        <v/>
      </c>
      <c r="FD41" s="89" t="str">
        <f aca="false">IF($B41=FD$12,$O41,"")</f>
        <v/>
      </c>
      <c r="FE41" s="89" t="str">
        <f aca="false">IF($B41=FE$12,$O41,"")</f>
        <v/>
      </c>
      <c r="FF41" s="89" t="str">
        <f aca="false">IF($B41=FF$12,$O41,"")</f>
        <v/>
      </c>
      <c r="FG41" s="89" t="str">
        <f aca="false">IF($B41=FG$12,$O41,"")</f>
        <v/>
      </c>
      <c r="FH41" s="89" t="str">
        <f aca="false">IF($B41=FH$12,$O41,"")</f>
        <v/>
      </c>
      <c r="FI41" s="89" t="str">
        <f aca="false">IF($B41=FI$12,$O41,"")</f>
        <v/>
      </c>
      <c r="FJ41" s="89" t="str">
        <f aca="false">IF($B41=FJ$12,$O41,"")</f>
        <v/>
      </c>
      <c r="FK41" s="89" t="str">
        <f aca="false">IF($B41=FK$12,$O41,"")</f>
        <v/>
      </c>
      <c r="FL41" s="89" t="str">
        <f aca="false">IF($B41=FL$12,$O41,"")</f>
        <v/>
      </c>
      <c r="FM41" s="89" t="str">
        <f aca="false">IF($B41=FM$12,$O41,"")</f>
        <v/>
      </c>
      <c r="FN41" s="89" t="str">
        <f aca="false">IF($B41=FN$12,$O41,"")</f>
        <v/>
      </c>
      <c r="FO41" s="89" t="str">
        <f aca="false">IF($B41=FO$12,$O41,"")</f>
        <v/>
      </c>
      <c r="FP41" s="89" t="str">
        <f aca="false">IF($B41=FP$12,$O41,"")</f>
        <v/>
      </c>
      <c r="FQ41" s="89" t="str">
        <f aca="false">IF($B41=FQ$12,$O41,"")</f>
        <v/>
      </c>
      <c r="FR41" s="89" t="str">
        <f aca="false">IF($B41=FR$12,$O41,"")</f>
        <v/>
      </c>
      <c r="FS41" s="89" t="str">
        <f aca="false">IF($B41=FS$12,$O41,"")</f>
        <v/>
      </c>
      <c r="FT41" s="89" t="str">
        <f aca="false">IF($B41=FT$12,$O41,"")</f>
        <v/>
      </c>
      <c r="FU41" s="89" t="str">
        <f aca="false">IF($B41=FU$12,$O41,"")</f>
        <v/>
      </c>
      <c r="FV41" s="89" t="str">
        <f aca="false">IF($B41=FV$12,$O41,"")</f>
        <v/>
      </c>
      <c r="FW41" s="89" t="str">
        <f aca="false">IF($B41=FW$12,$O41,"")</f>
        <v/>
      </c>
      <c r="FX41" s="89" t="str">
        <f aca="false">IF($B41=FX$12,$O41,"")</f>
        <v/>
      </c>
      <c r="FY41" s="89" t="str">
        <f aca="false">IF($B41=FY$12,$O41,"")</f>
        <v/>
      </c>
      <c r="FZ41" s="89" t="str">
        <f aca="false">IF($B41=FZ$12,$O41,"")</f>
        <v/>
      </c>
      <c r="GA41" s="89" t="str">
        <f aca="false">IF($B41=GA$12,$O41,"")</f>
        <v/>
      </c>
      <c r="GB41" s="89" t="str">
        <f aca="false">IF($B41=GB$12,$O41,"")</f>
        <v/>
      </c>
      <c r="GC41" s="89" t="str">
        <f aca="false">IF($B41=GC$12,$O41,"")</f>
        <v/>
      </c>
      <c r="GD41" s="89" t="str">
        <f aca="false">IF($B41=GD$12,$O41,"")</f>
        <v/>
      </c>
      <c r="GE41" s="89" t="str">
        <f aca="false">IF($B41=GE$12,$O41,"")</f>
        <v/>
      </c>
      <c r="GF41" s="89" t="str">
        <f aca="false">IF($B41=GF$12,$O41,"")</f>
        <v/>
      </c>
      <c r="GG41" s="89" t="str">
        <f aca="false">IF($B41=GG$12,$O41,"")</f>
        <v/>
      </c>
      <c r="GH41" s="89" t="str">
        <f aca="false">IF($B41=GH$12,$O41,"")</f>
        <v/>
      </c>
      <c r="GI41" s="89" t="str">
        <f aca="false">IF($B41=GI$12,$O41,"")</f>
        <v/>
      </c>
      <c r="GJ41" s="89" t="str">
        <f aca="false">IF($B41=GJ$12,$O41,"")</f>
        <v/>
      </c>
      <c r="GK41" s="89" t="str">
        <f aca="false">IF($B41=GK$12,$O41,"")</f>
        <v/>
      </c>
      <c r="GL41" s="89" t="str">
        <f aca="false">IF($B41=GL$12,$O41,"")</f>
        <v/>
      </c>
      <c r="GM41" s="89" t="str">
        <f aca="false">IF($B41=GM$12,$O41,"")</f>
        <v/>
      </c>
      <c r="GN41" s="89" t="str">
        <f aca="false">IF($B41=GN$12,$O41,"")</f>
        <v/>
      </c>
      <c r="GO41" s="89" t="str">
        <f aca="false">IF($B41=GO$12,$O41,"")</f>
        <v/>
      </c>
      <c r="GP41" s="89" t="str">
        <f aca="false">IF($B41=GP$12,$O41,"")</f>
        <v/>
      </c>
      <c r="GQ41" s="89" t="str">
        <f aca="false">IF($B41=GQ$12,$O41,"")</f>
        <v/>
      </c>
      <c r="GR41" s="89" t="str">
        <f aca="false">IF($B41=GR$12,$O41,"")</f>
        <v/>
      </c>
      <c r="GS41" s="89" t="str">
        <f aca="false">IF($B41=GS$12,$O41,"")</f>
        <v/>
      </c>
      <c r="GT41" s="89" t="str">
        <f aca="false">IF($B41=GT$12,$O41,"")</f>
        <v/>
      </c>
      <c r="GU41" s="89" t="str">
        <f aca="false">IF($B41=GU$12,$O41,"")</f>
        <v/>
      </c>
      <c r="GV41" s="89" t="str">
        <f aca="false">IF($B41=GV$12,$O41,"")</f>
        <v/>
      </c>
      <c r="GW41" s="89" t="str">
        <f aca="false">IF($B41=GW$12,$O41,"")</f>
        <v/>
      </c>
      <c r="GX41" s="89" t="str">
        <f aca="false">IF($B41=GX$12,$O41,"")</f>
        <v/>
      </c>
      <c r="GY41" s="89" t="str">
        <f aca="false">IF($B41=GY$12,$O41,"")</f>
        <v/>
      </c>
      <c r="GZ41" s="89" t="str">
        <f aca="false">IF($B41=GZ$12,$O41,"")</f>
        <v/>
      </c>
      <c r="HA41" s="89" t="str">
        <f aca="false">IF($B41=HA$12,$O41,"")</f>
        <v/>
      </c>
      <c r="HB41" s="89" t="str">
        <f aca="false">IF($B41=HB$12,$O41,"")</f>
        <v/>
      </c>
      <c r="HC41" s="89" t="str">
        <f aca="false">IF($B41=HC$12,$O41,"")</f>
        <v/>
      </c>
      <c r="HD41" s="89" t="str">
        <f aca="false">IF($B41=HD$12,$O41,"")</f>
        <v/>
      </c>
      <c r="HE41" s="89" t="str">
        <f aca="false">IF($B41=HE$12,$O41,"")</f>
        <v/>
      </c>
      <c r="HF41" s="89" t="str">
        <f aca="false">IF($B41=HF$12,$O41,"")</f>
        <v/>
      </c>
      <c r="HG41" s="89" t="str">
        <f aca="false">IF($B41=HG$12,$O41,"")</f>
        <v/>
      </c>
      <c r="HH41" s="89" t="str">
        <f aca="false">IF($B41=HH$12,$O41,"")</f>
        <v/>
      </c>
      <c r="HI41" s="89" t="str">
        <f aca="false">IF($B41=HI$12,$O41,"")</f>
        <v/>
      </c>
      <c r="HJ41" s="89" t="str">
        <f aca="false">IF($B41=HJ$12,$O41,"")</f>
        <v/>
      </c>
      <c r="HK41" s="89" t="str">
        <f aca="false">IF($B41=HK$12,$O41,"")</f>
        <v/>
      </c>
      <c r="HL41" s="89" t="str">
        <f aca="false">IF($B41=HL$12,$O41,"")</f>
        <v/>
      </c>
      <c r="HM41" s="89" t="str">
        <f aca="false">IF($B41=HM$12,$O41,"")</f>
        <v/>
      </c>
      <c r="HN41" s="89" t="str">
        <f aca="false">IF($B41=HN$12,$O41,"")</f>
        <v/>
      </c>
      <c r="HO41" s="89" t="str">
        <f aca="false">IF($B41=HO$12,$O41,"")</f>
        <v/>
      </c>
      <c r="HP41" s="89" t="str">
        <f aca="false">IF($B41=HP$12,$O41,"")</f>
        <v/>
      </c>
      <c r="HQ41" s="89" t="str">
        <f aca="false">IF($B41=HQ$12,$O41,"")</f>
        <v/>
      </c>
      <c r="HR41" s="90" t="str">
        <f aca="false">IF($B41=HR$12,$O41,"")</f>
        <v/>
      </c>
    </row>
    <row r="42" customFormat="false" ht="10.5" hidden="false" customHeight="true" outlineLevel="0" collapsed="false">
      <c r="A42" s="75"/>
      <c r="B42" s="76"/>
      <c r="C42" s="77" t="str">
        <f aca="false">IF(A42=0,"",VLOOKUP(A42,[3]CO!$A$3:$F$5311,2,0))</f>
        <v/>
      </c>
      <c r="D42" s="78"/>
      <c r="E42" s="78"/>
      <c r="F42" s="78"/>
      <c r="G42" s="79" t="str">
        <f aca="false">IF(A42=0,"",VLOOKUP(A42,[3]CO!$A$3:$F$5311,3,0))</f>
        <v/>
      </c>
      <c r="H42" s="130"/>
      <c r="I42" s="80"/>
      <c r="J42" s="80"/>
      <c r="K42" s="80"/>
      <c r="L42" s="80"/>
      <c r="M42" s="81" t="str">
        <f aca="false">IF(H42&gt;0,H42*Q$34/N42,IF(AND(L42&gt;0,I42&gt;0),L42*I42,IF(L42&gt;0,L42,"")))</f>
        <v/>
      </c>
      <c r="N42" s="81" t="str">
        <f aca="false">IF(B42=0,"",IF(H42="M",HLOOKUP(B42,$Y$12:$DT$13,2),IF(A42=0,"",VLOOKUP(A42,[3]CO!$A$3:$F$5311,4,0))))</f>
        <v/>
      </c>
      <c r="O42" s="81" t="str">
        <f aca="false">IF(L42=0,"",PRODUCT(M42:N42))</f>
        <v/>
      </c>
      <c r="P42" s="82"/>
      <c r="Q42" s="83" t="str">
        <f aca="false">IF(P42=0,"",(HLOOKUP(P42,$DW$12:$HR$13,2)))</f>
        <v/>
      </c>
      <c r="R42" s="84" t="str">
        <f aca="false">IF(S42=0,"",IF(OR(G42="PEON",G42="OF",G42="JARD",G42="CARP",G42="MAESTRO",G42="SOLD",G42="BGRO",G42="CHOFER",G42="AYTE",G42="S.INTTE.",G42="ASEO",G42="P.PISOS",G42="VELADOR",G42="RESID",G42="PINTOR",G42="ELECT",G42="AZULE",G42="AUX CONT.",G42="SECRETARIA",G42="AUXILIAR ADMTVO.",G42="ARQUITECTO",G42="DIBUJANTE",G42="AUX. DE RESIDENTE",G42="TOPOGRAFIA"),VLOOKUP(B42,P$14:Q$357,2),"")*S42)</f>
        <v/>
      </c>
      <c r="S42" s="51"/>
      <c r="T42" s="67" t="str">
        <f aca="false">IF(A42=0,"",VLOOKUP(A42,[3]CO!$A$3:$F$5302,5,0))</f>
        <v/>
      </c>
      <c r="U42" s="56" t="n">
        <f aca="false">IF(T42=1,O42*0.1,)</f>
        <v>0</v>
      </c>
      <c r="V42" s="68"/>
      <c r="W42" s="91"/>
      <c r="X42" s="91"/>
      <c r="Y42" s="85" t="str">
        <f aca="false">IF($B42=Y$12,$U42,"")</f>
        <v/>
      </c>
      <c r="Z42" s="86" t="str">
        <f aca="false">IF($B42=Z$12,$U42,"")</f>
        <v/>
      </c>
      <c r="AA42" s="86" t="str">
        <f aca="false">IF($B42=AA$12,$U42,"")</f>
        <v/>
      </c>
      <c r="AB42" s="86" t="str">
        <f aca="false">IF($B42=AB$12,$U42,"")</f>
        <v/>
      </c>
      <c r="AC42" s="86" t="str">
        <f aca="false">IF($B42=AC$12,$U42,"")</f>
        <v/>
      </c>
      <c r="AD42" s="86" t="str">
        <f aca="false">IF($B42=AD$12,$U42,"")</f>
        <v/>
      </c>
      <c r="AE42" s="86" t="str">
        <f aca="false">IF($B42=AE$12,$U42,"")</f>
        <v/>
      </c>
      <c r="AF42" s="86" t="str">
        <f aca="false">IF($B42=AF$12,$U42,"")</f>
        <v/>
      </c>
      <c r="AG42" s="86" t="str">
        <f aca="false">IF($B42=AG$12,$U42,"")</f>
        <v/>
      </c>
      <c r="AH42" s="86" t="str">
        <f aca="false">IF($B42=AH$12,$U42,"")</f>
        <v/>
      </c>
      <c r="AI42" s="86" t="str">
        <f aca="false">IF($B42=AI$12,$U42,"")</f>
        <v/>
      </c>
      <c r="AJ42" s="86" t="str">
        <f aca="false">IF($B42=AJ$12,$U42,"")</f>
        <v/>
      </c>
      <c r="AK42" s="86" t="str">
        <f aca="false">IF($B42=AK$12,$U42,"")</f>
        <v/>
      </c>
      <c r="AL42" s="86" t="str">
        <f aca="false">IF($B42=AL$12,$U42,"")</f>
        <v/>
      </c>
      <c r="AM42" s="86" t="str">
        <f aca="false">IF($B42=AM$12,$U42,"")</f>
        <v/>
      </c>
      <c r="AN42" s="86" t="str">
        <f aca="false">IF($B42=AN$12,$U42,"")</f>
        <v/>
      </c>
      <c r="AO42" s="86" t="str">
        <f aca="false">IF($B42=AO$12,$U42,"")</f>
        <v/>
      </c>
      <c r="AP42" s="86" t="str">
        <f aca="false">IF($B42=AP$12,$U42,"")</f>
        <v/>
      </c>
      <c r="AQ42" s="86" t="str">
        <f aca="false">IF($B42=AQ$12,$U42,"")</f>
        <v/>
      </c>
      <c r="AR42" s="86" t="str">
        <f aca="false">IF($B42=AR$12,$U42,"")</f>
        <v/>
      </c>
      <c r="AS42" s="86" t="str">
        <f aca="false">IF($B42=AS$12,$U42,"")</f>
        <v/>
      </c>
      <c r="AT42" s="86" t="str">
        <f aca="false">IF($B42=AT$12,$U42,"")</f>
        <v/>
      </c>
      <c r="AU42" s="86" t="str">
        <f aca="false">IF($B42=AU$12,$U42,"")</f>
        <v/>
      </c>
      <c r="AV42" s="86" t="str">
        <f aca="false">IF($B42=AV$12,$U42,"")</f>
        <v/>
      </c>
      <c r="AW42" s="86" t="str">
        <f aca="false">IF($B42=AW$12,$U42,"")</f>
        <v/>
      </c>
      <c r="AX42" s="86" t="str">
        <f aca="false">IF($B42=AX$12,$U42,"")</f>
        <v/>
      </c>
      <c r="AY42" s="86" t="str">
        <f aca="false">IF($B42=AY$12,$U42,"")</f>
        <v/>
      </c>
      <c r="AZ42" s="86" t="str">
        <f aca="false">IF($B42=AZ$12,$U42,"")</f>
        <v/>
      </c>
      <c r="BA42" s="86" t="str">
        <f aca="false">IF($B42=BA$12,$U42,"")</f>
        <v/>
      </c>
      <c r="BB42" s="86" t="str">
        <f aca="false">IF($B42=BB$12,$U42,"")</f>
        <v/>
      </c>
      <c r="BC42" s="86" t="str">
        <f aca="false">IF($B42=BC$12,$U42,"")</f>
        <v/>
      </c>
      <c r="BD42" s="86" t="str">
        <f aca="false">IF($B42=BD$12,$U42,"")</f>
        <v/>
      </c>
      <c r="BE42" s="86" t="str">
        <f aca="false">IF($B42=BE$12,$U42,"")</f>
        <v/>
      </c>
      <c r="BF42" s="86" t="str">
        <f aca="false">IF($B42=BF$12,$U42,"")</f>
        <v/>
      </c>
      <c r="BG42" s="86" t="str">
        <f aca="false">IF($B42=BG$12,$U42,"")</f>
        <v/>
      </c>
      <c r="BH42" s="86" t="str">
        <f aca="false">IF($B42=BH$12,$U42,"")</f>
        <v/>
      </c>
      <c r="BI42" s="86" t="str">
        <f aca="false">IF($B42=BI$12,$U42,"")</f>
        <v/>
      </c>
      <c r="BJ42" s="86" t="str">
        <f aca="false">IF($B42=BJ$12,$U42,"")</f>
        <v/>
      </c>
      <c r="BK42" s="86" t="str">
        <f aca="false">IF($B42=BK$12,$U42,"")</f>
        <v/>
      </c>
      <c r="BL42" s="86" t="str">
        <f aca="false">IF($B42=BL$12,$U42,"")</f>
        <v/>
      </c>
      <c r="BM42" s="86" t="str">
        <f aca="false">IF($B42=BM$12,$U42,"")</f>
        <v/>
      </c>
      <c r="BN42" s="86" t="str">
        <f aca="false">IF($B42=BN$12,$U42,"")</f>
        <v/>
      </c>
      <c r="BO42" s="86" t="str">
        <f aca="false">IF($B42=BO$12,$U42,"")</f>
        <v/>
      </c>
      <c r="BP42" s="86" t="str">
        <f aca="false">IF($B42=BP$12,$U42,"")</f>
        <v/>
      </c>
      <c r="BQ42" s="86" t="str">
        <f aca="false">IF($B42=BQ$12,$U42,"")</f>
        <v/>
      </c>
      <c r="BR42" s="86" t="str">
        <f aca="false">IF($B42=BR$12,$U42,"")</f>
        <v/>
      </c>
      <c r="BS42" s="86" t="str">
        <f aca="false">IF($B42=BS$12,$U42,"")</f>
        <v/>
      </c>
      <c r="BT42" s="86" t="str">
        <f aca="false">IF($B42=BT$12,$U42,"")</f>
        <v/>
      </c>
      <c r="BU42" s="86" t="str">
        <f aca="false">IF($B42=BU$12,$U42,"")</f>
        <v/>
      </c>
      <c r="BV42" s="86" t="str">
        <f aca="false">IF($B42=BV$12,$U42,"")</f>
        <v/>
      </c>
      <c r="BW42" s="86" t="str">
        <f aca="false">IF($B42=BW$12,$U42,"")</f>
        <v/>
      </c>
      <c r="BX42" s="86" t="str">
        <f aca="false">IF($B42=BX$12,$U42,"")</f>
        <v/>
      </c>
      <c r="BY42" s="86" t="str">
        <f aca="false">IF($B42=BY$12,$U42,"")</f>
        <v/>
      </c>
      <c r="BZ42" s="86" t="str">
        <f aca="false">IF($B42=BZ$12,$U42,"")</f>
        <v/>
      </c>
      <c r="CA42" s="86" t="str">
        <f aca="false">IF($B42=CA$12,$U42,"")</f>
        <v/>
      </c>
      <c r="CB42" s="86" t="str">
        <f aca="false">IF($B42=CB$12,$U42,"")</f>
        <v/>
      </c>
      <c r="CC42" s="86" t="str">
        <f aca="false">IF($B42=CC$12,$U42,"")</f>
        <v/>
      </c>
      <c r="CD42" s="86" t="str">
        <f aca="false">IF($B42=CD$12,$U42,"")</f>
        <v/>
      </c>
      <c r="CE42" s="86" t="str">
        <f aca="false">IF($B42=CE$12,$U42,"")</f>
        <v/>
      </c>
      <c r="CF42" s="86" t="str">
        <f aca="false">IF($B42=CF$12,$U42,"")</f>
        <v/>
      </c>
      <c r="CG42" s="86" t="str">
        <f aca="false">IF($B42=CG$12,$U42,"")</f>
        <v/>
      </c>
      <c r="CH42" s="86" t="str">
        <f aca="false">IF($B42=CH$12,$U42,"")</f>
        <v/>
      </c>
      <c r="CI42" s="86" t="str">
        <f aca="false">IF($B42=CI$12,$U42,"")</f>
        <v/>
      </c>
      <c r="CJ42" s="86" t="str">
        <f aca="false">IF($B42=CJ$12,$U42,"")</f>
        <v/>
      </c>
      <c r="CK42" s="86" t="str">
        <f aca="false">IF($B42=CK$12,$U42,"")</f>
        <v/>
      </c>
      <c r="CL42" s="86" t="str">
        <f aca="false">IF($B42=CL$12,$U42,"")</f>
        <v/>
      </c>
      <c r="CM42" s="86" t="str">
        <f aca="false">IF($B42=CM$12,$U42,"")</f>
        <v/>
      </c>
      <c r="CN42" s="86" t="str">
        <f aca="false">IF($B42=CN$12,$U42,"")</f>
        <v/>
      </c>
      <c r="CO42" s="86" t="str">
        <f aca="false">IF($B42=CO$12,$U42,"")</f>
        <v/>
      </c>
      <c r="CP42" s="86" t="str">
        <f aca="false">IF($B42=CP$12,$U42,"")</f>
        <v/>
      </c>
      <c r="CQ42" s="86" t="str">
        <f aca="false">IF($B42=CQ$12,$U42,"")</f>
        <v/>
      </c>
      <c r="CR42" s="86" t="str">
        <f aca="false">IF($B42=CR$12,$U42,"")</f>
        <v/>
      </c>
      <c r="CS42" s="86" t="str">
        <f aca="false">IF($B42=CS$12,$U42,"")</f>
        <v/>
      </c>
      <c r="CT42" s="86" t="str">
        <f aca="false">IF($B42=CT$12,$U42,"")</f>
        <v/>
      </c>
      <c r="CU42" s="86" t="str">
        <f aca="false">IF($B42=CU$12,$U42,"")</f>
        <v/>
      </c>
      <c r="CV42" s="86" t="str">
        <f aca="false">IF($B42=CV$12,$U42,"")</f>
        <v/>
      </c>
      <c r="CW42" s="86" t="str">
        <f aca="false">IF($B42=CW$12,$U42,"")</f>
        <v/>
      </c>
      <c r="CX42" s="86" t="str">
        <f aca="false">IF($B42=CX$12,$U42,"")</f>
        <v/>
      </c>
      <c r="CY42" s="86" t="str">
        <f aca="false">IF($B42=CY$12,$U42,"")</f>
        <v/>
      </c>
      <c r="CZ42" s="86" t="str">
        <f aca="false">IF($B42=CZ$12,$U42,"")</f>
        <v/>
      </c>
      <c r="DA42" s="86" t="str">
        <f aca="false">IF($B42=DA$12,$U42,"")</f>
        <v/>
      </c>
      <c r="DB42" s="86" t="str">
        <f aca="false">IF($B42=DB$12,$U42,"")</f>
        <v/>
      </c>
      <c r="DC42" s="86" t="str">
        <f aca="false">IF($B42=DC$12,$U42,"")</f>
        <v/>
      </c>
      <c r="DD42" s="86" t="str">
        <f aca="false">IF($B42=DD$12,$U42,"")</f>
        <v/>
      </c>
      <c r="DE42" s="86" t="str">
        <f aca="false">IF($B42=DE$12,$U42,"")</f>
        <v/>
      </c>
      <c r="DF42" s="86" t="str">
        <f aca="false">IF($B42=DF$12,$U42,"")</f>
        <v/>
      </c>
      <c r="DG42" s="86" t="str">
        <f aca="false">IF($B42=DG$12,$U42,"")</f>
        <v/>
      </c>
      <c r="DH42" s="86" t="str">
        <f aca="false">IF($B42=DH$12,$U42,"")</f>
        <v/>
      </c>
      <c r="DI42" s="86" t="str">
        <f aca="false">IF($B42=DI$12,$U42,"")</f>
        <v/>
      </c>
      <c r="DJ42" s="86" t="str">
        <f aca="false">IF($B42=DJ$12,$U42,"")</f>
        <v/>
      </c>
      <c r="DK42" s="86" t="str">
        <f aca="false">IF($B42=DK$12,$U42,"")</f>
        <v/>
      </c>
      <c r="DL42" s="86" t="str">
        <f aca="false">IF($B42=DL$12,$U42,"")</f>
        <v/>
      </c>
      <c r="DM42" s="86" t="str">
        <f aca="false">IF($B42=DM$12,$U42,"")</f>
        <v/>
      </c>
      <c r="DN42" s="86" t="str">
        <f aca="false">IF($B42=DN$12,$U42,"")</f>
        <v/>
      </c>
      <c r="DO42" s="86" t="str">
        <f aca="false">IF($B42=DO$12,$U42,"")</f>
        <v/>
      </c>
      <c r="DP42" s="86" t="str">
        <f aca="false">IF($B42=DP$12,$U42,"")</f>
        <v/>
      </c>
      <c r="DQ42" s="86" t="str">
        <f aca="false">IF($B42=DQ$12,$U42,"")</f>
        <v/>
      </c>
      <c r="DR42" s="86" t="str">
        <f aca="false">IF($B42=DR$12,$U42,"")</f>
        <v/>
      </c>
      <c r="DS42" s="86" t="str">
        <f aca="false">IF($B42=DS$12,$U42,"")</f>
        <v/>
      </c>
      <c r="DT42" s="87" t="str">
        <f aca="false">IF($B42=DT$12,$U42,"")</f>
        <v/>
      </c>
      <c r="DU42" s="56"/>
      <c r="DV42" s="91"/>
      <c r="DW42" s="88" t="str">
        <f aca="false">IF($B42=DW$12,$O42,"")</f>
        <v/>
      </c>
      <c r="DX42" s="89" t="str">
        <f aca="false">IF($B42=DX$12,$O42,"")</f>
        <v/>
      </c>
      <c r="DY42" s="89" t="str">
        <f aca="false">IF($B42=DY$12,$O42,"")</f>
        <v/>
      </c>
      <c r="DZ42" s="89" t="str">
        <f aca="false">IF($B42=DZ$12,$O42,"")</f>
        <v/>
      </c>
      <c r="EA42" s="89" t="str">
        <f aca="false">IF($B42=EA$12,$O42,"")</f>
        <v/>
      </c>
      <c r="EB42" s="89" t="str">
        <f aca="false">IF($B42=EB$12,$O42,"")</f>
        <v/>
      </c>
      <c r="EC42" s="89" t="str">
        <f aca="false">IF($B42=EC$12,$O42,"")</f>
        <v/>
      </c>
      <c r="ED42" s="89" t="str">
        <f aca="false">IF($B42=ED$12,$O42,"")</f>
        <v/>
      </c>
      <c r="EE42" s="89" t="str">
        <f aca="false">IF($B42=EE$12,$O42,"")</f>
        <v/>
      </c>
      <c r="EF42" s="89" t="str">
        <f aca="false">IF($B42=EF$12,$O42,"")</f>
        <v/>
      </c>
      <c r="EG42" s="89" t="str">
        <f aca="false">IF($B42=EG$12,$O42,"")</f>
        <v/>
      </c>
      <c r="EH42" s="89" t="str">
        <f aca="false">IF($B42=EH$12,$O42,"")</f>
        <v/>
      </c>
      <c r="EI42" s="89" t="str">
        <f aca="false">IF($B42=EI$12,$O42,"")</f>
        <v/>
      </c>
      <c r="EJ42" s="89" t="str">
        <f aca="false">IF($B42=EJ$12,$O42,"")</f>
        <v/>
      </c>
      <c r="EK42" s="89" t="str">
        <f aca="false">IF($B42=EK$12,$O42,"")</f>
        <v/>
      </c>
      <c r="EL42" s="89" t="str">
        <f aca="false">IF($B42=EL$12,$O42,"")</f>
        <v/>
      </c>
      <c r="EM42" s="89" t="str">
        <f aca="false">IF($B42=EM$12,$O42,"")</f>
        <v/>
      </c>
      <c r="EN42" s="89" t="str">
        <f aca="false">IF($B42=EN$12,$O42,"")</f>
        <v/>
      </c>
      <c r="EO42" s="89" t="str">
        <f aca="false">IF($B42=EO$12,$O42,"")</f>
        <v/>
      </c>
      <c r="EP42" s="89" t="str">
        <f aca="false">IF($B42=EP$12,$O42,"")</f>
        <v/>
      </c>
      <c r="EQ42" s="89" t="str">
        <f aca="false">IF($B42=EQ$12,$O42,"")</f>
        <v/>
      </c>
      <c r="ER42" s="89" t="str">
        <f aca="false">IF($B42=ER$12,$O42,"")</f>
        <v/>
      </c>
      <c r="ES42" s="89" t="str">
        <f aca="false">IF($B42=ES$12,$O42,"")</f>
        <v/>
      </c>
      <c r="ET42" s="89" t="str">
        <f aca="false">IF($B42=ET$12,$O42,"")</f>
        <v/>
      </c>
      <c r="EU42" s="89" t="str">
        <f aca="false">IF($B42=EU$12,$O42,"")</f>
        <v/>
      </c>
      <c r="EV42" s="89" t="str">
        <f aca="false">IF($B42=EV$12,$O42,"")</f>
        <v/>
      </c>
      <c r="EW42" s="89" t="str">
        <f aca="false">IF($B42=EW$12,$O42,"")</f>
        <v/>
      </c>
      <c r="EX42" s="89" t="str">
        <f aca="false">IF($B42=EX$12,$O42,"")</f>
        <v/>
      </c>
      <c r="EY42" s="89" t="str">
        <f aca="false">IF($B42=EY$12,$O42,"")</f>
        <v/>
      </c>
      <c r="EZ42" s="89" t="str">
        <f aca="false">IF($B42=EZ$12,$O42,"")</f>
        <v/>
      </c>
      <c r="FA42" s="89" t="str">
        <f aca="false">IF($B42=FA$12,$O42,"")</f>
        <v/>
      </c>
      <c r="FB42" s="89" t="str">
        <f aca="false">IF($B42=FB$12,$O42,"")</f>
        <v/>
      </c>
      <c r="FC42" s="89" t="str">
        <f aca="false">IF($B42=FC$12,$O42,"")</f>
        <v/>
      </c>
      <c r="FD42" s="89" t="str">
        <f aca="false">IF($B42=FD$12,$O42,"")</f>
        <v/>
      </c>
      <c r="FE42" s="89" t="str">
        <f aca="false">IF($B42=FE$12,$O42,"")</f>
        <v/>
      </c>
      <c r="FF42" s="89" t="str">
        <f aca="false">IF($B42=FF$12,$O42,"")</f>
        <v/>
      </c>
      <c r="FG42" s="89" t="str">
        <f aca="false">IF($B42=FG$12,$O42,"")</f>
        <v/>
      </c>
      <c r="FH42" s="89" t="str">
        <f aca="false">IF($B42=FH$12,$O42,"")</f>
        <v/>
      </c>
      <c r="FI42" s="89" t="str">
        <f aca="false">IF($B42=FI$12,$O42,"")</f>
        <v/>
      </c>
      <c r="FJ42" s="89" t="str">
        <f aca="false">IF($B42=FJ$12,$O42,"")</f>
        <v/>
      </c>
      <c r="FK42" s="89" t="str">
        <f aca="false">IF($B42=FK$12,$O42,"")</f>
        <v/>
      </c>
      <c r="FL42" s="89" t="str">
        <f aca="false">IF($B42=FL$12,$O42,"")</f>
        <v/>
      </c>
      <c r="FM42" s="89" t="str">
        <f aca="false">IF($B42=FM$12,$O42,"")</f>
        <v/>
      </c>
      <c r="FN42" s="89" t="str">
        <f aca="false">IF($B42=FN$12,$O42,"")</f>
        <v/>
      </c>
      <c r="FO42" s="89" t="str">
        <f aca="false">IF($B42=FO$12,$O42,"")</f>
        <v/>
      </c>
      <c r="FP42" s="89" t="str">
        <f aca="false">IF($B42=FP$12,$O42,"")</f>
        <v/>
      </c>
      <c r="FQ42" s="89" t="str">
        <f aca="false">IF($B42=FQ$12,$O42,"")</f>
        <v/>
      </c>
      <c r="FR42" s="89" t="str">
        <f aca="false">IF($B42=FR$12,$O42,"")</f>
        <v/>
      </c>
      <c r="FS42" s="89" t="str">
        <f aca="false">IF($B42=FS$12,$O42,"")</f>
        <v/>
      </c>
      <c r="FT42" s="89" t="str">
        <f aca="false">IF($B42=FT$12,$O42,"")</f>
        <v/>
      </c>
      <c r="FU42" s="89" t="str">
        <f aca="false">IF($B42=FU$12,$O42,"")</f>
        <v/>
      </c>
      <c r="FV42" s="89" t="str">
        <f aca="false">IF($B42=FV$12,$O42,"")</f>
        <v/>
      </c>
      <c r="FW42" s="89" t="str">
        <f aca="false">IF($B42=FW$12,$O42,"")</f>
        <v/>
      </c>
      <c r="FX42" s="89" t="str">
        <f aca="false">IF($B42=FX$12,$O42,"")</f>
        <v/>
      </c>
      <c r="FY42" s="89" t="str">
        <f aca="false">IF($B42=FY$12,$O42,"")</f>
        <v/>
      </c>
      <c r="FZ42" s="89" t="str">
        <f aca="false">IF($B42=FZ$12,$O42,"")</f>
        <v/>
      </c>
      <c r="GA42" s="89" t="str">
        <f aca="false">IF($B42=GA$12,$O42,"")</f>
        <v/>
      </c>
      <c r="GB42" s="89" t="str">
        <f aca="false">IF($B42=GB$12,$O42,"")</f>
        <v/>
      </c>
      <c r="GC42" s="89" t="str">
        <f aca="false">IF($B42=GC$12,$O42,"")</f>
        <v/>
      </c>
      <c r="GD42" s="89" t="str">
        <f aca="false">IF($B42=GD$12,$O42,"")</f>
        <v/>
      </c>
      <c r="GE42" s="89" t="str">
        <f aca="false">IF($B42=GE$12,$O42,"")</f>
        <v/>
      </c>
      <c r="GF42" s="89" t="str">
        <f aca="false">IF($B42=GF$12,$O42,"")</f>
        <v/>
      </c>
      <c r="GG42" s="89" t="str">
        <f aca="false">IF($B42=GG$12,$O42,"")</f>
        <v/>
      </c>
      <c r="GH42" s="89" t="str">
        <f aca="false">IF($B42=GH$12,$O42,"")</f>
        <v/>
      </c>
      <c r="GI42" s="89" t="str">
        <f aca="false">IF($B42=GI$12,$O42,"")</f>
        <v/>
      </c>
      <c r="GJ42" s="89" t="str">
        <f aca="false">IF($B42=GJ$12,$O42,"")</f>
        <v/>
      </c>
      <c r="GK42" s="89" t="str">
        <f aca="false">IF($B42=GK$12,$O42,"")</f>
        <v/>
      </c>
      <c r="GL42" s="89" t="str">
        <f aca="false">IF($B42=GL$12,$O42,"")</f>
        <v/>
      </c>
      <c r="GM42" s="89" t="str">
        <f aca="false">IF($B42=GM$12,$O42,"")</f>
        <v/>
      </c>
      <c r="GN42" s="89" t="str">
        <f aca="false">IF($B42=GN$12,$O42,"")</f>
        <v/>
      </c>
      <c r="GO42" s="89" t="str">
        <f aca="false">IF($B42=GO$12,$O42,"")</f>
        <v/>
      </c>
      <c r="GP42" s="89" t="str">
        <f aca="false">IF($B42=GP$12,$O42,"")</f>
        <v/>
      </c>
      <c r="GQ42" s="89" t="str">
        <f aca="false">IF($B42=GQ$12,$O42,"")</f>
        <v/>
      </c>
      <c r="GR42" s="89" t="str">
        <f aca="false">IF($B42=GR$12,$O42,"")</f>
        <v/>
      </c>
      <c r="GS42" s="89" t="str">
        <f aca="false">IF($B42=GS$12,$O42,"")</f>
        <v/>
      </c>
      <c r="GT42" s="89" t="str">
        <f aca="false">IF($B42=GT$12,$O42,"")</f>
        <v/>
      </c>
      <c r="GU42" s="89" t="str">
        <f aca="false">IF($B42=GU$12,$O42,"")</f>
        <v/>
      </c>
      <c r="GV42" s="89" t="str">
        <f aca="false">IF($B42=GV$12,$O42,"")</f>
        <v/>
      </c>
      <c r="GW42" s="89" t="str">
        <f aca="false">IF($B42=GW$12,$O42,"")</f>
        <v/>
      </c>
      <c r="GX42" s="89" t="str">
        <f aca="false">IF($B42=GX$12,$O42,"")</f>
        <v/>
      </c>
      <c r="GY42" s="89" t="str">
        <f aca="false">IF($B42=GY$12,$O42,"")</f>
        <v/>
      </c>
      <c r="GZ42" s="89" t="str">
        <f aca="false">IF($B42=GZ$12,$O42,"")</f>
        <v/>
      </c>
      <c r="HA42" s="89" t="str">
        <f aca="false">IF($B42=HA$12,$O42,"")</f>
        <v/>
      </c>
      <c r="HB42" s="89" t="str">
        <f aca="false">IF($B42=HB$12,$O42,"")</f>
        <v/>
      </c>
      <c r="HC42" s="89" t="str">
        <f aca="false">IF($B42=HC$12,$O42,"")</f>
        <v/>
      </c>
      <c r="HD42" s="89" t="str">
        <f aca="false">IF($B42=HD$12,$O42,"")</f>
        <v/>
      </c>
      <c r="HE42" s="89" t="str">
        <f aca="false">IF($B42=HE$12,$O42,"")</f>
        <v/>
      </c>
      <c r="HF42" s="89" t="str">
        <f aca="false">IF($B42=HF$12,$O42,"")</f>
        <v/>
      </c>
      <c r="HG42" s="89" t="str">
        <f aca="false">IF($B42=HG$12,$O42,"")</f>
        <v/>
      </c>
      <c r="HH42" s="89" t="str">
        <f aca="false">IF($B42=HH$12,$O42,"")</f>
        <v/>
      </c>
      <c r="HI42" s="89" t="str">
        <f aca="false">IF($B42=HI$12,$O42,"")</f>
        <v/>
      </c>
      <c r="HJ42" s="89" t="str">
        <f aca="false">IF($B42=HJ$12,$O42,"")</f>
        <v/>
      </c>
      <c r="HK42" s="89" t="str">
        <f aca="false">IF($B42=HK$12,$O42,"")</f>
        <v/>
      </c>
      <c r="HL42" s="89" t="str">
        <f aca="false">IF($B42=HL$12,$O42,"")</f>
        <v/>
      </c>
      <c r="HM42" s="89" t="str">
        <f aca="false">IF($B42=HM$12,$O42,"")</f>
        <v/>
      </c>
      <c r="HN42" s="89" t="str">
        <f aca="false">IF($B42=HN$12,$O42,"")</f>
        <v/>
      </c>
      <c r="HO42" s="89" t="str">
        <f aca="false">IF($B42=HO$12,$O42,"")</f>
        <v/>
      </c>
      <c r="HP42" s="89" t="str">
        <f aca="false">IF($B42=HP$12,$O42,"")</f>
        <v/>
      </c>
      <c r="HQ42" s="89" t="str">
        <f aca="false">IF($B42=HQ$12,$O42,"")</f>
        <v/>
      </c>
      <c r="HR42" s="90" t="str">
        <f aca="false">IF($B42=HR$12,$O42,"")</f>
        <v/>
      </c>
    </row>
    <row r="43" customFormat="false" ht="10.5" hidden="false" customHeight="true" outlineLevel="0" collapsed="false">
      <c r="A43" s="75"/>
      <c r="B43" s="76"/>
      <c r="C43" s="77" t="str">
        <f aca="false">IF(A43=0,"",VLOOKUP(A43,[3]CO!$A$3:$F$5311,2,0))</f>
        <v/>
      </c>
      <c r="D43" s="78"/>
      <c r="E43" s="78"/>
      <c r="F43" s="78"/>
      <c r="G43" s="79" t="str">
        <f aca="false">IF(A43=0,"",VLOOKUP(A43,[3]CO!$A$3:$F$5311,3,0))</f>
        <v/>
      </c>
      <c r="H43" s="130"/>
      <c r="I43" s="80"/>
      <c r="J43" s="80"/>
      <c r="K43" s="80"/>
      <c r="L43" s="80"/>
      <c r="M43" s="81" t="str">
        <f aca="false">IF(H43&gt;0,H43*Q$34/N43,IF(AND(L43&gt;0,I43&gt;0),L43*I43,IF(L43&gt;0,L43,"")))</f>
        <v/>
      </c>
      <c r="N43" s="81" t="str">
        <f aca="false">IF(B43=0,"",IF(H43="M",HLOOKUP(B43,$Y$12:$DT$13,2),IF(A43=0,"",VLOOKUP(A43,[3]CO!$A$3:$F$5311,4,0))))</f>
        <v/>
      </c>
      <c r="O43" s="81" t="str">
        <f aca="false">IF(L43=0,"",PRODUCT(M43:N43))</f>
        <v/>
      </c>
      <c r="P43" s="82"/>
      <c r="Q43" s="83" t="str">
        <f aca="false">IF(P43=0,"",(HLOOKUP(P43,$DW$12:$HR$13,2)))</f>
        <v/>
      </c>
      <c r="R43" s="84" t="str">
        <f aca="false">IF(S43=0,"",IF(OR(G43="PEON",G43="OF",G43="JARD",G43="CARP",G43="MAESTRO",G43="SOLD",G43="BGRO",G43="CHOFER",G43="AYTE",G43="S.INTTE.",G43="ASEO",G43="P.PISOS",G43="VELADOR",G43="RESID",G43="PINTOR",G43="ELECT",G43="AZULE",G43="AUX CONT.",G43="SECRETARIA",G43="AUXILIAR ADMTVO.",G43="ARQUITECTO",G43="DIBUJANTE",G43="AUX. DE RESIDENTE",G43="TOPOGRAFIA"),VLOOKUP(B43,P$14:Q$357,2),"")*S43)</f>
        <v/>
      </c>
      <c r="S43" s="51"/>
      <c r="T43" s="67" t="str">
        <f aca="false">IF(A43=0,"",VLOOKUP(A43,[3]CO!$A$3:$F$5302,5,0))</f>
        <v/>
      </c>
      <c r="U43" s="56" t="n">
        <f aca="false">IF(T43=1,O43*0.1,)</f>
        <v>0</v>
      </c>
      <c r="V43" s="68"/>
      <c r="W43" s="91"/>
      <c r="X43" s="91"/>
      <c r="Y43" s="85" t="str">
        <f aca="false">IF($B43=Y$12,$U43,"")</f>
        <v/>
      </c>
      <c r="Z43" s="86" t="str">
        <f aca="false">IF($B43=Z$12,$U43,"")</f>
        <v/>
      </c>
      <c r="AA43" s="86" t="str">
        <f aca="false">IF($B43=AA$12,$U43,"")</f>
        <v/>
      </c>
      <c r="AB43" s="86" t="str">
        <f aca="false">IF($B43=AB$12,$U43,"")</f>
        <v/>
      </c>
      <c r="AC43" s="86" t="str">
        <f aca="false">IF($B43=AC$12,$U43,"")</f>
        <v/>
      </c>
      <c r="AD43" s="86" t="str">
        <f aca="false">IF($B43=AD$12,$U43,"")</f>
        <v/>
      </c>
      <c r="AE43" s="86" t="str">
        <f aca="false">IF($B43=AE$12,$U43,"")</f>
        <v/>
      </c>
      <c r="AF43" s="86" t="str">
        <f aca="false">IF($B43=AF$12,$U43,"")</f>
        <v/>
      </c>
      <c r="AG43" s="86" t="str">
        <f aca="false">IF($B43=AG$12,$U43,"")</f>
        <v/>
      </c>
      <c r="AH43" s="86" t="str">
        <f aca="false">IF($B43=AH$12,$U43,"")</f>
        <v/>
      </c>
      <c r="AI43" s="86" t="str">
        <f aca="false">IF($B43=AI$12,$U43,"")</f>
        <v/>
      </c>
      <c r="AJ43" s="86" t="str">
        <f aca="false">IF($B43=AJ$12,$U43,"")</f>
        <v/>
      </c>
      <c r="AK43" s="86" t="str">
        <f aca="false">IF($B43=AK$12,$U43,"")</f>
        <v/>
      </c>
      <c r="AL43" s="86" t="str">
        <f aca="false">IF($B43=AL$12,$U43,"")</f>
        <v/>
      </c>
      <c r="AM43" s="86" t="str">
        <f aca="false">IF($B43=AM$12,$U43,"")</f>
        <v/>
      </c>
      <c r="AN43" s="86" t="str">
        <f aca="false">IF($B43=AN$12,$U43,"")</f>
        <v/>
      </c>
      <c r="AO43" s="86" t="str">
        <f aca="false">IF($B43=AO$12,$U43,"")</f>
        <v/>
      </c>
      <c r="AP43" s="86" t="str">
        <f aca="false">IF($B43=AP$12,$U43,"")</f>
        <v/>
      </c>
      <c r="AQ43" s="86" t="str">
        <f aca="false">IF($B43=AQ$12,$U43,"")</f>
        <v/>
      </c>
      <c r="AR43" s="86" t="str">
        <f aca="false">IF($B43=AR$12,$U43,"")</f>
        <v/>
      </c>
      <c r="AS43" s="86" t="str">
        <f aca="false">IF($B43=AS$12,$U43,"")</f>
        <v/>
      </c>
      <c r="AT43" s="86" t="str">
        <f aca="false">IF($B43=AT$12,$U43,"")</f>
        <v/>
      </c>
      <c r="AU43" s="86" t="str">
        <f aca="false">IF($B43=AU$12,$U43,"")</f>
        <v/>
      </c>
      <c r="AV43" s="86" t="str">
        <f aca="false">IF($B43=AV$12,$U43,"")</f>
        <v/>
      </c>
      <c r="AW43" s="86" t="str">
        <f aca="false">IF($B43=AW$12,$U43,"")</f>
        <v/>
      </c>
      <c r="AX43" s="86" t="str">
        <f aca="false">IF($B43=AX$12,$U43,"")</f>
        <v/>
      </c>
      <c r="AY43" s="86" t="str">
        <f aca="false">IF($B43=AY$12,$U43,"")</f>
        <v/>
      </c>
      <c r="AZ43" s="86" t="str">
        <f aca="false">IF($B43=AZ$12,$U43,"")</f>
        <v/>
      </c>
      <c r="BA43" s="86" t="str">
        <f aca="false">IF($B43=BA$12,$U43,"")</f>
        <v/>
      </c>
      <c r="BB43" s="86" t="str">
        <f aca="false">IF($B43=BB$12,$U43,"")</f>
        <v/>
      </c>
      <c r="BC43" s="86" t="str">
        <f aca="false">IF($B43=BC$12,$U43,"")</f>
        <v/>
      </c>
      <c r="BD43" s="86" t="str">
        <f aca="false">IF($B43=BD$12,$U43,"")</f>
        <v/>
      </c>
      <c r="BE43" s="86" t="str">
        <f aca="false">IF($B43=BE$12,$U43,"")</f>
        <v/>
      </c>
      <c r="BF43" s="86" t="str">
        <f aca="false">IF($B43=BF$12,$U43,"")</f>
        <v/>
      </c>
      <c r="BG43" s="86" t="str">
        <f aca="false">IF($B43=BG$12,$U43,"")</f>
        <v/>
      </c>
      <c r="BH43" s="86" t="str">
        <f aca="false">IF($B43=BH$12,$U43,"")</f>
        <v/>
      </c>
      <c r="BI43" s="86" t="str">
        <f aca="false">IF($B43=BI$12,$U43,"")</f>
        <v/>
      </c>
      <c r="BJ43" s="86" t="str">
        <f aca="false">IF($B43=BJ$12,$U43,"")</f>
        <v/>
      </c>
      <c r="BK43" s="86" t="str">
        <f aca="false">IF($B43=BK$12,$U43,"")</f>
        <v/>
      </c>
      <c r="BL43" s="86" t="str">
        <f aca="false">IF($B43=BL$12,$U43,"")</f>
        <v/>
      </c>
      <c r="BM43" s="86" t="str">
        <f aca="false">IF($B43=BM$12,$U43,"")</f>
        <v/>
      </c>
      <c r="BN43" s="86" t="str">
        <f aca="false">IF($B43=BN$12,$U43,"")</f>
        <v/>
      </c>
      <c r="BO43" s="86" t="str">
        <f aca="false">IF($B43=BO$12,$U43,"")</f>
        <v/>
      </c>
      <c r="BP43" s="86" t="str">
        <f aca="false">IF($B43=BP$12,$U43,"")</f>
        <v/>
      </c>
      <c r="BQ43" s="86" t="str">
        <f aca="false">IF($B43=BQ$12,$U43,"")</f>
        <v/>
      </c>
      <c r="BR43" s="86" t="str">
        <f aca="false">IF($B43=BR$12,$U43,"")</f>
        <v/>
      </c>
      <c r="BS43" s="86" t="str">
        <f aca="false">IF($B43=BS$12,$U43,"")</f>
        <v/>
      </c>
      <c r="BT43" s="86" t="str">
        <f aca="false">IF($B43=BT$12,$U43,"")</f>
        <v/>
      </c>
      <c r="BU43" s="86" t="str">
        <f aca="false">IF($B43=BU$12,$U43,"")</f>
        <v/>
      </c>
      <c r="BV43" s="86" t="str">
        <f aca="false">IF($B43=BV$12,$U43,"")</f>
        <v/>
      </c>
      <c r="BW43" s="86" t="str">
        <f aca="false">IF($B43=BW$12,$U43,"")</f>
        <v/>
      </c>
      <c r="BX43" s="86" t="str">
        <f aca="false">IF($B43=BX$12,$U43,"")</f>
        <v/>
      </c>
      <c r="BY43" s="86" t="str">
        <f aca="false">IF($B43=BY$12,$U43,"")</f>
        <v/>
      </c>
      <c r="BZ43" s="86" t="str">
        <f aca="false">IF($B43=BZ$12,$U43,"")</f>
        <v/>
      </c>
      <c r="CA43" s="86" t="str">
        <f aca="false">IF($B43=CA$12,$U43,"")</f>
        <v/>
      </c>
      <c r="CB43" s="86" t="str">
        <f aca="false">IF($B43=CB$12,$U43,"")</f>
        <v/>
      </c>
      <c r="CC43" s="86" t="str">
        <f aca="false">IF($B43=CC$12,$U43,"")</f>
        <v/>
      </c>
      <c r="CD43" s="86" t="str">
        <f aca="false">IF($B43=CD$12,$U43,"")</f>
        <v/>
      </c>
      <c r="CE43" s="86" t="str">
        <f aca="false">IF($B43=CE$12,$U43,"")</f>
        <v/>
      </c>
      <c r="CF43" s="86" t="str">
        <f aca="false">IF($B43=CF$12,$U43,"")</f>
        <v/>
      </c>
      <c r="CG43" s="86" t="str">
        <f aca="false">IF($B43=CG$12,$U43,"")</f>
        <v/>
      </c>
      <c r="CH43" s="86" t="str">
        <f aca="false">IF($B43=CH$12,$U43,"")</f>
        <v/>
      </c>
      <c r="CI43" s="86" t="str">
        <f aca="false">IF($B43=CI$12,$U43,"")</f>
        <v/>
      </c>
      <c r="CJ43" s="86" t="str">
        <f aca="false">IF($B43=CJ$12,$U43,"")</f>
        <v/>
      </c>
      <c r="CK43" s="86" t="str">
        <f aca="false">IF($B43=CK$12,$U43,"")</f>
        <v/>
      </c>
      <c r="CL43" s="86" t="str">
        <f aca="false">IF($B43=CL$12,$U43,"")</f>
        <v/>
      </c>
      <c r="CM43" s="86" t="str">
        <f aca="false">IF($B43=CM$12,$U43,"")</f>
        <v/>
      </c>
      <c r="CN43" s="86" t="str">
        <f aca="false">IF($B43=CN$12,$U43,"")</f>
        <v/>
      </c>
      <c r="CO43" s="86" t="str">
        <f aca="false">IF($B43=CO$12,$U43,"")</f>
        <v/>
      </c>
      <c r="CP43" s="86" t="str">
        <f aca="false">IF($B43=CP$12,$U43,"")</f>
        <v/>
      </c>
      <c r="CQ43" s="86" t="str">
        <f aca="false">IF($B43=CQ$12,$U43,"")</f>
        <v/>
      </c>
      <c r="CR43" s="86" t="str">
        <f aca="false">IF($B43=CR$12,$U43,"")</f>
        <v/>
      </c>
      <c r="CS43" s="86" t="str">
        <f aca="false">IF($B43=CS$12,$U43,"")</f>
        <v/>
      </c>
      <c r="CT43" s="86" t="str">
        <f aca="false">IF($B43=CT$12,$U43,"")</f>
        <v/>
      </c>
      <c r="CU43" s="86" t="str">
        <f aca="false">IF($B43=CU$12,$U43,"")</f>
        <v/>
      </c>
      <c r="CV43" s="86" t="str">
        <f aca="false">IF($B43=CV$12,$U43,"")</f>
        <v/>
      </c>
      <c r="CW43" s="86" t="str">
        <f aca="false">IF($B43=CW$12,$U43,"")</f>
        <v/>
      </c>
      <c r="CX43" s="86" t="str">
        <f aca="false">IF($B43=CX$12,$U43,"")</f>
        <v/>
      </c>
      <c r="CY43" s="86" t="str">
        <f aca="false">IF($B43=CY$12,$U43,"")</f>
        <v/>
      </c>
      <c r="CZ43" s="86" t="str">
        <f aca="false">IF($B43=CZ$12,$U43,"")</f>
        <v/>
      </c>
      <c r="DA43" s="86" t="str">
        <f aca="false">IF($B43=DA$12,$U43,"")</f>
        <v/>
      </c>
      <c r="DB43" s="86" t="str">
        <f aca="false">IF($B43=DB$12,$U43,"")</f>
        <v/>
      </c>
      <c r="DC43" s="86" t="str">
        <f aca="false">IF($B43=DC$12,$U43,"")</f>
        <v/>
      </c>
      <c r="DD43" s="86" t="str">
        <f aca="false">IF($B43=DD$12,$U43,"")</f>
        <v/>
      </c>
      <c r="DE43" s="86" t="str">
        <f aca="false">IF($B43=DE$12,$U43,"")</f>
        <v/>
      </c>
      <c r="DF43" s="86" t="str">
        <f aca="false">IF($B43=DF$12,$U43,"")</f>
        <v/>
      </c>
      <c r="DG43" s="86" t="str">
        <f aca="false">IF($B43=DG$12,$U43,"")</f>
        <v/>
      </c>
      <c r="DH43" s="86" t="str">
        <f aca="false">IF($B43=DH$12,$U43,"")</f>
        <v/>
      </c>
      <c r="DI43" s="86" t="str">
        <f aca="false">IF($B43=DI$12,$U43,"")</f>
        <v/>
      </c>
      <c r="DJ43" s="86" t="str">
        <f aca="false">IF($B43=DJ$12,$U43,"")</f>
        <v/>
      </c>
      <c r="DK43" s="86" t="str">
        <f aca="false">IF($B43=DK$12,$U43,"")</f>
        <v/>
      </c>
      <c r="DL43" s="86" t="str">
        <f aca="false">IF($B43=DL$12,$U43,"")</f>
        <v/>
      </c>
      <c r="DM43" s="86" t="str">
        <f aca="false">IF($B43=DM$12,$U43,"")</f>
        <v/>
      </c>
      <c r="DN43" s="86" t="str">
        <f aca="false">IF($B43=DN$12,$U43,"")</f>
        <v/>
      </c>
      <c r="DO43" s="86" t="str">
        <f aca="false">IF($B43=DO$12,$U43,"")</f>
        <v/>
      </c>
      <c r="DP43" s="86" t="str">
        <f aca="false">IF($B43=DP$12,$U43,"")</f>
        <v/>
      </c>
      <c r="DQ43" s="86" t="str">
        <f aca="false">IF($B43=DQ$12,$U43,"")</f>
        <v/>
      </c>
      <c r="DR43" s="86" t="str">
        <f aca="false">IF($B43=DR$12,$U43,"")</f>
        <v/>
      </c>
      <c r="DS43" s="86" t="str">
        <f aca="false">IF($B43=DS$12,$U43,"")</f>
        <v/>
      </c>
      <c r="DT43" s="87" t="str">
        <f aca="false">IF($B43=DT$12,$U43,"")</f>
        <v/>
      </c>
      <c r="DU43" s="56"/>
      <c r="DV43" s="91"/>
      <c r="DW43" s="88" t="str">
        <f aca="false">IF($B43=DW$12,$O43,"")</f>
        <v/>
      </c>
      <c r="DX43" s="89" t="str">
        <f aca="false">IF($B43=DX$12,$O43,"")</f>
        <v/>
      </c>
      <c r="DY43" s="89" t="str">
        <f aca="false">IF($B43=DY$12,$O43,"")</f>
        <v/>
      </c>
      <c r="DZ43" s="89" t="str">
        <f aca="false">IF($B43=DZ$12,$O43,"")</f>
        <v/>
      </c>
      <c r="EA43" s="89" t="str">
        <f aca="false">IF($B43=EA$12,$O43,"")</f>
        <v/>
      </c>
      <c r="EB43" s="89" t="str">
        <f aca="false">IF($B43=EB$12,$O43,"")</f>
        <v/>
      </c>
      <c r="EC43" s="89" t="str">
        <f aca="false">IF($B43=EC$12,$O43,"")</f>
        <v/>
      </c>
      <c r="ED43" s="89" t="str">
        <f aca="false">IF($B43=ED$12,$O43,"")</f>
        <v/>
      </c>
      <c r="EE43" s="89" t="str">
        <f aca="false">IF($B43=EE$12,$O43,"")</f>
        <v/>
      </c>
      <c r="EF43" s="89" t="str">
        <f aca="false">IF($B43=EF$12,$O43,"")</f>
        <v/>
      </c>
      <c r="EG43" s="89" t="str">
        <f aca="false">IF($B43=EG$12,$O43,"")</f>
        <v/>
      </c>
      <c r="EH43" s="89" t="str">
        <f aca="false">IF($B43=EH$12,$O43,"")</f>
        <v/>
      </c>
      <c r="EI43" s="89" t="str">
        <f aca="false">IF($B43=EI$12,$O43,"")</f>
        <v/>
      </c>
      <c r="EJ43" s="89" t="str">
        <f aca="false">IF($B43=EJ$12,$O43,"")</f>
        <v/>
      </c>
      <c r="EK43" s="89" t="str">
        <f aca="false">IF($B43=EK$12,$O43,"")</f>
        <v/>
      </c>
      <c r="EL43" s="89" t="str">
        <f aca="false">IF($B43=EL$12,$O43,"")</f>
        <v/>
      </c>
      <c r="EM43" s="89" t="str">
        <f aca="false">IF($B43=EM$12,$O43,"")</f>
        <v/>
      </c>
      <c r="EN43" s="89" t="str">
        <f aca="false">IF($B43=EN$12,$O43,"")</f>
        <v/>
      </c>
      <c r="EO43" s="89" t="str">
        <f aca="false">IF($B43=EO$12,$O43,"")</f>
        <v/>
      </c>
      <c r="EP43" s="89" t="str">
        <f aca="false">IF($B43=EP$12,$O43,"")</f>
        <v/>
      </c>
      <c r="EQ43" s="89" t="str">
        <f aca="false">IF($B43=EQ$12,$O43,"")</f>
        <v/>
      </c>
      <c r="ER43" s="89" t="str">
        <f aca="false">IF($B43=ER$12,$O43,"")</f>
        <v/>
      </c>
      <c r="ES43" s="89" t="str">
        <f aca="false">IF($B43=ES$12,$O43,"")</f>
        <v/>
      </c>
      <c r="ET43" s="89" t="str">
        <f aca="false">IF($B43=ET$12,$O43,"")</f>
        <v/>
      </c>
      <c r="EU43" s="89" t="str">
        <f aca="false">IF($B43=EU$12,$O43,"")</f>
        <v/>
      </c>
      <c r="EV43" s="89" t="str">
        <f aca="false">IF($B43=EV$12,$O43,"")</f>
        <v/>
      </c>
      <c r="EW43" s="89" t="str">
        <f aca="false">IF($B43=EW$12,$O43,"")</f>
        <v/>
      </c>
      <c r="EX43" s="89" t="str">
        <f aca="false">IF($B43=EX$12,$O43,"")</f>
        <v/>
      </c>
      <c r="EY43" s="89" t="str">
        <f aca="false">IF($B43=EY$12,$O43,"")</f>
        <v/>
      </c>
      <c r="EZ43" s="89" t="str">
        <f aca="false">IF($B43=EZ$12,$O43,"")</f>
        <v/>
      </c>
      <c r="FA43" s="89" t="str">
        <f aca="false">IF($B43=FA$12,$O43,"")</f>
        <v/>
      </c>
      <c r="FB43" s="89" t="str">
        <f aca="false">IF($B43=FB$12,$O43,"")</f>
        <v/>
      </c>
      <c r="FC43" s="89" t="str">
        <f aca="false">IF($B43=FC$12,$O43,"")</f>
        <v/>
      </c>
      <c r="FD43" s="89" t="str">
        <f aca="false">IF($B43=FD$12,$O43,"")</f>
        <v/>
      </c>
      <c r="FE43" s="89" t="str">
        <f aca="false">IF($B43=FE$12,$O43,"")</f>
        <v/>
      </c>
      <c r="FF43" s="89" t="str">
        <f aca="false">IF($B43=FF$12,$O43,"")</f>
        <v/>
      </c>
      <c r="FG43" s="89" t="str">
        <f aca="false">IF($B43=FG$12,$O43,"")</f>
        <v/>
      </c>
      <c r="FH43" s="89" t="str">
        <f aca="false">IF($B43=FH$12,$O43,"")</f>
        <v/>
      </c>
      <c r="FI43" s="89" t="str">
        <f aca="false">IF($B43=FI$12,$O43,"")</f>
        <v/>
      </c>
      <c r="FJ43" s="89" t="str">
        <f aca="false">IF($B43=FJ$12,$O43,"")</f>
        <v/>
      </c>
      <c r="FK43" s="89" t="str">
        <f aca="false">IF($B43=FK$12,$O43,"")</f>
        <v/>
      </c>
      <c r="FL43" s="89" t="str">
        <f aca="false">IF($B43=FL$12,$O43,"")</f>
        <v/>
      </c>
      <c r="FM43" s="89" t="str">
        <f aca="false">IF($B43=FM$12,$O43,"")</f>
        <v/>
      </c>
      <c r="FN43" s="89" t="str">
        <f aca="false">IF($B43=FN$12,$O43,"")</f>
        <v/>
      </c>
      <c r="FO43" s="89" t="str">
        <f aca="false">IF($B43=FO$12,$O43,"")</f>
        <v/>
      </c>
      <c r="FP43" s="89" t="str">
        <f aca="false">IF($B43=FP$12,$O43,"")</f>
        <v/>
      </c>
      <c r="FQ43" s="89" t="str">
        <f aca="false">IF($B43=FQ$12,$O43,"")</f>
        <v/>
      </c>
      <c r="FR43" s="89" t="str">
        <f aca="false">IF($B43=FR$12,$O43,"")</f>
        <v/>
      </c>
      <c r="FS43" s="89" t="str">
        <f aca="false">IF($B43=FS$12,$O43,"")</f>
        <v/>
      </c>
      <c r="FT43" s="89" t="str">
        <f aca="false">IF($B43=FT$12,$O43,"")</f>
        <v/>
      </c>
      <c r="FU43" s="89" t="str">
        <f aca="false">IF($B43=FU$12,$O43,"")</f>
        <v/>
      </c>
      <c r="FV43" s="89" t="str">
        <f aca="false">IF($B43=FV$12,$O43,"")</f>
        <v/>
      </c>
      <c r="FW43" s="89" t="str">
        <f aca="false">IF($B43=FW$12,$O43,"")</f>
        <v/>
      </c>
      <c r="FX43" s="89" t="str">
        <f aca="false">IF($B43=FX$12,$O43,"")</f>
        <v/>
      </c>
      <c r="FY43" s="89" t="str">
        <f aca="false">IF($B43=FY$12,$O43,"")</f>
        <v/>
      </c>
      <c r="FZ43" s="89" t="str">
        <f aca="false">IF($B43=FZ$12,$O43,"")</f>
        <v/>
      </c>
      <c r="GA43" s="89" t="str">
        <f aca="false">IF($B43=GA$12,$O43,"")</f>
        <v/>
      </c>
      <c r="GB43" s="89" t="str">
        <f aca="false">IF($B43=GB$12,$O43,"")</f>
        <v/>
      </c>
      <c r="GC43" s="89" t="str">
        <f aca="false">IF($B43=GC$12,$O43,"")</f>
        <v/>
      </c>
      <c r="GD43" s="89" t="str">
        <f aca="false">IF($B43=GD$12,$O43,"")</f>
        <v/>
      </c>
      <c r="GE43" s="89" t="str">
        <f aca="false">IF($B43=GE$12,$O43,"")</f>
        <v/>
      </c>
      <c r="GF43" s="89" t="str">
        <f aca="false">IF($B43=GF$12,$O43,"")</f>
        <v/>
      </c>
      <c r="GG43" s="89" t="str">
        <f aca="false">IF($B43=GG$12,$O43,"")</f>
        <v/>
      </c>
      <c r="GH43" s="89" t="str">
        <f aca="false">IF($B43=GH$12,$O43,"")</f>
        <v/>
      </c>
      <c r="GI43" s="89" t="str">
        <f aca="false">IF($B43=GI$12,$O43,"")</f>
        <v/>
      </c>
      <c r="GJ43" s="89" t="str">
        <f aca="false">IF($B43=GJ$12,$O43,"")</f>
        <v/>
      </c>
      <c r="GK43" s="89" t="str">
        <f aca="false">IF($B43=GK$12,$O43,"")</f>
        <v/>
      </c>
      <c r="GL43" s="89" t="str">
        <f aca="false">IF($B43=GL$12,$O43,"")</f>
        <v/>
      </c>
      <c r="GM43" s="89" t="str">
        <f aca="false">IF($B43=GM$12,$O43,"")</f>
        <v/>
      </c>
      <c r="GN43" s="89" t="str">
        <f aca="false">IF($B43=GN$12,$O43,"")</f>
        <v/>
      </c>
      <c r="GO43" s="89" t="str">
        <f aca="false">IF($B43=GO$12,$O43,"")</f>
        <v/>
      </c>
      <c r="GP43" s="89" t="str">
        <f aca="false">IF($B43=GP$12,$O43,"")</f>
        <v/>
      </c>
      <c r="GQ43" s="89" t="str">
        <f aca="false">IF($B43=GQ$12,$O43,"")</f>
        <v/>
      </c>
      <c r="GR43" s="89" t="str">
        <f aca="false">IF($B43=GR$12,$O43,"")</f>
        <v/>
      </c>
      <c r="GS43" s="89" t="str">
        <f aca="false">IF($B43=GS$12,$O43,"")</f>
        <v/>
      </c>
      <c r="GT43" s="89" t="str">
        <f aca="false">IF($B43=GT$12,$O43,"")</f>
        <v/>
      </c>
      <c r="GU43" s="89" t="str">
        <f aca="false">IF($B43=GU$12,$O43,"")</f>
        <v/>
      </c>
      <c r="GV43" s="89" t="str">
        <f aca="false">IF($B43=GV$12,$O43,"")</f>
        <v/>
      </c>
      <c r="GW43" s="89" t="str">
        <f aca="false">IF($B43=GW$12,$O43,"")</f>
        <v/>
      </c>
      <c r="GX43" s="89" t="str">
        <f aca="false">IF($B43=GX$12,$O43,"")</f>
        <v/>
      </c>
      <c r="GY43" s="89" t="str">
        <f aca="false">IF($B43=GY$12,$O43,"")</f>
        <v/>
      </c>
      <c r="GZ43" s="89" t="str">
        <f aca="false">IF($B43=GZ$12,$O43,"")</f>
        <v/>
      </c>
      <c r="HA43" s="89" t="str">
        <f aca="false">IF($B43=HA$12,$O43,"")</f>
        <v/>
      </c>
      <c r="HB43" s="89" t="str">
        <f aca="false">IF($B43=HB$12,$O43,"")</f>
        <v/>
      </c>
      <c r="HC43" s="89" t="str">
        <f aca="false">IF($B43=HC$12,$O43,"")</f>
        <v/>
      </c>
      <c r="HD43" s="89" t="str">
        <f aca="false">IF($B43=HD$12,$O43,"")</f>
        <v/>
      </c>
      <c r="HE43" s="89" t="str">
        <f aca="false">IF($B43=HE$12,$O43,"")</f>
        <v/>
      </c>
      <c r="HF43" s="89" t="str">
        <f aca="false">IF($B43=HF$12,$O43,"")</f>
        <v/>
      </c>
      <c r="HG43" s="89" t="str">
        <f aca="false">IF($B43=HG$12,$O43,"")</f>
        <v/>
      </c>
      <c r="HH43" s="89" t="str">
        <f aca="false">IF($B43=HH$12,$O43,"")</f>
        <v/>
      </c>
      <c r="HI43" s="89" t="str">
        <f aca="false">IF($B43=HI$12,$O43,"")</f>
        <v/>
      </c>
      <c r="HJ43" s="89" t="str">
        <f aca="false">IF($B43=HJ$12,$O43,"")</f>
        <v/>
      </c>
      <c r="HK43" s="89" t="str">
        <f aca="false">IF($B43=HK$12,$O43,"")</f>
        <v/>
      </c>
      <c r="HL43" s="89" t="str">
        <f aca="false">IF($B43=HL$12,$O43,"")</f>
        <v/>
      </c>
      <c r="HM43" s="89" t="str">
        <f aca="false">IF($B43=HM$12,$O43,"")</f>
        <v/>
      </c>
      <c r="HN43" s="89" t="str">
        <f aca="false">IF($B43=HN$12,$O43,"")</f>
        <v/>
      </c>
      <c r="HO43" s="89" t="str">
        <f aca="false">IF($B43=HO$12,$O43,"")</f>
        <v/>
      </c>
      <c r="HP43" s="89" t="str">
        <f aca="false">IF($B43=HP$12,$O43,"")</f>
        <v/>
      </c>
      <c r="HQ43" s="89" t="str">
        <f aca="false">IF($B43=HQ$12,$O43,"")</f>
        <v/>
      </c>
      <c r="HR43" s="90" t="str">
        <f aca="false">IF($B43=HR$12,$O43,"")</f>
        <v/>
      </c>
    </row>
    <row r="44" customFormat="false" ht="10.5" hidden="false" customHeight="true" outlineLevel="0" collapsed="false">
      <c r="A44" s="75"/>
      <c r="B44" s="76"/>
      <c r="C44" s="77" t="str">
        <f aca="false">IF(A44=0,"",VLOOKUP(A44,[3]CO!$A$3:$F$5311,2,0))</f>
        <v/>
      </c>
      <c r="D44" s="78"/>
      <c r="E44" s="78"/>
      <c r="F44" s="78"/>
      <c r="G44" s="79" t="str">
        <f aca="false">IF(A44=0,"",VLOOKUP(A44,[3]CO!$A$3:$F$5311,3,0))</f>
        <v/>
      </c>
      <c r="H44" s="130"/>
      <c r="I44" s="80"/>
      <c r="J44" s="80"/>
      <c r="K44" s="80"/>
      <c r="L44" s="80"/>
      <c r="M44" s="81" t="str">
        <f aca="false">IF(H44&gt;0,H44*Q$34/N44,IF(AND(L44&gt;0,I44&gt;0),L44*I44,IF(L44&gt;0,L44,"")))</f>
        <v/>
      </c>
      <c r="N44" s="81" t="str">
        <f aca="false">IF(B44=0,"",IF(H44="M",HLOOKUP(B44,$Y$12:$DT$13,2),IF(A44=0,"",VLOOKUP(A44,[3]CO!$A$3:$F$5311,4,0))))</f>
        <v/>
      </c>
      <c r="O44" s="81" t="str">
        <f aca="false">IF(L44=0,"",PRODUCT(M44:N44))</f>
        <v/>
      </c>
      <c r="P44" s="82"/>
      <c r="Q44" s="83" t="str">
        <f aca="false">IF(P44=0,"",(HLOOKUP(P44,$DW$12:$HR$13,2)))</f>
        <v/>
      </c>
      <c r="R44" s="84" t="str">
        <f aca="false">IF(S44=0,"",IF(OR(G44="PEON",G44="OF",G44="JARD",G44="CARP",G44="MAESTRO",G44="SOLD",G44="BGRO",G44="CHOFER",G44="AYTE",G44="S.INTTE.",G44="ASEO",G44="P.PISOS",G44="VELADOR",G44="RESID",G44="PINTOR",G44="ELECT",G44="AZULE",G44="AUX CONT.",G44="SECRETARIA",G44="AUXILIAR ADMTVO.",G44="ARQUITECTO",G44="DIBUJANTE",G44="AUX. DE RESIDENTE",G44="TOPOGRAFIA"),VLOOKUP(B44,P$14:Q$357,2),"")*S44)</f>
        <v/>
      </c>
      <c r="S44" s="51"/>
      <c r="T44" s="67" t="str">
        <f aca="false">IF(A44=0,"",VLOOKUP(A44,[3]CO!$A$3:$F$5302,5,0))</f>
        <v/>
      </c>
      <c r="U44" s="56" t="n">
        <f aca="false">IF(T44=1,O44*0.1,)</f>
        <v>0</v>
      </c>
      <c r="V44" s="68"/>
      <c r="W44" s="91"/>
      <c r="X44" s="91"/>
      <c r="Y44" s="85" t="str">
        <f aca="false">IF($B44=Y$12,$U44,"")</f>
        <v/>
      </c>
      <c r="Z44" s="86" t="str">
        <f aca="false">IF($B44=Z$12,$U44,"")</f>
        <v/>
      </c>
      <c r="AA44" s="86" t="str">
        <f aca="false">IF($B44=AA$12,$U44,"")</f>
        <v/>
      </c>
      <c r="AB44" s="86" t="str">
        <f aca="false">IF($B44=AB$12,$U44,"")</f>
        <v/>
      </c>
      <c r="AC44" s="86" t="str">
        <f aca="false">IF($B44=AC$12,$U44,"")</f>
        <v/>
      </c>
      <c r="AD44" s="86" t="str">
        <f aca="false">IF($B44=AD$12,$U44,"")</f>
        <v/>
      </c>
      <c r="AE44" s="86" t="str">
        <f aca="false">IF($B44=AE$12,$U44,"")</f>
        <v/>
      </c>
      <c r="AF44" s="86" t="str">
        <f aca="false">IF($B44=AF$12,$U44,"")</f>
        <v/>
      </c>
      <c r="AG44" s="86" t="str">
        <f aca="false">IF($B44=AG$12,$U44,"")</f>
        <v/>
      </c>
      <c r="AH44" s="86" t="str">
        <f aca="false">IF($B44=AH$12,$U44,"")</f>
        <v/>
      </c>
      <c r="AI44" s="86" t="str">
        <f aca="false">IF($B44=AI$12,$U44,"")</f>
        <v/>
      </c>
      <c r="AJ44" s="86" t="str">
        <f aca="false">IF($B44=AJ$12,$U44,"")</f>
        <v/>
      </c>
      <c r="AK44" s="86" t="str">
        <f aca="false">IF($B44=AK$12,$U44,"")</f>
        <v/>
      </c>
      <c r="AL44" s="86" t="str">
        <f aca="false">IF($B44=AL$12,$U44,"")</f>
        <v/>
      </c>
      <c r="AM44" s="86" t="str">
        <f aca="false">IF($B44=AM$12,$U44,"")</f>
        <v/>
      </c>
      <c r="AN44" s="86" t="str">
        <f aca="false">IF($B44=AN$12,$U44,"")</f>
        <v/>
      </c>
      <c r="AO44" s="86" t="str">
        <f aca="false">IF($B44=AO$12,$U44,"")</f>
        <v/>
      </c>
      <c r="AP44" s="86" t="str">
        <f aca="false">IF($B44=AP$12,$U44,"")</f>
        <v/>
      </c>
      <c r="AQ44" s="86" t="str">
        <f aca="false">IF($B44=AQ$12,$U44,"")</f>
        <v/>
      </c>
      <c r="AR44" s="86" t="str">
        <f aca="false">IF($B44=AR$12,$U44,"")</f>
        <v/>
      </c>
      <c r="AS44" s="86" t="str">
        <f aca="false">IF($B44=AS$12,$U44,"")</f>
        <v/>
      </c>
      <c r="AT44" s="86" t="str">
        <f aca="false">IF($B44=AT$12,$U44,"")</f>
        <v/>
      </c>
      <c r="AU44" s="86" t="str">
        <f aca="false">IF($B44=AU$12,$U44,"")</f>
        <v/>
      </c>
      <c r="AV44" s="86" t="str">
        <f aca="false">IF($B44=AV$12,$U44,"")</f>
        <v/>
      </c>
      <c r="AW44" s="86" t="str">
        <f aca="false">IF($B44=AW$12,$U44,"")</f>
        <v/>
      </c>
      <c r="AX44" s="86" t="str">
        <f aca="false">IF($B44=AX$12,$U44,"")</f>
        <v/>
      </c>
      <c r="AY44" s="86" t="str">
        <f aca="false">IF($B44=AY$12,$U44,"")</f>
        <v/>
      </c>
      <c r="AZ44" s="86" t="str">
        <f aca="false">IF($B44=AZ$12,$U44,"")</f>
        <v/>
      </c>
      <c r="BA44" s="86" t="str">
        <f aca="false">IF($B44=BA$12,$U44,"")</f>
        <v/>
      </c>
      <c r="BB44" s="86" t="str">
        <f aca="false">IF($B44=BB$12,$U44,"")</f>
        <v/>
      </c>
      <c r="BC44" s="86" t="str">
        <f aca="false">IF($B44=BC$12,$U44,"")</f>
        <v/>
      </c>
      <c r="BD44" s="86" t="str">
        <f aca="false">IF($B44=BD$12,$U44,"")</f>
        <v/>
      </c>
      <c r="BE44" s="86" t="str">
        <f aca="false">IF($B44=BE$12,$U44,"")</f>
        <v/>
      </c>
      <c r="BF44" s="86" t="str">
        <f aca="false">IF($B44=BF$12,$U44,"")</f>
        <v/>
      </c>
      <c r="BG44" s="86" t="str">
        <f aca="false">IF($B44=BG$12,$U44,"")</f>
        <v/>
      </c>
      <c r="BH44" s="86" t="str">
        <f aca="false">IF($B44=BH$12,$U44,"")</f>
        <v/>
      </c>
      <c r="BI44" s="86" t="str">
        <f aca="false">IF($B44=BI$12,$U44,"")</f>
        <v/>
      </c>
      <c r="BJ44" s="86" t="str">
        <f aca="false">IF($B44=BJ$12,$U44,"")</f>
        <v/>
      </c>
      <c r="BK44" s="86" t="str">
        <f aca="false">IF($B44=BK$12,$U44,"")</f>
        <v/>
      </c>
      <c r="BL44" s="86" t="str">
        <f aca="false">IF($B44=BL$12,$U44,"")</f>
        <v/>
      </c>
      <c r="BM44" s="86" t="str">
        <f aca="false">IF($B44=BM$12,$U44,"")</f>
        <v/>
      </c>
      <c r="BN44" s="86" t="str">
        <f aca="false">IF($B44=BN$12,$U44,"")</f>
        <v/>
      </c>
      <c r="BO44" s="86" t="str">
        <f aca="false">IF($B44=BO$12,$U44,"")</f>
        <v/>
      </c>
      <c r="BP44" s="86" t="str">
        <f aca="false">IF($B44=BP$12,$U44,"")</f>
        <v/>
      </c>
      <c r="BQ44" s="86" t="str">
        <f aca="false">IF($B44=BQ$12,$U44,"")</f>
        <v/>
      </c>
      <c r="BR44" s="86" t="str">
        <f aca="false">IF($B44=BR$12,$U44,"")</f>
        <v/>
      </c>
      <c r="BS44" s="86" t="str">
        <f aca="false">IF($B44=BS$12,$U44,"")</f>
        <v/>
      </c>
      <c r="BT44" s="86" t="str">
        <f aca="false">IF($B44=BT$12,$U44,"")</f>
        <v/>
      </c>
      <c r="BU44" s="86" t="str">
        <f aca="false">IF($B44=BU$12,$U44,"")</f>
        <v/>
      </c>
      <c r="BV44" s="86" t="str">
        <f aca="false">IF($B44=BV$12,$U44,"")</f>
        <v/>
      </c>
      <c r="BW44" s="86" t="str">
        <f aca="false">IF($B44=BW$12,$U44,"")</f>
        <v/>
      </c>
      <c r="BX44" s="86" t="str">
        <f aca="false">IF($B44=BX$12,$U44,"")</f>
        <v/>
      </c>
      <c r="BY44" s="86" t="str">
        <f aca="false">IF($B44=BY$12,$U44,"")</f>
        <v/>
      </c>
      <c r="BZ44" s="86" t="str">
        <f aca="false">IF($B44=BZ$12,$U44,"")</f>
        <v/>
      </c>
      <c r="CA44" s="86" t="str">
        <f aca="false">IF($B44=CA$12,$U44,"")</f>
        <v/>
      </c>
      <c r="CB44" s="86" t="str">
        <f aca="false">IF($B44=CB$12,$U44,"")</f>
        <v/>
      </c>
      <c r="CC44" s="86" t="str">
        <f aca="false">IF($B44=CC$12,$U44,"")</f>
        <v/>
      </c>
      <c r="CD44" s="86" t="str">
        <f aca="false">IF($B44=CD$12,$U44,"")</f>
        <v/>
      </c>
      <c r="CE44" s="86" t="str">
        <f aca="false">IF($B44=CE$12,$U44,"")</f>
        <v/>
      </c>
      <c r="CF44" s="86" t="str">
        <f aca="false">IF($B44=CF$12,$U44,"")</f>
        <v/>
      </c>
      <c r="CG44" s="86" t="str">
        <f aca="false">IF($B44=CG$12,$U44,"")</f>
        <v/>
      </c>
      <c r="CH44" s="86" t="str">
        <f aca="false">IF($B44=CH$12,$U44,"")</f>
        <v/>
      </c>
      <c r="CI44" s="86" t="str">
        <f aca="false">IF($B44=CI$12,$U44,"")</f>
        <v/>
      </c>
      <c r="CJ44" s="86" t="str">
        <f aca="false">IF($B44=CJ$12,$U44,"")</f>
        <v/>
      </c>
      <c r="CK44" s="86" t="str">
        <f aca="false">IF($B44=CK$12,$U44,"")</f>
        <v/>
      </c>
      <c r="CL44" s="86" t="str">
        <f aca="false">IF($B44=CL$12,$U44,"")</f>
        <v/>
      </c>
      <c r="CM44" s="86" t="str">
        <f aca="false">IF($B44=CM$12,$U44,"")</f>
        <v/>
      </c>
      <c r="CN44" s="86" t="str">
        <f aca="false">IF($B44=CN$12,$U44,"")</f>
        <v/>
      </c>
      <c r="CO44" s="86" t="str">
        <f aca="false">IF($B44=CO$12,$U44,"")</f>
        <v/>
      </c>
      <c r="CP44" s="86" t="str">
        <f aca="false">IF($B44=CP$12,$U44,"")</f>
        <v/>
      </c>
      <c r="CQ44" s="86" t="str">
        <f aca="false">IF($B44=CQ$12,$U44,"")</f>
        <v/>
      </c>
      <c r="CR44" s="86" t="str">
        <f aca="false">IF($B44=CR$12,$U44,"")</f>
        <v/>
      </c>
      <c r="CS44" s="86" t="str">
        <f aca="false">IF($B44=CS$12,$U44,"")</f>
        <v/>
      </c>
      <c r="CT44" s="86" t="str">
        <f aca="false">IF($B44=CT$12,$U44,"")</f>
        <v/>
      </c>
      <c r="CU44" s="86" t="str">
        <f aca="false">IF($B44=CU$12,$U44,"")</f>
        <v/>
      </c>
      <c r="CV44" s="86" t="str">
        <f aca="false">IF($B44=CV$12,$U44,"")</f>
        <v/>
      </c>
      <c r="CW44" s="86" t="str">
        <f aca="false">IF($B44=CW$12,$U44,"")</f>
        <v/>
      </c>
      <c r="CX44" s="86" t="str">
        <f aca="false">IF($B44=CX$12,$U44,"")</f>
        <v/>
      </c>
      <c r="CY44" s="86" t="str">
        <f aca="false">IF($B44=CY$12,$U44,"")</f>
        <v/>
      </c>
      <c r="CZ44" s="86" t="str">
        <f aca="false">IF($B44=CZ$12,$U44,"")</f>
        <v/>
      </c>
      <c r="DA44" s="86" t="str">
        <f aca="false">IF($B44=DA$12,$U44,"")</f>
        <v/>
      </c>
      <c r="DB44" s="86" t="str">
        <f aca="false">IF($B44=DB$12,$U44,"")</f>
        <v/>
      </c>
      <c r="DC44" s="86" t="str">
        <f aca="false">IF($B44=DC$12,$U44,"")</f>
        <v/>
      </c>
      <c r="DD44" s="86" t="str">
        <f aca="false">IF($B44=DD$12,$U44,"")</f>
        <v/>
      </c>
      <c r="DE44" s="86" t="str">
        <f aca="false">IF($B44=DE$12,$U44,"")</f>
        <v/>
      </c>
      <c r="DF44" s="86" t="str">
        <f aca="false">IF($B44=DF$12,$U44,"")</f>
        <v/>
      </c>
      <c r="DG44" s="86" t="str">
        <f aca="false">IF($B44=DG$12,$U44,"")</f>
        <v/>
      </c>
      <c r="DH44" s="86" t="str">
        <f aca="false">IF($B44=DH$12,$U44,"")</f>
        <v/>
      </c>
      <c r="DI44" s="86" t="str">
        <f aca="false">IF($B44=DI$12,$U44,"")</f>
        <v/>
      </c>
      <c r="DJ44" s="86" t="str">
        <f aca="false">IF($B44=DJ$12,$U44,"")</f>
        <v/>
      </c>
      <c r="DK44" s="86" t="str">
        <f aca="false">IF($B44=DK$12,$U44,"")</f>
        <v/>
      </c>
      <c r="DL44" s="86" t="str">
        <f aca="false">IF($B44=DL$12,$U44,"")</f>
        <v/>
      </c>
      <c r="DM44" s="86" t="str">
        <f aca="false">IF($B44=DM$12,$U44,"")</f>
        <v/>
      </c>
      <c r="DN44" s="86" t="str">
        <f aca="false">IF($B44=DN$12,$U44,"")</f>
        <v/>
      </c>
      <c r="DO44" s="86" t="str">
        <f aca="false">IF($B44=DO$12,$U44,"")</f>
        <v/>
      </c>
      <c r="DP44" s="86" t="str">
        <f aca="false">IF($B44=DP$12,$U44,"")</f>
        <v/>
      </c>
      <c r="DQ44" s="86" t="str">
        <f aca="false">IF($B44=DQ$12,$U44,"")</f>
        <v/>
      </c>
      <c r="DR44" s="86" t="str">
        <f aca="false">IF($B44=DR$12,$U44,"")</f>
        <v/>
      </c>
      <c r="DS44" s="86" t="str">
        <f aca="false">IF($B44=DS$12,$U44,"")</f>
        <v/>
      </c>
      <c r="DT44" s="87" t="str">
        <f aca="false">IF($B44=DT$12,$U44,"")</f>
        <v/>
      </c>
      <c r="DU44" s="56"/>
      <c r="DV44" s="91"/>
      <c r="DW44" s="88" t="str">
        <f aca="false">IF($B44=DW$12,$O44,"")</f>
        <v/>
      </c>
      <c r="DX44" s="89" t="str">
        <f aca="false">IF($B44=DX$12,$O44,"")</f>
        <v/>
      </c>
      <c r="DY44" s="89" t="str">
        <f aca="false">IF($B44=DY$12,$O44,"")</f>
        <v/>
      </c>
      <c r="DZ44" s="89" t="str">
        <f aca="false">IF($B44=DZ$12,$O44,"")</f>
        <v/>
      </c>
      <c r="EA44" s="89" t="str">
        <f aca="false">IF($B44=EA$12,$O44,"")</f>
        <v/>
      </c>
      <c r="EB44" s="89" t="str">
        <f aca="false">IF($B44=EB$12,$O44,"")</f>
        <v/>
      </c>
      <c r="EC44" s="89" t="str">
        <f aca="false">IF($B44=EC$12,$O44,"")</f>
        <v/>
      </c>
      <c r="ED44" s="89" t="str">
        <f aca="false">IF($B44=ED$12,$O44,"")</f>
        <v/>
      </c>
      <c r="EE44" s="89" t="str">
        <f aca="false">IF($B44=EE$12,$O44,"")</f>
        <v/>
      </c>
      <c r="EF44" s="89" t="str">
        <f aca="false">IF($B44=EF$12,$O44,"")</f>
        <v/>
      </c>
      <c r="EG44" s="89" t="str">
        <f aca="false">IF($B44=EG$12,$O44,"")</f>
        <v/>
      </c>
      <c r="EH44" s="89" t="str">
        <f aca="false">IF($B44=EH$12,$O44,"")</f>
        <v/>
      </c>
      <c r="EI44" s="89" t="str">
        <f aca="false">IF($B44=EI$12,$O44,"")</f>
        <v/>
      </c>
      <c r="EJ44" s="89" t="str">
        <f aca="false">IF($B44=EJ$12,$O44,"")</f>
        <v/>
      </c>
      <c r="EK44" s="89" t="str">
        <f aca="false">IF($B44=EK$12,$O44,"")</f>
        <v/>
      </c>
      <c r="EL44" s="89" t="str">
        <f aca="false">IF($B44=EL$12,$O44,"")</f>
        <v/>
      </c>
      <c r="EM44" s="89" t="str">
        <f aca="false">IF($B44=EM$12,$O44,"")</f>
        <v/>
      </c>
      <c r="EN44" s="89" t="str">
        <f aca="false">IF($B44=EN$12,$O44,"")</f>
        <v/>
      </c>
      <c r="EO44" s="89" t="str">
        <f aca="false">IF($B44=EO$12,$O44,"")</f>
        <v/>
      </c>
      <c r="EP44" s="89" t="str">
        <f aca="false">IF($B44=EP$12,$O44,"")</f>
        <v/>
      </c>
      <c r="EQ44" s="89" t="str">
        <f aca="false">IF($B44=EQ$12,$O44,"")</f>
        <v/>
      </c>
      <c r="ER44" s="89" t="str">
        <f aca="false">IF($B44=ER$12,$O44,"")</f>
        <v/>
      </c>
      <c r="ES44" s="89" t="str">
        <f aca="false">IF($B44=ES$12,$O44,"")</f>
        <v/>
      </c>
      <c r="ET44" s="89" t="str">
        <f aca="false">IF($B44=ET$12,$O44,"")</f>
        <v/>
      </c>
      <c r="EU44" s="89" t="str">
        <f aca="false">IF($B44=EU$12,$O44,"")</f>
        <v/>
      </c>
      <c r="EV44" s="89" t="str">
        <f aca="false">IF($B44=EV$12,$O44,"")</f>
        <v/>
      </c>
      <c r="EW44" s="89" t="str">
        <f aca="false">IF($B44=EW$12,$O44,"")</f>
        <v/>
      </c>
      <c r="EX44" s="89" t="str">
        <f aca="false">IF($B44=EX$12,$O44,"")</f>
        <v/>
      </c>
      <c r="EY44" s="89" t="str">
        <f aca="false">IF($B44=EY$12,$O44,"")</f>
        <v/>
      </c>
      <c r="EZ44" s="89" t="str">
        <f aca="false">IF($B44=EZ$12,$O44,"")</f>
        <v/>
      </c>
      <c r="FA44" s="89" t="str">
        <f aca="false">IF($B44=FA$12,$O44,"")</f>
        <v/>
      </c>
      <c r="FB44" s="89" t="str">
        <f aca="false">IF($B44=FB$12,$O44,"")</f>
        <v/>
      </c>
      <c r="FC44" s="89" t="str">
        <f aca="false">IF($B44=FC$12,$O44,"")</f>
        <v/>
      </c>
      <c r="FD44" s="89" t="str">
        <f aca="false">IF($B44=FD$12,$O44,"")</f>
        <v/>
      </c>
      <c r="FE44" s="89" t="str">
        <f aca="false">IF($B44=FE$12,$O44,"")</f>
        <v/>
      </c>
      <c r="FF44" s="89" t="str">
        <f aca="false">IF($B44=FF$12,$O44,"")</f>
        <v/>
      </c>
      <c r="FG44" s="89" t="str">
        <f aca="false">IF($B44=FG$12,$O44,"")</f>
        <v/>
      </c>
      <c r="FH44" s="89" t="str">
        <f aca="false">IF($B44=FH$12,$O44,"")</f>
        <v/>
      </c>
      <c r="FI44" s="89" t="str">
        <f aca="false">IF($B44=FI$12,$O44,"")</f>
        <v/>
      </c>
      <c r="FJ44" s="89" t="str">
        <f aca="false">IF($B44=FJ$12,$O44,"")</f>
        <v/>
      </c>
      <c r="FK44" s="89" t="str">
        <f aca="false">IF($B44=FK$12,$O44,"")</f>
        <v/>
      </c>
      <c r="FL44" s="89" t="str">
        <f aca="false">IF($B44=FL$12,$O44,"")</f>
        <v/>
      </c>
      <c r="FM44" s="89" t="str">
        <f aca="false">IF($B44=FM$12,$O44,"")</f>
        <v/>
      </c>
      <c r="FN44" s="89" t="str">
        <f aca="false">IF($B44=FN$12,$O44,"")</f>
        <v/>
      </c>
      <c r="FO44" s="89" t="str">
        <f aca="false">IF($B44=FO$12,$O44,"")</f>
        <v/>
      </c>
      <c r="FP44" s="89" t="str">
        <f aca="false">IF($B44=FP$12,$O44,"")</f>
        <v/>
      </c>
      <c r="FQ44" s="89" t="str">
        <f aca="false">IF($B44=FQ$12,$O44,"")</f>
        <v/>
      </c>
      <c r="FR44" s="89" t="str">
        <f aca="false">IF($B44=FR$12,$O44,"")</f>
        <v/>
      </c>
      <c r="FS44" s="89" t="str">
        <f aca="false">IF($B44=FS$12,$O44,"")</f>
        <v/>
      </c>
      <c r="FT44" s="89" t="str">
        <f aca="false">IF($B44=FT$12,$O44,"")</f>
        <v/>
      </c>
      <c r="FU44" s="89" t="str">
        <f aca="false">IF($B44=FU$12,$O44,"")</f>
        <v/>
      </c>
      <c r="FV44" s="89" t="str">
        <f aca="false">IF($B44=FV$12,$O44,"")</f>
        <v/>
      </c>
      <c r="FW44" s="89" t="str">
        <f aca="false">IF($B44=FW$12,$O44,"")</f>
        <v/>
      </c>
      <c r="FX44" s="89" t="str">
        <f aca="false">IF($B44=FX$12,$O44,"")</f>
        <v/>
      </c>
      <c r="FY44" s="89" t="str">
        <f aca="false">IF($B44=FY$12,$O44,"")</f>
        <v/>
      </c>
      <c r="FZ44" s="89" t="str">
        <f aca="false">IF($B44=FZ$12,$O44,"")</f>
        <v/>
      </c>
      <c r="GA44" s="89" t="str">
        <f aca="false">IF($B44=GA$12,$O44,"")</f>
        <v/>
      </c>
      <c r="GB44" s="89" t="str">
        <f aca="false">IF($B44=GB$12,$O44,"")</f>
        <v/>
      </c>
      <c r="GC44" s="89" t="str">
        <f aca="false">IF($B44=GC$12,$O44,"")</f>
        <v/>
      </c>
      <c r="GD44" s="89" t="str">
        <f aca="false">IF($B44=GD$12,$O44,"")</f>
        <v/>
      </c>
      <c r="GE44" s="89" t="str">
        <f aca="false">IF($B44=GE$12,$O44,"")</f>
        <v/>
      </c>
      <c r="GF44" s="89" t="str">
        <f aca="false">IF($B44=GF$12,$O44,"")</f>
        <v/>
      </c>
      <c r="GG44" s="89" t="str">
        <f aca="false">IF($B44=GG$12,$O44,"")</f>
        <v/>
      </c>
      <c r="GH44" s="89" t="str">
        <f aca="false">IF($B44=GH$12,$O44,"")</f>
        <v/>
      </c>
      <c r="GI44" s="89" t="str">
        <f aca="false">IF($B44=GI$12,$O44,"")</f>
        <v/>
      </c>
      <c r="GJ44" s="89" t="str">
        <f aca="false">IF($B44=GJ$12,$O44,"")</f>
        <v/>
      </c>
      <c r="GK44" s="89" t="str">
        <f aca="false">IF($B44=GK$12,$O44,"")</f>
        <v/>
      </c>
      <c r="GL44" s="89" t="str">
        <f aca="false">IF($B44=GL$12,$O44,"")</f>
        <v/>
      </c>
      <c r="GM44" s="89" t="str">
        <f aca="false">IF($B44=GM$12,$O44,"")</f>
        <v/>
      </c>
      <c r="GN44" s="89" t="str">
        <f aca="false">IF($B44=GN$12,$O44,"")</f>
        <v/>
      </c>
      <c r="GO44" s="89" t="str">
        <f aca="false">IF($B44=GO$12,$O44,"")</f>
        <v/>
      </c>
      <c r="GP44" s="89" t="str">
        <f aca="false">IF($B44=GP$12,$O44,"")</f>
        <v/>
      </c>
      <c r="GQ44" s="89" t="str">
        <f aca="false">IF($B44=GQ$12,$O44,"")</f>
        <v/>
      </c>
      <c r="GR44" s="89" t="str">
        <f aca="false">IF($B44=GR$12,$O44,"")</f>
        <v/>
      </c>
      <c r="GS44" s="89" t="str">
        <f aca="false">IF($B44=GS$12,$O44,"")</f>
        <v/>
      </c>
      <c r="GT44" s="89" t="str">
        <f aca="false">IF($B44=GT$12,$O44,"")</f>
        <v/>
      </c>
      <c r="GU44" s="89" t="str">
        <f aca="false">IF($B44=GU$12,$O44,"")</f>
        <v/>
      </c>
      <c r="GV44" s="89" t="str">
        <f aca="false">IF($B44=GV$12,$O44,"")</f>
        <v/>
      </c>
      <c r="GW44" s="89" t="str">
        <f aca="false">IF($B44=GW$12,$O44,"")</f>
        <v/>
      </c>
      <c r="GX44" s="89" t="str">
        <f aca="false">IF($B44=GX$12,$O44,"")</f>
        <v/>
      </c>
      <c r="GY44" s="89" t="str">
        <f aca="false">IF($B44=GY$12,$O44,"")</f>
        <v/>
      </c>
      <c r="GZ44" s="89" t="str">
        <f aca="false">IF($B44=GZ$12,$O44,"")</f>
        <v/>
      </c>
      <c r="HA44" s="89" t="str">
        <f aca="false">IF($B44=HA$12,$O44,"")</f>
        <v/>
      </c>
      <c r="HB44" s="89" t="str">
        <f aca="false">IF($B44=HB$12,$O44,"")</f>
        <v/>
      </c>
      <c r="HC44" s="89" t="str">
        <f aca="false">IF($B44=HC$12,$O44,"")</f>
        <v/>
      </c>
      <c r="HD44" s="89" t="str">
        <f aca="false">IF($B44=HD$12,$O44,"")</f>
        <v/>
      </c>
      <c r="HE44" s="89" t="str">
        <f aca="false">IF($B44=HE$12,$O44,"")</f>
        <v/>
      </c>
      <c r="HF44" s="89" t="str">
        <f aca="false">IF($B44=HF$12,$O44,"")</f>
        <v/>
      </c>
      <c r="HG44" s="89" t="str">
        <f aca="false">IF($B44=HG$12,$O44,"")</f>
        <v/>
      </c>
      <c r="HH44" s="89" t="str">
        <f aca="false">IF($B44=HH$12,$O44,"")</f>
        <v/>
      </c>
      <c r="HI44" s="89" t="str">
        <f aca="false">IF($B44=HI$12,$O44,"")</f>
        <v/>
      </c>
      <c r="HJ44" s="89" t="str">
        <f aca="false">IF($B44=HJ$12,$O44,"")</f>
        <v/>
      </c>
      <c r="HK44" s="89" t="str">
        <f aca="false">IF($B44=HK$12,$O44,"")</f>
        <v/>
      </c>
      <c r="HL44" s="89" t="str">
        <f aca="false">IF($B44=HL$12,$O44,"")</f>
        <v/>
      </c>
      <c r="HM44" s="89" t="str">
        <f aca="false">IF($B44=HM$12,$O44,"")</f>
        <v/>
      </c>
      <c r="HN44" s="89" t="str">
        <f aca="false">IF($B44=HN$12,$O44,"")</f>
        <v/>
      </c>
      <c r="HO44" s="89" t="str">
        <f aca="false">IF($B44=HO$12,$O44,"")</f>
        <v/>
      </c>
      <c r="HP44" s="89" t="str">
        <f aca="false">IF($B44=HP$12,$O44,"")</f>
        <v/>
      </c>
      <c r="HQ44" s="89" t="str">
        <f aca="false">IF($B44=HQ$12,$O44,"")</f>
        <v/>
      </c>
      <c r="HR44" s="90" t="str">
        <f aca="false">IF($B44=HR$12,$O44,"")</f>
        <v/>
      </c>
    </row>
    <row r="45" customFormat="false" ht="10.5" hidden="false" customHeight="true" outlineLevel="0" collapsed="false">
      <c r="A45" s="92"/>
      <c r="B45" s="93"/>
      <c r="C45" s="94" t="str">
        <f aca="false">IF(A45=0,"",VLOOKUP(A45,[3]CO!$A$3:$F$5311,2,0))</f>
        <v/>
      </c>
      <c r="D45" s="95"/>
      <c r="E45" s="95"/>
      <c r="F45" s="95"/>
      <c r="G45" s="96" t="str">
        <f aca="false">IF(A45=0,"",VLOOKUP(A45,[3]CO!$A$3:$F$5311,3,0))</f>
        <v/>
      </c>
      <c r="H45" s="131"/>
      <c r="I45" s="97"/>
      <c r="J45" s="97"/>
      <c r="K45" s="97"/>
      <c r="L45" s="97"/>
      <c r="M45" s="98" t="str">
        <f aca="false">IF(H45&gt;0,H45*Q$34/N45,IF(AND(L45&gt;0,I45&gt;0),L45*I45,IF(L45&gt;0,L45,"")))</f>
        <v/>
      </c>
      <c r="N45" s="98" t="str">
        <f aca="false">IF(B45=0,"",IF(H45="M",HLOOKUP(B45,$Y$12:$DT$13,2),IF(A45=0,"",VLOOKUP(A45,[3]CO!$A$3:$F$5311,4,0))))</f>
        <v/>
      </c>
      <c r="O45" s="98" t="str">
        <f aca="false">IF(L45=0,"",PRODUCT(M45:N45))</f>
        <v/>
      </c>
      <c r="P45" s="99"/>
      <c r="Q45" s="100" t="str">
        <f aca="false">IF(P45=0,"",(HLOOKUP(P45,$DW$12:$HR$13,2)))</f>
        <v/>
      </c>
      <c r="R45" s="101" t="str">
        <f aca="false">IF(S45=0,"",IF(OR(G45="PEON",G45="OF",G45="JARD",G45="CARP",G45="MAESTRO",G45="SOLD",G45="BGRO",G45="CHOFER",G45="AYTE",G45="S.INTTE.",G45="ASEO",G45="P.PISOS",G45="VELADOR",G45="RESID",G45="PINTOR",G45="ELECT",G45="AZULE",G45="AUX CONT.",G45="SECRETARIA",G45="AUXILIAR ADMTVO.",G45="ARQUITECTO",G45="DIBUJANTE",G45="AUX. DE RESIDENTE",G45="TOPOGRAFIA"),VLOOKUP(B45,P$14:Q$357,2),"")*S45)</f>
        <v/>
      </c>
      <c r="S45" s="51"/>
      <c r="T45" s="67" t="str">
        <f aca="false">IF(A45=0,"",VLOOKUP(A45,[3]CO!$A$3:$F$5302,5,0))</f>
        <v/>
      </c>
      <c r="U45" s="56" t="n">
        <f aca="false">IF(T45=1,O45*0.1,)</f>
        <v>0</v>
      </c>
      <c r="V45" s="68"/>
      <c r="W45" s="91"/>
      <c r="X45" s="91"/>
      <c r="Y45" s="102" t="str">
        <f aca="false">IF($B45=Y$12,$U45,"")</f>
        <v/>
      </c>
      <c r="Z45" s="103" t="str">
        <f aca="false">IF($B45=Z$12,$U45,"")</f>
        <v/>
      </c>
      <c r="AA45" s="103" t="str">
        <f aca="false">IF($B45=AA$12,$U45,"")</f>
        <v/>
      </c>
      <c r="AB45" s="103" t="str">
        <f aca="false">IF($B45=AB$12,$U45,"")</f>
        <v/>
      </c>
      <c r="AC45" s="103" t="str">
        <f aca="false">IF($B45=AC$12,$U45,"")</f>
        <v/>
      </c>
      <c r="AD45" s="103" t="str">
        <f aca="false">IF($B45=AD$12,$U45,"")</f>
        <v/>
      </c>
      <c r="AE45" s="103" t="str">
        <f aca="false">IF($B45=AE$12,$U45,"")</f>
        <v/>
      </c>
      <c r="AF45" s="103" t="str">
        <f aca="false">IF($B45=AF$12,$U45,"")</f>
        <v/>
      </c>
      <c r="AG45" s="103" t="str">
        <f aca="false">IF($B45=AG$12,$U45,"")</f>
        <v/>
      </c>
      <c r="AH45" s="103" t="str">
        <f aca="false">IF($B45=AH$12,$U45,"")</f>
        <v/>
      </c>
      <c r="AI45" s="103" t="str">
        <f aca="false">IF($B45=AI$12,$U45,"")</f>
        <v/>
      </c>
      <c r="AJ45" s="103" t="str">
        <f aca="false">IF($B45=AJ$12,$U45,"")</f>
        <v/>
      </c>
      <c r="AK45" s="103" t="str">
        <f aca="false">IF($B45=AK$12,$U45,"")</f>
        <v/>
      </c>
      <c r="AL45" s="103" t="str">
        <f aca="false">IF($B45=AL$12,$U45,"")</f>
        <v/>
      </c>
      <c r="AM45" s="103" t="str">
        <f aca="false">IF($B45=AM$12,$U45,"")</f>
        <v/>
      </c>
      <c r="AN45" s="103" t="str">
        <f aca="false">IF($B45=AN$12,$U45,"")</f>
        <v/>
      </c>
      <c r="AO45" s="103" t="str">
        <f aca="false">IF($B45=AO$12,$U45,"")</f>
        <v/>
      </c>
      <c r="AP45" s="103" t="str">
        <f aca="false">IF($B45=AP$12,$U45,"")</f>
        <v/>
      </c>
      <c r="AQ45" s="103" t="str">
        <f aca="false">IF($B45=AQ$12,$U45,"")</f>
        <v/>
      </c>
      <c r="AR45" s="103" t="str">
        <f aca="false">IF($B45=AR$12,$U45,"")</f>
        <v/>
      </c>
      <c r="AS45" s="103" t="str">
        <f aca="false">IF($B45=AS$12,$U45,"")</f>
        <v/>
      </c>
      <c r="AT45" s="103" t="str">
        <f aca="false">IF($B45=AT$12,$U45,"")</f>
        <v/>
      </c>
      <c r="AU45" s="103" t="str">
        <f aca="false">IF($B45=AU$12,$U45,"")</f>
        <v/>
      </c>
      <c r="AV45" s="103" t="str">
        <f aca="false">IF($B45=AV$12,$U45,"")</f>
        <v/>
      </c>
      <c r="AW45" s="103" t="str">
        <f aca="false">IF($B45=AW$12,$U45,"")</f>
        <v/>
      </c>
      <c r="AX45" s="103" t="str">
        <f aca="false">IF($B45=AX$12,$U45,"")</f>
        <v/>
      </c>
      <c r="AY45" s="103" t="str">
        <f aca="false">IF($B45=AY$12,$U45,"")</f>
        <v/>
      </c>
      <c r="AZ45" s="103" t="str">
        <f aca="false">IF($B45=AZ$12,$U45,"")</f>
        <v/>
      </c>
      <c r="BA45" s="103" t="str">
        <f aca="false">IF($B45=BA$12,$U45,"")</f>
        <v/>
      </c>
      <c r="BB45" s="103" t="str">
        <f aca="false">IF($B45=BB$12,$U45,"")</f>
        <v/>
      </c>
      <c r="BC45" s="103" t="str">
        <f aca="false">IF($B45=BC$12,$U45,"")</f>
        <v/>
      </c>
      <c r="BD45" s="103" t="str">
        <f aca="false">IF($B45=BD$12,$U45,"")</f>
        <v/>
      </c>
      <c r="BE45" s="103" t="str">
        <f aca="false">IF($B45=BE$12,$U45,"")</f>
        <v/>
      </c>
      <c r="BF45" s="103" t="str">
        <f aca="false">IF($B45=BF$12,$U45,"")</f>
        <v/>
      </c>
      <c r="BG45" s="103" t="str">
        <f aca="false">IF($B45=BG$12,$U45,"")</f>
        <v/>
      </c>
      <c r="BH45" s="103" t="str">
        <f aca="false">IF($B45=BH$12,$U45,"")</f>
        <v/>
      </c>
      <c r="BI45" s="103" t="str">
        <f aca="false">IF($B45=BI$12,$U45,"")</f>
        <v/>
      </c>
      <c r="BJ45" s="103" t="str">
        <f aca="false">IF($B45=BJ$12,$U45,"")</f>
        <v/>
      </c>
      <c r="BK45" s="103" t="str">
        <f aca="false">IF($B45=BK$12,$U45,"")</f>
        <v/>
      </c>
      <c r="BL45" s="103" t="str">
        <f aca="false">IF($B45=BL$12,$U45,"")</f>
        <v/>
      </c>
      <c r="BM45" s="103" t="str">
        <f aca="false">IF($B45=BM$12,$U45,"")</f>
        <v/>
      </c>
      <c r="BN45" s="103" t="str">
        <f aca="false">IF($B45=BN$12,$U45,"")</f>
        <v/>
      </c>
      <c r="BO45" s="103" t="str">
        <f aca="false">IF($B45=BO$12,$U45,"")</f>
        <v/>
      </c>
      <c r="BP45" s="103" t="str">
        <f aca="false">IF($B45=BP$12,$U45,"")</f>
        <v/>
      </c>
      <c r="BQ45" s="103" t="str">
        <f aca="false">IF($B45=BQ$12,$U45,"")</f>
        <v/>
      </c>
      <c r="BR45" s="103" t="str">
        <f aca="false">IF($B45=BR$12,$U45,"")</f>
        <v/>
      </c>
      <c r="BS45" s="103" t="str">
        <f aca="false">IF($B45=BS$12,$U45,"")</f>
        <v/>
      </c>
      <c r="BT45" s="103" t="str">
        <f aca="false">IF($B45=BT$12,$U45,"")</f>
        <v/>
      </c>
      <c r="BU45" s="103" t="str">
        <f aca="false">IF($B45=BU$12,$U45,"")</f>
        <v/>
      </c>
      <c r="BV45" s="103" t="str">
        <f aca="false">IF($B45=BV$12,$U45,"")</f>
        <v/>
      </c>
      <c r="BW45" s="103" t="str">
        <f aca="false">IF($B45=BW$12,$U45,"")</f>
        <v/>
      </c>
      <c r="BX45" s="103" t="str">
        <f aca="false">IF($B45=BX$12,$U45,"")</f>
        <v/>
      </c>
      <c r="BY45" s="103" t="str">
        <f aca="false">IF($B45=BY$12,$U45,"")</f>
        <v/>
      </c>
      <c r="BZ45" s="103" t="str">
        <f aca="false">IF($B45=BZ$12,$U45,"")</f>
        <v/>
      </c>
      <c r="CA45" s="103" t="str">
        <f aca="false">IF($B45=CA$12,$U45,"")</f>
        <v/>
      </c>
      <c r="CB45" s="103" t="str">
        <f aca="false">IF($B45=CB$12,$U45,"")</f>
        <v/>
      </c>
      <c r="CC45" s="103" t="str">
        <f aca="false">IF($B45=CC$12,$U45,"")</f>
        <v/>
      </c>
      <c r="CD45" s="103" t="str">
        <f aca="false">IF($B45=CD$12,$U45,"")</f>
        <v/>
      </c>
      <c r="CE45" s="103" t="str">
        <f aca="false">IF($B45=CE$12,$U45,"")</f>
        <v/>
      </c>
      <c r="CF45" s="103" t="str">
        <f aca="false">IF($B45=CF$12,$U45,"")</f>
        <v/>
      </c>
      <c r="CG45" s="103" t="str">
        <f aca="false">IF($B45=CG$12,$U45,"")</f>
        <v/>
      </c>
      <c r="CH45" s="103" t="str">
        <f aca="false">IF($B45=CH$12,$U45,"")</f>
        <v/>
      </c>
      <c r="CI45" s="103" t="str">
        <f aca="false">IF($B45=CI$12,$U45,"")</f>
        <v/>
      </c>
      <c r="CJ45" s="103" t="str">
        <f aca="false">IF($B45=CJ$12,$U45,"")</f>
        <v/>
      </c>
      <c r="CK45" s="103" t="str">
        <f aca="false">IF($B45=CK$12,$U45,"")</f>
        <v/>
      </c>
      <c r="CL45" s="103" t="str">
        <f aca="false">IF($B45=CL$12,$U45,"")</f>
        <v/>
      </c>
      <c r="CM45" s="103" t="str">
        <f aca="false">IF($B45=CM$12,$U45,"")</f>
        <v/>
      </c>
      <c r="CN45" s="103" t="str">
        <f aca="false">IF($B45=CN$12,$U45,"")</f>
        <v/>
      </c>
      <c r="CO45" s="103" t="str">
        <f aca="false">IF($B45=CO$12,$U45,"")</f>
        <v/>
      </c>
      <c r="CP45" s="103" t="str">
        <f aca="false">IF($B45=CP$12,$U45,"")</f>
        <v/>
      </c>
      <c r="CQ45" s="103" t="str">
        <f aca="false">IF($B45=CQ$12,$U45,"")</f>
        <v/>
      </c>
      <c r="CR45" s="103" t="str">
        <f aca="false">IF($B45=CR$12,$U45,"")</f>
        <v/>
      </c>
      <c r="CS45" s="103" t="str">
        <f aca="false">IF($B45=CS$12,$U45,"")</f>
        <v/>
      </c>
      <c r="CT45" s="103" t="str">
        <f aca="false">IF($B45=CT$12,$U45,"")</f>
        <v/>
      </c>
      <c r="CU45" s="103" t="str">
        <f aca="false">IF($B45=CU$12,$U45,"")</f>
        <v/>
      </c>
      <c r="CV45" s="103" t="str">
        <f aca="false">IF($B45=CV$12,$U45,"")</f>
        <v/>
      </c>
      <c r="CW45" s="103" t="str">
        <f aca="false">IF($B45=CW$12,$U45,"")</f>
        <v/>
      </c>
      <c r="CX45" s="103" t="str">
        <f aca="false">IF($B45=CX$12,$U45,"")</f>
        <v/>
      </c>
      <c r="CY45" s="103" t="str">
        <f aca="false">IF($B45=CY$12,$U45,"")</f>
        <v/>
      </c>
      <c r="CZ45" s="103" t="str">
        <f aca="false">IF($B45=CZ$12,$U45,"")</f>
        <v/>
      </c>
      <c r="DA45" s="103" t="str">
        <f aca="false">IF($B45=DA$12,$U45,"")</f>
        <v/>
      </c>
      <c r="DB45" s="103" t="str">
        <f aca="false">IF($B45=DB$12,$U45,"")</f>
        <v/>
      </c>
      <c r="DC45" s="103" t="str">
        <f aca="false">IF($B45=DC$12,$U45,"")</f>
        <v/>
      </c>
      <c r="DD45" s="103" t="str">
        <f aca="false">IF($B45=DD$12,$U45,"")</f>
        <v/>
      </c>
      <c r="DE45" s="103" t="str">
        <f aca="false">IF($B45=DE$12,$U45,"")</f>
        <v/>
      </c>
      <c r="DF45" s="103" t="str">
        <f aca="false">IF($B45=DF$12,$U45,"")</f>
        <v/>
      </c>
      <c r="DG45" s="103" t="str">
        <f aca="false">IF($B45=DG$12,$U45,"")</f>
        <v/>
      </c>
      <c r="DH45" s="103" t="str">
        <f aca="false">IF($B45=DH$12,$U45,"")</f>
        <v/>
      </c>
      <c r="DI45" s="103" t="str">
        <f aca="false">IF($B45=DI$12,$U45,"")</f>
        <v/>
      </c>
      <c r="DJ45" s="103" t="str">
        <f aca="false">IF($B45=DJ$12,$U45,"")</f>
        <v/>
      </c>
      <c r="DK45" s="103" t="str">
        <f aca="false">IF($B45=DK$12,$U45,"")</f>
        <v/>
      </c>
      <c r="DL45" s="103" t="str">
        <f aca="false">IF($B45=DL$12,$U45,"")</f>
        <v/>
      </c>
      <c r="DM45" s="103" t="str">
        <f aca="false">IF($B45=DM$12,$U45,"")</f>
        <v/>
      </c>
      <c r="DN45" s="103" t="str">
        <f aca="false">IF($B45=DN$12,$U45,"")</f>
        <v/>
      </c>
      <c r="DO45" s="103" t="str">
        <f aca="false">IF($B45=DO$12,$U45,"")</f>
        <v/>
      </c>
      <c r="DP45" s="103" t="str">
        <f aca="false">IF($B45=DP$12,$U45,"")</f>
        <v/>
      </c>
      <c r="DQ45" s="103" t="str">
        <f aca="false">IF($B45=DQ$12,$U45,"")</f>
        <v/>
      </c>
      <c r="DR45" s="103" t="str">
        <f aca="false">IF($B45=DR$12,$U45,"")</f>
        <v/>
      </c>
      <c r="DS45" s="103" t="str">
        <f aca="false">IF($B45=DS$12,$U45,"")</f>
        <v/>
      </c>
      <c r="DT45" s="104" t="str">
        <f aca="false">IF($B45=DT$12,$U45,"")</f>
        <v/>
      </c>
      <c r="DU45" s="56"/>
      <c r="DV45" s="91"/>
      <c r="DW45" s="105" t="str">
        <f aca="false">IF($B45=DW$12,$O45,"")</f>
        <v/>
      </c>
      <c r="DX45" s="106" t="str">
        <f aca="false">IF($B45=DX$12,$O45,"")</f>
        <v/>
      </c>
      <c r="DY45" s="106" t="str">
        <f aca="false">IF($B45=DY$12,$O45,"")</f>
        <v/>
      </c>
      <c r="DZ45" s="106" t="str">
        <f aca="false">IF($B45=DZ$12,$O45,"")</f>
        <v/>
      </c>
      <c r="EA45" s="106" t="str">
        <f aca="false">IF($B45=EA$12,$O45,"")</f>
        <v/>
      </c>
      <c r="EB45" s="106" t="str">
        <f aca="false">IF($B45=EB$12,$O45,"")</f>
        <v/>
      </c>
      <c r="EC45" s="106" t="str">
        <f aca="false">IF($B45=EC$12,$O45,"")</f>
        <v/>
      </c>
      <c r="ED45" s="106" t="str">
        <f aca="false">IF($B45=ED$12,$O45,"")</f>
        <v/>
      </c>
      <c r="EE45" s="106" t="str">
        <f aca="false">IF($B45=EE$12,$O45,"")</f>
        <v/>
      </c>
      <c r="EF45" s="106" t="str">
        <f aca="false">IF($B45=EF$12,$O45,"")</f>
        <v/>
      </c>
      <c r="EG45" s="106" t="str">
        <f aca="false">IF($B45=EG$12,$O45,"")</f>
        <v/>
      </c>
      <c r="EH45" s="106" t="str">
        <f aca="false">IF($B45=EH$12,$O45,"")</f>
        <v/>
      </c>
      <c r="EI45" s="106" t="str">
        <f aca="false">IF($B45=EI$12,$O45,"")</f>
        <v/>
      </c>
      <c r="EJ45" s="106" t="str">
        <f aca="false">IF($B45=EJ$12,$O45,"")</f>
        <v/>
      </c>
      <c r="EK45" s="106" t="str">
        <f aca="false">IF($B45=EK$12,$O45,"")</f>
        <v/>
      </c>
      <c r="EL45" s="106" t="str">
        <f aca="false">IF($B45=EL$12,$O45,"")</f>
        <v/>
      </c>
      <c r="EM45" s="106" t="str">
        <f aca="false">IF($B45=EM$12,$O45,"")</f>
        <v/>
      </c>
      <c r="EN45" s="106" t="str">
        <f aca="false">IF($B45=EN$12,$O45,"")</f>
        <v/>
      </c>
      <c r="EO45" s="106" t="str">
        <f aca="false">IF($B45=EO$12,$O45,"")</f>
        <v/>
      </c>
      <c r="EP45" s="106" t="str">
        <f aca="false">IF($B45=EP$12,$O45,"")</f>
        <v/>
      </c>
      <c r="EQ45" s="106" t="str">
        <f aca="false">IF($B45=EQ$12,$O45,"")</f>
        <v/>
      </c>
      <c r="ER45" s="106" t="str">
        <f aca="false">IF($B45=ER$12,$O45,"")</f>
        <v/>
      </c>
      <c r="ES45" s="106" t="str">
        <f aca="false">IF($B45=ES$12,$O45,"")</f>
        <v/>
      </c>
      <c r="ET45" s="106" t="str">
        <f aca="false">IF($B45=ET$12,$O45,"")</f>
        <v/>
      </c>
      <c r="EU45" s="106" t="str">
        <f aca="false">IF($B45=EU$12,$O45,"")</f>
        <v/>
      </c>
      <c r="EV45" s="106" t="str">
        <f aca="false">IF($B45=EV$12,$O45,"")</f>
        <v/>
      </c>
      <c r="EW45" s="106" t="str">
        <f aca="false">IF($B45=EW$12,$O45,"")</f>
        <v/>
      </c>
      <c r="EX45" s="106" t="str">
        <f aca="false">IF($B45=EX$12,$O45,"")</f>
        <v/>
      </c>
      <c r="EY45" s="106" t="str">
        <f aca="false">IF($B45=EY$12,$O45,"")</f>
        <v/>
      </c>
      <c r="EZ45" s="106" t="str">
        <f aca="false">IF($B45=EZ$12,$O45,"")</f>
        <v/>
      </c>
      <c r="FA45" s="106" t="str">
        <f aca="false">IF($B45=FA$12,$O45,"")</f>
        <v/>
      </c>
      <c r="FB45" s="106" t="str">
        <f aca="false">IF($B45=FB$12,$O45,"")</f>
        <v/>
      </c>
      <c r="FC45" s="106" t="str">
        <f aca="false">IF($B45=FC$12,$O45,"")</f>
        <v/>
      </c>
      <c r="FD45" s="106" t="str">
        <f aca="false">IF($B45=FD$12,$O45,"")</f>
        <v/>
      </c>
      <c r="FE45" s="106" t="str">
        <f aca="false">IF($B45=FE$12,$O45,"")</f>
        <v/>
      </c>
      <c r="FF45" s="106" t="str">
        <f aca="false">IF($B45=FF$12,$O45,"")</f>
        <v/>
      </c>
      <c r="FG45" s="106" t="str">
        <f aca="false">IF($B45=FG$12,$O45,"")</f>
        <v/>
      </c>
      <c r="FH45" s="106" t="str">
        <f aca="false">IF($B45=FH$12,$O45,"")</f>
        <v/>
      </c>
      <c r="FI45" s="106" t="str">
        <f aca="false">IF($B45=FI$12,$O45,"")</f>
        <v/>
      </c>
      <c r="FJ45" s="106" t="str">
        <f aca="false">IF($B45=FJ$12,$O45,"")</f>
        <v/>
      </c>
      <c r="FK45" s="106" t="str">
        <f aca="false">IF($B45=FK$12,$O45,"")</f>
        <v/>
      </c>
      <c r="FL45" s="106" t="str">
        <f aca="false">IF($B45=FL$12,$O45,"")</f>
        <v/>
      </c>
      <c r="FM45" s="106" t="str">
        <f aca="false">IF($B45=FM$12,$O45,"")</f>
        <v/>
      </c>
      <c r="FN45" s="106" t="str">
        <f aca="false">IF($B45=FN$12,$O45,"")</f>
        <v/>
      </c>
      <c r="FO45" s="106" t="str">
        <f aca="false">IF($B45=FO$12,$O45,"")</f>
        <v/>
      </c>
      <c r="FP45" s="106" t="str">
        <f aca="false">IF($B45=FP$12,$O45,"")</f>
        <v/>
      </c>
      <c r="FQ45" s="106" t="str">
        <f aca="false">IF($B45=FQ$12,$O45,"")</f>
        <v/>
      </c>
      <c r="FR45" s="106" t="str">
        <f aca="false">IF($B45=FR$12,$O45,"")</f>
        <v/>
      </c>
      <c r="FS45" s="106" t="str">
        <f aca="false">IF($B45=FS$12,$O45,"")</f>
        <v/>
      </c>
      <c r="FT45" s="106" t="str">
        <f aca="false">IF($B45=FT$12,$O45,"")</f>
        <v/>
      </c>
      <c r="FU45" s="106" t="str">
        <f aca="false">IF($B45=FU$12,$O45,"")</f>
        <v/>
      </c>
      <c r="FV45" s="106" t="str">
        <f aca="false">IF($B45=FV$12,$O45,"")</f>
        <v/>
      </c>
      <c r="FW45" s="106" t="str">
        <f aca="false">IF($B45=FW$12,$O45,"")</f>
        <v/>
      </c>
      <c r="FX45" s="106" t="str">
        <f aca="false">IF($B45=FX$12,$O45,"")</f>
        <v/>
      </c>
      <c r="FY45" s="106" t="str">
        <f aca="false">IF($B45=FY$12,$O45,"")</f>
        <v/>
      </c>
      <c r="FZ45" s="106" t="str">
        <f aca="false">IF($B45=FZ$12,$O45,"")</f>
        <v/>
      </c>
      <c r="GA45" s="106" t="str">
        <f aca="false">IF($B45=GA$12,$O45,"")</f>
        <v/>
      </c>
      <c r="GB45" s="106" t="str">
        <f aca="false">IF($B45=GB$12,$O45,"")</f>
        <v/>
      </c>
      <c r="GC45" s="106" t="str">
        <f aca="false">IF($B45=GC$12,$O45,"")</f>
        <v/>
      </c>
      <c r="GD45" s="106" t="str">
        <f aca="false">IF($B45=GD$12,$O45,"")</f>
        <v/>
      </c>
      <c r="GE45" s="106" t="str">
        <f aca="false">IF($B45=GE$12,$O45,"")</f>
        <v/>
      </c>
      <c r="GF45" s="106" t="str">
        <f aca="false">IF($B45=GF$12,$O45,"")</f>
        <v/>
      </c>
      <c r="GG45" s="106" t="str">
        <f aca="false">IF($B45=GG$12,$O45,"")</f>
        <v/>
      </c>
      <c r="GH45" s="106" t="str">
        <f aca="false">IF($B45=GH$12,$O45,"")</f>
        <v/>
      </c>
      <c r="GI45" s="106" t="str">
        <f aca="false">IF($B45=GI$12,$O45,"")</f>
        <v/>
      </c>
      <c r="GJ45" s="106" t="str">
        <f aca="false">IF($B45=GJ$12,$O45,"")</f>
        <v/>
      </c>
      <c r="GK45" s="106" t="str">
        <f aca="false">IF($B45=GK$12,$O45,"")</f>
        <v/>
      </c>
      <c r="GL45" s="106" t="str">
        <f aca="false">IF($B45=GL$12,$O45,"")</f>
        <v/>
      </c>
      <c r="GM45" s="106" t="str">
        <f aca="false">IF($B45=GM$12,$O45,"")</f>
        <v/>
      </c>
      <c r="GN45" s="106" t="str">
        <f aca="false">IF($B45=GN$12,$O45,"")</f>
        <v/>
      </c>
      <c r="GO45" s="106" t="str">
        <f aca="false">IF($B45=GO$12,$O45,"")</f>
        <v/>
      </c>
      <c r="GP45" s="106" t="str">
        <f aca="false">IF($B45=GP$12,$O45,"")</f>
        <v/>
      </c>
      <c r="GQ45" s="106" t="str">
        <f aca="false">IF($B45=GQ$12,$O45,"")</f>
        <v/>
      </c>
      <c r="GR45" s="106" t="str">
        <f aca="false">IF($B45=GR$12,$O45,"")</f>
        <v/>
      </c>
      <c r="GS45" s="106" t="str">
        <f aca="false">IF($B45=GS$12,$O45,"")</f>
        <v/>
      </c>
      <c r="GT45" s="106" t="str">
        <f aca="false">IF($B45=GT$12,$O45,"")</f>
        <v/>
      </c>
      <c r="GU45" s="106" t="str">
        <f aca="false">IF($B45=GU$12,$O45,"")</f>
        <v/>
      </c>
      <c r="GV45" s="106" t="str">
        <f aca="false">IF($B45=GV$12,$O45,"")</f>
        <v/>
      </c>
      <c r="GW45" s="106" t="str">
        <f aca="false">IF($B45=GW$12,$O45,"")</f>
        <v/>
      </c>
      <c r="GX45" s="106" t="str">
        <f aca="false">IF($B45=GX$12,$O45,"")</f>
        <v/>
      </c>
      <c r="GY45" s="106" t="str">
        <f aca="false">IF($B45=GY$12,$O45,"")</f>
        <v/>
      </c>
      <c r="GZ45" s="106" t="str">
        <f aca="false">IF($B45=GZ$12,$O45,"")</f>
        <v/>
      </c>
      <c r="HA45" s="106" t="str">
        <f aca="false">IF($B45=HA$12,$O45,"")</f>
        <v/>
      </c>
      <c r="HB45" s="106" t="str">
        <f aca="false">IF($B45=HB$12,$O45,"")</f>
        <v/>
      </c>
      <c r="HC45" s="106" t="str">
        <f aca="false">IF($B45=HC$12,$O45,"")</f>
        <v/>
      </c>
      <c r="HD45" s="106" t="str">
        <f aca="false">IF($B45=HD$12,$O45,"")</f>
        <v/>
      </c>
      <c r="HE45" s="106" t="str">
        <f aca="false">IF($B45=HE$12,$O45,"")</f>
        <v/>
      </c>
      <c r="HF45" s="106" t="str">
        <f aca="false">IF($B45=HF$12,$O45,"")</f>
        <v/>
      </c>
      <c r="HG45" s="106" t="str">
        <f aca="false">IF($B45=HG$12,$O45,"")</f>
        <v/>
      </c>
      <c r="HH45" s="106" t="str">
        <f aca="false">IF($B45=HH$12,$O45,"")</f>
        <v/>
      </c>
      <c r="HI45" s="106" t="str">
        <f aca="false">IF($B45=HI$12,$O45,"")</f>
        <v/>
      </c>
      <c r="HJ45" s="106" t="str">
        <f aca="false">IF($B45=HJ$12,$O45,"")</f>
        <v/>
      </c>
      <c r="HK45" s="106" t="str">
        <f aca="false">IF($B45=HK$12,$O45,"")</f>
        <v/>
      </c>
      <c r="HL45" s="106" t="str">
        <f aca="false">IF($B45=HL$12,$O45,"")</f>
        <v/>
      </c>
      <c r="HM45" s="106" t="str">
        <f aca="false">IF($B45=HM$12,$O45,"")</f>
        <v/>
      </c>
      <c r="HN45" s="106" t="str">
        <f aca="false">IF($B45=HN$12,$O45,"")</f>
        <v/>
      </c>
      <c r="HO45" s="106" t="str">
        <f aca="false">IF($B45=HO$12,$O45,"")</f>
        <v/>
      </c>
      <c r="HP45" s="106" t="str">
        <f aca="false">IF($B45=HP$12,$O45,"")</f>
        <v/>
      </c>
      <c r="HQ45" s="106" t="str">
        <f aca="false">IF($B45=HQ$12,$O45,"")</f>
        <v/>
      </c>
      <c r="HR45" s="107" t="str">
        <f aca="false">IF($B45=HR$12,$O45,"")</f>
        <v/>
      </c>
    </row>
    <row r="46" customFormat="false" ht="10.5" hidden="false" customHeight="true" outlineLevel="0" collapsed="false"/>
    <row r="47" customFormat="false" ht="12.75" hidden="false" customHeight="false" outlineLevel="0" collapsed="false">
      <c r="L47" s="132"/>
      <c r="O47" s="109" t="s">
        <v>24</v>
      </c>
      <c r="P47" s="110"/>
      <c r="Q47" s="111" t="n">
        <f aca="false">SUM(Q38:Q45)</f>
        <v>0</v>
      </c>
      <c r="R47" s="111" t="e">
        <f aca="false">SUM(R38:R45)</f>
        <v>#VALUE!</v>
      </c>
      <c r="S47" s="112"/>
    </row>
    <row r="48" customFormat="false" ht="10.5" hidden="false" customHeight="true" outlineLevel="0" collapsed="false"/>
    <row r="49" customFormat="false" ht="16.5" hidden="false" customHeight="false" outlineLevel="0" collapsed="false">
      <c r="A49" s="113"/>
      <c r="B49" s="114"/>
      <c r="C49" s="114"/>
      <c r="D49" s="114"/>
      <c r="E49" s="114"/>
      <c r="F49" s="114"/>
      <c r="G49" s="114" t="s">
        <v>26</v>
      </c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6"/>
    </row>
    <row r="50" customFormat="false" ht="10.5" hidden="false" customHeight="true" outlineLevel="0" collapsed="false"/>
    <row r="51" customFormat="false" ht="10.5" hidden="false" customHeight="true" outlineLevel="0" collapsed="false">
      <c r="A51" s="57"/>
      <c r="B51" s="117"/>
      <c r="C51" s="118" t="str">
        <f aca="false">IF(A51=0,"",VLOOKUP(A51,[3]CO!$A$3:$F$5311,2,0))</f>
        <v/>
      </c>
      <c r="D51" s="119"/>
      <c r="E51" s="119"/>
      <c r="F51" s="133" t="str">
        <f aca="false">IF(AND(B51&gt;0,H51&gt;0),(H51*100) &amp; "% DE $" &amp;$Q$34,"")</f>
        <v/>
      </c>
      <c r="G51" s="120" t="str">
        <f aca="false">IF(A51=0,"",VLOOKUP(A51,[3]CO!$A$3:$F$5311,3,0))</f>
        <v/>
      </c>
      <c r="H51" s="121"/>
      <c r="I51" s="122"/>
      <c r="J51" s="122"/>
      <c r="K51" s="122"/>
      <c r="L51" s="122"/>
      <c r="M51" s="123" t="str">
        <f aca="false">IF(L51=0,"",H51*Q$34/N51)</f>
        <v/>
      </c>
      <c r="N51" s="123" t="str">
        <f aca="false">IF(B51=0,"",IF(H51="M",HLOOKUP(B51,$Y$12:$DT$13,2),IF(A51=0,"",VLOOKUP(A51,[3]CO!$A$3:$F$5311,4,0))))</f>
        <v/>
      </c>
      <c r="O51" s="123" t="str">
        <f aca="false">IF(L51=0,"",PRODUCT(M51:N51))</f>
        <v/>
      </c>
      <c r="P51" s="58"/>
      <c r="Q51" s="64" t="str">
        <f aca="false">IF(P51=0,"",(HLOOKUP(P51,$DW$12:$HR$13,2)))</f>
        <v/>
      </c>
      <c r="R51" s="65"/>
      <c r="S51" s="51"/>
      <c r="T51" s="67" t="str">
        <f aca="false">IF(A51=0,"",VLOOKUP(A51,[3]CO!$A$3:$F$5302,5,0))</f>
        <v/>
      </c>
      <c r="U51" s="56" t="n">
        <f aca="false">IF(T51=1,O51*0.1,)</f>
        <v>0</v>
      </c>
      <c r="V51" s="68"/>
      <c r="W51" s="91"/>
      <c r="X51" s="91"/>
      <c r="Y51" s="124" t="str">
        <f aca="false">IF($B51=Y$12,$U51,"")</f>
        <v/>
      </c>
      <c r="Z51" s="125" t="str">
        <f aca="false">IF($B51=Z$12,$U51,"")</f>
        <v/>
      </c>
      <c r="AA51" s="125" t="str">
        <f aca="false">IF($B51=AA$12,$U51,"")</f>
        <v/>
      </c>
      <c r="AB51" s="125" t="str">
        <f aca="false">IF($B51=AB$12,$U51,"")</f>
        <v/>
      </c>
      <c r="AC51" s="125" t="str">
        <f aca="false">IF($B51=AC$12,$U51,"")</f>
        <v/>
      </c>
      <c r="AD51" s="125" t="str">
        <f aca="false">IF($B51=AD$12,$U51,"")</f>
        <v/>
      </c>
      <c r="AE51" s="125" t="str">
        <f aca="false">IF($B51=AE$12,$U51,"")</f>
        <v/>
      </c>
      <c r="AF51" s="125" t="str">
        <f aca="false">IF($B51=AF$12,$U51,"")</f>
        <v/>
      </c>
      <c r="AG51" s="125" t="str">
        <f aca="false">IF($B51=AG$12,$U51,"")</f>
        <v/>
      </c>
      <c r="AH51" s="125" t="str">
        <f aca="false">IF($B51=AH$12,$U51,"")</f>
        <v/>
      </c>
      <c r="AI51" s="125" t="str">
        <f aca="false">IF($B51=AI$12,$U51,"")</f>
        <v/>
      </c>
      <c r="AJ51" s="125" t="str">
        <f aca="false">IF($B51=AJ$12,$U51,"")</f>
        <v/>
      </c>
      <c r="AK51" s="125" t="str">
        <f aca="false">IF($B51=AK$12,$U51,"")</f>
        <v/>
      </c>
      <c r="AL51" s="125" t="str">
        <f aca="false">IF($B51=AL$12,$U51,"")</f>
        <v/>
      </c>
      <c r="AM51" s="125" t="str">
        <f aca="false">IF($B51=AM$12,$U51,"")</f>
        <v/>
      </c>
      <c r="AN51" s="125" t="str">
        <f aca="false">IF($B51=AN$12,$U51,"")</f>
        <v/>
      </c>
      <c r="AO51" s="125" t="str">
        <f aca="false">IF($B51=AO$12,$U51,"")</f>
        <v/>
      </c>
      <c r="AP51" s="125" t="str">
        <f aca="false">IF($B51=AP$12,$U51,"")</f>
        <v/>
      </c>
      <c r="AQ51" s="125" t="str">
        <f aca="false">IF($B51=AQ$12,$U51,"")</f>
        <v/>
      </c>
      <c r="AR51" s="125" t="str">
        <f aca="false">IF($B51=AR$12,$U51,"")</f>
        <v/>
      </c>
      <c r="AS51" s="125" t="str">
        <f aca="false">IF($B51=AS$12,$U51,"")</f>
        <v/>
      </c>
      <c r="AT51" s="125" t="str">
        <f aca="false">IF($B51=AT$12,$U51,"")</f>
        <v/>
      </c>
      <c r="AU51" s="125" t="str">
        <f aca="false">IF($B51=AU$12,$U51,"")</f>
        <v/>
      </c>
      <c r="AV51" s="125" t="str">
        <f aca="false">IF($B51=AV$12,$U51,"")</f>
        <v/>
      </c>
      <c r="AW51" s="125" t="str">
        <f aca="false">IF($B51=AW$12,$U51,"")</f>
        <v/>
      </c>
      <c r="AX51" s="125" t="str">
        <f aca="false">IF($B51=AX$12,$U51,"")</f>
        <v/>
      </c>
      <c r="AY51" s="125" t="str">
        <f aca="false">IF($B51=AY$12,$U51,"")</f>
        <v/>
      </c>
      <c r="AZ51" s="125" t="str">
        <f aca="false">IF($B51=AZ$12,$U51,"")</f>
        <v/>
      </c>
      <c r="BA51" s="125" t="str">
        <f aca="false">IF($B51=BA$12,$U51,"")</f>
        <v/>
      </c>
      <c r="BB51" s="125" t="str">
        <f aca="false">IF($B51=BB$12,$U51,"")</f>
        <v/>
      </c>
      <c r="BC51" s="125" t="str">
        <f aca="false">IF($B51=BC$12,$U51,"")</f>
        <v/>
      </c>
      <c r="BD51" s="125" t="str">
        <f aca="false">IF($B51=BD$12,$U51,"")</f>
        <v/>
      </c>
      <c r="BE51" s="125" t="str">
        <f aca="false">IF($B51=BE$12,$U51,"")</f>
        <v/>
      </c>
      <c r="BF51" s="125" t="str">
        <f aca="false">IF($B51=BF$12,$U51,"")</f>
        <v/>
      </c>
      <c r="BG51" s="125" t="str">
        <f aca="false">IF($B51=BG$12,$U51,"")</f>
        <v/>
      </c>
      <c r="BH51" s="125" t="str">
        <f aca="false">IF($B51=BH$12,$U51,"")</f>
        <v/>
      </c>
      <c r="BI51" s="125" t="str">
        <f aca="false">IF($B51=BI$12,$U51,"")</f>
        <v/>
      </c>
      <c r="BJ51" s="125" t="str">
        <f aca="false">IF($B51=BJ$12,$U51,"")</f>
        <v/>
      </c>
      <c r="BK51" s="125" t="str">
        <f aca="false">IF($B51=BK$12,$U51,"")</f>
        <v/>
      </c>
      <c r="BL51" s="125" t="str">
        <f aca="false">IF($B51=BL$12,$U51,"")</f>
        <v/>
      </c>
      <c r="BM51" s="125" t="str">
        <f aca="false">IF($B51=BM$12,$U51,"")</f>
        <v/>
      </c>
      <c r="BN51" s="125" t="str">
        <f aca="false">IF($B51=BN$12,$U51,"")</f>
        <v/>
      </c>
      <c r="BO51" s="125" t="str">
        <f aca="false">IF($B51=BO$12,$U51,"")</f>
        <v/>
      </c>
      <c r="BP51" s="125" t="str">
        <f aca="false">IF($B51=BP$12,$U51,"")</f>
        <v/>
      </c>
      <c r="BQ51" s="125" t="str">
        <f aca="false">IF($B51=BQ$12,$U51,"")</f>
        <v/>
      </c>
      <c r="BR51" s="125" t="str">
        <f aca="false">IF($B51=BR$12,$U51,"")</f>
        <v/>
      </c>
      <c r="BS51" s="125" t="str">
        <f aca="false">IF($B51=BS$12,$U51,"")</f>
        <v/>
      </c>
      <c r="BT51" s="125" t="str">
        <f aca="false">IF($B51=BT$12,$U51,"")</f>
        <v/>
      </c>
      <c r="BU51" s="125" t="str">
        <f aca="false">IF($B51=BU$12,$U51,"")</f>
        <v/>
      </c>
      <c r="BV51" s="125" t="str">
        <f aca="false">IF($B51=BV$12,$U51,"")</f>
        <v/>
      </c>
      <c r="BW51" s="125" t="str">
        <f aca="false">IF($B51=BW$12,$U51,"")</f>
        <v/>
      </c>
      <c r="BX51" s="125" t="str">
        <f aca="false">IF($B51=BX$12,$U51,"")</f>
        <v/>
      </c>
      <c r="BY51" s="125" t="str">
        <f aca="false">IF($B51=BY$12,$U51,"")</f>
        <v/>
      </c>
      <c r="BZ51" s="125" t="str">
        <f aca="false">IF($B51=BZ$12,$U51,"")</f>
        <v/>
      </c>
      <c r="CA51" s="125" t="str">
        <f aca="false">IF($B51=CA$12,$U51,"")</f>
        <v/>
      </c>
      <c r="CB51" s="125" t="str">
        <f aca="false">IF($B51=CB$12,$U51,"")</f>
        <v/>
      </c>
      <c r="CC51" s="125" t="str">
        <f aca="false">IF($B51=CC$12,$U51,"")</f>
        <v/>
      </c>
      <c r="CD51" s="125" t="str">
        <f aca="false">IF($B51=CD$12,$U51,"")</f>
        <v/>
      </c>
      <c r="CE51" s="125" t="str">
        <f aca="false">IF($B51=CE$12,$U51,"")</f>
        <v/>
      </c>
      <c r="CF51" s="125" t="str">
        <f aca="false">IF($B51=CF$12,$U51,"")</f>
        <v/>
      </c>
      <c r="CG51" s="125" t="str">
        <f aca="false">IF($B51=CG$12,$U51,"")</f>
        <v/>
      </c>
      <c r="CH51" s="125" t="str">
        <f aca="false">IF($B51=CH$12,$U51,"")</f>
        <v/>
      </c>
      <c r="CI51" s="125" t="str">
        <f aca="false">IF($B51=CI$12,$U51,"")</f>
        <v/>
      </c>
      <c r="CJ51" s="125" t="str">
        <f aca="false">IF($B51=CJ$12,$U51,"")</f>
        <v/>
      </c>
      <c r="CK51" s="125" t="str">
        <f aca="false">IF($B51=CK$12,$U51,"")</f>
        <v/>
      </c>
      <c r="CL51" s="125" t="str">
        <f aca="false">IF($B51=CL$12,$U51,"")</f>
        <v/>
      </c>
      <c r="CM51" s="125" t="str">
        <f aca="false">IF($B51=CM$12,$U51,"")</f>
        <v/>
      </c>
      <c r="CN51" s="125" t="str">
        <f aca="false">IF($B51=CN$12,$U51,"")</f>
        <v/>
      </c>
      <c r="CO51" s="125" t="str">
        <f aca="false">IF($B51=CO$12,$U51,"")</f>
        <v/>
      </c>
      <c r="CP51" s="125" t="str">
        <f aca="false">IF($B51=CP$12,$U51,"")</f>
        <v/>
      </c>
      <c r="CQ51" s="125" t="str">
        <f aca="false">IF($B51=CQ$12,$U51,"")</f>
        <v/>
      </c>
      <c r="CR51" s="125" t="str">
        <f aca="false">IF($B51=CR$12,$U51,"")</f>
        <v/>
      </c>
      <c r="CS51" s="125" t="str">
        <f aca="false">IF($B51=CS$12,$U51,"")</f>
        <v/>
      </c>
      <c r="CT51" s="125" t="str">
        <f aca="false">IF($B51=CT$12,$U51,"")</f>
        <v/>
      </c>
      <c r="CU51" s="125" t="str">
        <f aca="false">IF($B51=CU$12,$U51,"")</f>
        <v/>
      </c>
      <c r="CV51" s="125" t="str">
        <f aca="false">IF($B51=CV$12,$U51,"")</f>
        <v/>
      </c>
      <c r="CW51" s="125" t="str">
        <f aca="false">IF($B51=CW$12,$U51,"")</f>
        <v/>
      </c>
      <c r="CX51" s="125" t="str">
        <f aca="false">IF($B51=CX$12,$U51,"")</f>
        <v/>
      </c>
      <c r="CY51" s="125" t="str">
        <f aca="false">IF($B51=CY$12,$U51,"")</f>
        <v/>
      </c>
      <c r="CZ51" s="125" t="str">
        <f aca="false">IF($B51=CZ$12,$U51,"")</f>
        <v/>
      </c>
      <c r="DA51" s="125" t="str">
        <f aca="false">IF($B51=DA$12,$U51,"")</f>
        <v/>
      </c>
      <c r="DB51" s="125" t="str">
        <f aca="false">IF($B51=DB$12,$U51,"")</f>
        <v/>
      </c>
      <c r="DC51" s="125" t="str">
        <f aca="false">IF($B51=DC$12,$U51,"")</f>
        <v/>
      </c>
      <c r="DD51" s="125" t="str">
        <f aca="false">IF($B51=DD$12,$U51,"")</f>
        <v/>
      </c>
      <c r="DE51" s="125" t="str">
        <f aca="false">IF($B51=DE$12,$U51,"")</f>
        <v/>
      </c>
      <c r="DF51" s="125" t="str">
        <f aca="false">IF($B51=DF$12,$U51,"")</f>
        <v/>
      </c>
      <c r="DG51" s="125" t="str">
        <f aca="false">IF($B51=DG$12,$U51,"")</f>
        <v/>
      </c>
      <c r="DH51" s="125" t="str">
        <f aca="false">IF($B51=DH$12,$U51,"")</f>
        <v/>
      </c>
      <c r="DI51" s="125" t="str">
        <f aca="false">IF($B51=DI$12,$U51,"")</f>
        <v/>
      </c>
      <c r="DJ51" s="125" t="str">
        <f aca="false">IF($B51=DJ$12,$U51,"")</f>
        <v/>
      </c>
      <c r="DK51" s="125" t="str">
        <f aca="false">IF($B51=DK$12,$U51,"")</f>
        <v/>
      </c>
      <c r="DL51" s="125" t="str">
        <f aca="false">IF($B51=DL$12,$U51,"")</f>
        <v/>
      </c>
      <c r="DM51" s="125" t="str">
        <f aca="false">IF($B51=DM$12,$U51,"")</f>
        <v/>
      </c>
      <c r="DN51" s="125" t="str">
        <f aca="false">IF($B51=DN$12,$U51,"")</f>
        <v/>
      </c>
      <c r="DO51" s="125" t="str">
        <f aca="false">IF($B51=DO$12,$U51,"")</f>
        <v/>
      </c>
      <c r="DP51" s="125" t="str">
        <f aca="false">IF($B51=DP$12,$U51,"")</f>
        <v/>
      </c>
      <c r="DQ51" s="125" t="str">
        <f aca="false">IF($B51=DQ$12,$U51,"")</f>
        <v/>
      </c>
      <c r="DR51" s="125" t="str">
        <f aca="false">IF($B51=DR$12,$U51,"")</f>
        <v/>
      </c>
      <c r="DS51" s="125" t="str">
        <f aca="false">IF($B51=DS$12,$U51,"")</f>
        <v/>
      </c>
      <c r="DT51" s="126" t="str">
        <f aca="false">IF($B51=DT$12,$U51,"")</f>
        <v/>
      </c>
      <c r="DU51" s="56"/>
      <c r="DV51" s="91"/>
      <c r="DW51" s="127" t="str">
        <f aca="false">IF($B51=DW$12,$O51,"")</f>
        <v/>
      </c>
      <c r="DX51" s="128" t="str">
        <f aca="false">IF($B51=DX$12,$O51,"")</f>
        <v/>
      </c>
      <c r="DY51" s="128" t="str">
        <f aca="false">IF($B51=DY$12,$O51,"")</f>
        <v/>
      </c>
      <c r="DZ51" s="128" t="str">
        <f aca="false">IF($B51=DZ$12,$O51,"")</f>
        <v/>
      </c>
      <c r="EA51" s="128" t="str">
        <f aca="false">IF($B51=EA$12,$O51,"")</f>
        <v/>
      </c>
      <c r="EB51" s="128" t="str">
        <f aca="false">IF($B51=EB$12,$O51,"")</f>
        <v/>
      </c>
      <c r="EC51" s="128" t="str">
        <f aca="false">IF($B51=EC$12,$O51,"")</f>
        <v/>
      </c>
      <c r="ED51" s="128" t="str">
        <f aca="false">IF($B51=ED$12,$O51,"")</f>
        <v/>
      </c>
      <c r="EE51" s="128" t="str">
        <f aca="false">IF($B51=EE$12,$O51,"")</f>
        <v/>
      </c>
      <c r="EF51" s="128" t="str">
        <f aca="false">IF($B51=EF$12,$O51,"")</f>
        <v/>
      </c>
      <c r="EG51" s="128" t="str">
        <f aca="false">IF($B51=EG$12,$O51,"")</f>
        <v/>
      </c>
      <c r="EH51" s="128" t="str">
        <f aca="false">IF($B51=EH$12,$O51,"")</f>
        <v/>
      </c>
      <c r="EI51" s="128" t="str">
        <f aca="false">IF($B51=EI$12,$O51,"")</f>
        <v/>
      </c>
      <c r="EJ51" s="128" t="str">
        <f aca="false">IF($B51=EJ$12,$O51,"")</f>
        <v/>
      </c>
      <c r="EK51" s="128" t="str">
        <f aca="false">IF($B51=EK$12,$O51,"")</f>
        <v/>
      </c>
      <c r="EL51" s="128" t="str">
        <f aca="false">IF($B51=EL$12,$O51,"")</f>
        <v/>
      </c>
      <c r="EM51" s="128" t="str">
        <f aca="false">IF($B51=EM$12,$O51,"")</f>
        <v/>
      </c>
      <c r="EN51" s="128" t="str">
        <f aca="false">IF($B51=EN$12,$O51,"")</f>
        <v/>
      </c>
      <c r="EO51" s="128" t="str">
        <f aca="false">IF($B51=EO$12,$O51,"")</f>
        <v/>
      </c>
      <c r="EP51" s="128" t="str">
        <f aca="false">IF($B51=EP$12,$O51,"")</f>
        <v/>
      </c>
      <c r="EQ51" s="128" t="str">
        <f aca="false">IF($B51=EQ$12,$O51,"")</f>
        <v/>
      </c>
      <c r="ER51" s="128" t="str">
        <f aca="false">IF($B51=ER$12,$O51,"")</f>
        <v/>
      </c>
      <c r="ES51" s="128" t="str">
        <f aca="false">IF($B51=ES$12,$O51,"")</f>
        <v/>
      </c>
      <c r="ET51" s="128" t="str">
        <f aca="false">IF($B51=ET$12,$O51,"")</f>
        <v/>
      </c>
      <c r="EU51" s="128" t="str">
        <f aca="false">IF($B51=EU$12,$O51,"")</f>
        <v/>
      </c>
      <c r="EV51" s="128" t="str">
        <f aca="false">IF($B51=EV$12,$O51,"")</f>
        <v/>
      </c>
      <c r="EW51" s="128" t="str">
        <f aca="false">IF($B51=EW$12,$O51,"")</f>
        <v/>
      </c>
      <c r="EX51" s="128" t="str">
        <f aca="false">IF($B51=EX$12,$O51,"")</f>
        <v/>
      </c>
      <c r="EY51" s="128" t="str">
        <f aca="false">IF($B51=EY$12,$O51,"")</f>
        <v/>
      </c>
      <c r="EZ51" s="128" t="str">
        <f aca="false">IF($B51=EZ$12,$O51,"")</f>
        <v/>
      </c>
      <c r="FA51" s="128" t="str">
        <f aca="false">IF($B51=FA$12,$O51,"")</f>
        <v/>
      </c>
      <c r="FB51" s="128" t="str">
        <f aca="false">IF($B51=FB$12,$O51,"")</f>
        <v/>
      </c>
      <c r="FC51" s="128" t="str">
        <f aca="false">IF($B51=FC$12,$O51,"")</f>
        <v/>
      </c>
      <c r="FD51" s="128" t="str">
        <f aca="false">IF($B51=FD$12,$O51,"")</f>
        <v/>
      </c>
      <c r="FE51" s="128" t="str">
        <f aca="false">IF($B51=FE$12,$O51,"")</f>
        <v/>
      </c>
      <c r="FF51" s="128" t="str">
        <f aca="false">IF($B51=FF$12,$O51,"")</f>
        <v/>
      </c>
      <c r="FG51" s="128" t="str">
        <f aca="false">IF($B51=FG$12,$O51,"")</f>
        <v/>
      </c>
      <c r="FH51" s="128" t="str">
        <f aca="false">IF($B51=FH$12,$O51,"")</f>
        <v/>
      </c>
      <c r="FI51" s="128" t="str">
        <f aca="false">IF($B51=FI$12,$O51,"")</f>
        <v/>
      </c>
      <c r="FJ51" s="128" t="str">
        <f aca="false">IF($B51=FJ$12,$O51,"")</f>
        <v/>
      </c>
      <c r="FK51" s="128" t="str">
        <f aca="false">IF($B51=FK$12,$O51,"")</f>
        <v/>
      </c>
      <c r="FL51" s="128" t="str">
        <f aca="false">IF($B51=FL$12,$O51,"")</f>
        <v/>
      </c>
      <c r="FM51" s="128" t="str">
        <f aca="false">IF($B51=FM$12,$O51,"")</f>
        <v/>
      </c>
      <c r="FN51" s="128" t="str">
        <f aca="false">IF($B51=FN$12,$O51,"")</f>
        <v/>
      </c>
      <c r="FO51" s="128" t="str">
        <f aca="false">IF($B51=FO$12,$O51,"")</f>
        <v/>
      </c>
      <c r="FP51" s="128" t="str">
        <f aca="false">IF($B51=FP$12,$O51,"")</f>
        <v/>
      </c>
      <c r="FQ51" s="128" t="str">
        <f aca="false">IF($B51=FQ$12,$O51,"")</f>
        <v/>
      </c>
      <c r="FR51" s="128" t="str">
        <f aca="false">IF($B51=FR$12,$O51,"")</f>
        <v/>
      </c>
      <c r="FS51" s="128" t="str">
        <f aca="false">IF($B51=FS$12,$O51,"")</f>
        <v/>
      </c>
      <c r="FT51" s="128" t="str">
        <f aca="false">IF($B51=FT$12,$O51,"")</f>
        <v/>
      </c>
      <c r="FU51" s="128" t="str">
        <f aca="false">IF($B51=FU$12,$O51,"")</f>
        <v/>
      </c>
      <c r="FV51" s="128" t="str">
        <f aca="false">IF($B51=FV$12,$O51,"")</f>
        <v/>
      </c>
      <c r="FW51" s="128" t="str">
        <f aca="false">IF($B51=FW$12,$O51,"")</f>
        <v/>
      </c>
      <c r="FX51" s="128" t="str">
        <f aca="false">IF($B51=FX$12,$O51,"")</f>
        <v/>
      </c>
      <c r="FY51" s="128" t="str">
        <f aca="false">IF($B51=FY$12,$O51,"")</f>
        <v/>
      </c>
      <c r="FZ51" s="128" t="str">
        <f aca="false">IF($B51=FZ$12,$O51,"")</f>
        <v/>
      </c>
      <c r="GA51" s="128" t="str">
        <f aca="false">IF($B51=GA$12,$O51,"")</f>
        <v/>
      </c>
      <c r="GB51" s="128" t="str">
        <f aca="false">IF($B51=GB$12,$O51,"")</f>
        <v/>
      </c>
      <c r="GC51" s="128" t="str">
        <f aca="false">IF($B51=GC$12,$O51,"")</f>
        <v/>
      </c>
      <c r="GD51" s="128" t="str">
        <f aca="false">IF($B51=GD$12,$O51,"")</f>
        <v/>
      </c>
      <c r="GE51" s="128" t="str">
        <f aca="false">IF($B51=GE$12,$O51,"")</f>
        <v/>
      </c>
      <c r="GF51" s="128" t="str">
        <f aca="false">IF($B51=GF$12,$O51,"")</f>
        <v/>
      </c>
      <c r="GG51" s="128" t="str">
        <f aca="false">IF($B51=GG$12,$O51,"")</f>
        <v/>
      </c>
      <c r="GH51" s="128" t="str">
        <f aca="false">IF($B51=GH$12,$O51,"")</f>
        <v/>
      </c>
      <c r="GI51" s="128" t="str">
        <f aca="false">IF($B51=GI$12,$O51,"")</f>
        <v/>
      </c>
      <c r="GJ51" s="128" t="str">
        <f aca="false">IF($B51=GJ$12,$O51,"")</f>
        <v/>
      </c>
      <c r="GK51" s="128" t="str">
        <f aca="false">IF($B51=GK$12,$O51,"")</f>
        <v/>
      </c>
      <c r="GL51" s="128" t="str">
        <f aca="false">IF($B51=GL$12,$O51,"")</f>
        <v/>
      </c>
      <c r="GM51" s="128" t="str">
        <f aca="false">IF($B51=GM$12,$O51,"")</f>
        <v/>
      </c>
      <c r="GN51" s="128" t="str">
        <f aca="false">IF($B51=GN$12,$O51,"")</f>
        <v/>
      </c>
      <c r="GO51" s="128" t="str">
        <f aca="false">IF($B51=GO$12,$O51,"")</f>
        <v/>
      </c>
      <c r="GP51" s="128" t="str">
        <f aca="false">IF($B51=GP$12,$O51,"")</f>
        <v/>
      </c>
      <c r="GQ51" s="128" t="str">
        <f aca="false">IF($B51=GQ$12,$O51,"")</f>
        <v/>
      </c>
      <c r="GR51" s="128" t="str">
        <f aca="false">IF($B51=GR$12,$O51,"")</f>
        <v/>
      </c>
      <c r="GS51" s="128" t="str">
        <f aca="false">IF($B51=GS$12,$O51,"")</f>
        <v/>
      </c>
      <c r="GT51" s="128" t="str">
        <f aca="false">IF($B51=GT$12,$O51,"")</f>
        <v/>
      </c>
      <c r="GU51" s="128" t="str">
        <f aca="false">IF($B51=GU$12,$O51,"")</f>
        <v/>
      </c>
      <c r="GV51" s="128" t="str">
        <f aca="false">IF($B51=GV$12,$O51,"")</f>
        <v/>
      </c>
      <c r="GW51" s="128" t="str">
        <f aca="false">IF($B51=GW$12,$O51,"")</f>
        <v/>
      </c>
      <c r="GX51" s="128" t="str">
        <f aca="false">IF($B51=GX$12,$O51,"")</f>
        <v/>
      </c>
      <c r="GY51" s="128" t="str">
        <f aca="false">IF($B51=GY$12,$O51,"")</f>
        <v/>
      </c>
      <c r="GZ51" s="128" t="str">
        <f aca="false">IF($B51=GZ$12,$O51,"")</f>
        <v/>
      </c>
      <c r="HA51" s="128" t="str">
        <f aca="false">IF($B51=HA$12,$O51,"")</f>
        <v/>
      </c>
      <c r="HB51" s="128" t="str">
        <f aca="false">IF($B51=HB$12,$O51,"")</f>
        <v/>
      </c>
      <c r="HC51" s="128" t="str">
        <f aca="false">IF($B51=HC$12,$O51,"")</f>
        <v/>
      </c>
      <c r="HD51" s="128" t="str">
        <f aca="false">IF($B51=HD$12,$O51,"")</f>
        <v/>
      </c>
      <c r="HE51" s="128" t="str">
        <f aca="false">IF($B51=HE$12,$O51,"")</f>
        <v/>
      </c>
      <c r="HF51" s="128" t="str">
        <f aca="false">IF($B51=HF$12,$O51,"")</f>
        <v/>
      </c>
      <c r="HG51" s="128" t="str">
        <f aca="false">IF($B51=HG$12,$O51,"")</f>
        <v/>
      </c>
      <c r="HH51" s="128" t="str">
        <f aca="false">IF($B51=HH$12,$O51,"")</f>
        <v/>
      </c>
      <c r="HI51" s="128" t="str">
        <f aca="false">IF($B51=HI$12,$O51,"")</f>
        <v/>
      </c>
      <c r="HJ51" s="128" t="str">
        <f aca="false">IF($B51=HJ$12,$O51,"")</f>
        <v/>
      </c>
      <c r="HK51" s="128" t="str">
        <f aca="false">IF($B51=HK$12,$O51,"")</f>
        <v/>
      </c>
      <c r="HL51" s="128" t="str">
        <f aca="false">IF($B51=HL$12,$O51,"")</f>
        <v/>
      </c>
      <c r="HM51" s="128" t="str">
        <f aca="false">IF($B51=HM$12,$O51,"")</f>
        <v/>
      </c>
      <c r="HN51" s="128" t="str">
        <f aca="false">IF($B51=HN$12,$O51,"")</f>
        <v/>
      </c>
      <c r="HO51" s="128" t="str">
        <f aca="false">IF($B51=HO$12,$O51,"")</f>
        <v/>
      </c>
      <c r="HP51" s="128" t="str">
        <f aca="false">IF($B51=HP$12,$O51,"")</f>
        <v/>
      </c>
      <c r="HQ51" s="128" t="str">
        <f aca="false">IF($B51=HQ$12,$O51,"")</f>
        <v/>
      </c>
      <c r="HR51" s="129" t="str">
        <f aca="false">IF($B51=HR$12,$O51,"")</f>
        <v/>
      </c>
    </row>
    <row r="52" customFormat="false" ht="10.5" hidden="false" customHeight="true" outlineLevel="0" collapsed="false">
      <c r="A52" s="75" t="s">
        <v>27</v>
      </c>
      <c r="B52" s="76" t="n">
        <v>75</v>
      </c>
      <c r="C52" s="77" t="str">
        <f aca="false">IF(A52=0,"",VLOOKUP(A52,[3]CO!$A$3:$F$5311,2,0))</f>
        <v>Lote</v>
      </c>
      <c r="D52" s="134" t="s">
        <v>26</v>
      </c>
      <c r="E52" s="78"/>
      <c r="F52" s="135" t="str">
        <f aca="false">IF(AND(B52&gt;0,H52&gt;0),(H52*100) &amp; "% DE $" &amp;$Q$34,"")</f>
        <v>7% DE $0</v>
      </c>
      <c r="G52" s="79" t="str">
        <f aca="false">IF(A52=0,"",VLOOKUP(A52,[3]CO!$A$3:$F$5311,3,0))</f>
        <v>LOTE</v>
      </c>
      <c r="H52" s="130" t="n">
        <v>0.07</v>
      </c>
      <c r="I52" s="80"/>
      <c r="J52" s="80"/>
      <c r="K52" s="80"/>
      <c r="L52" s="80" t="n">
        <v>1</v>
      </c>
      <c r="M52" s="81" t="n">
        <f aca="false">IF(L52=0,"",H52*Q$34/N52)</f>
        <v>0</v>
      </c>
      <c r="N52" s="81" t="n">
        <f aca="false">IF(B52=0,"",IF(H52="M",HLOOKUP(B52,$Y$12:$DT$13,2),IF(A52=0,"",VLOOKUP(A52,[3]CO!$A$3:$F$5311,4,0))))</f>
        <v>100</v>
      </c>
      <c r="O52" s="81" t="n">
        <f aca="false">IF(L52=0,"",PRODUCT(M52:N52))</f>
        <v>0</v>
      </c>
      <c r="P52" s="82" t="n">
        <v>75</v>
      </c>
      <c r="Q52" s="83" t="n">
        <f aca="false">IF(P52=0,"",(HLOOKUP(P52,$DW$12:$HR$13,2)))</f>
        <v>0</v>
      </c>
      <c r="R52" s="84"/>
      <c r="S52" s="51"/>
      <c r="T52" s="67" t="n">
        <f aca="false">IF(A52=0,"",VLOOKUP(A52,[3]CO!$A$3:$F$5302,5,0))</f>
        <v>0</v>
      </c>
      <c r="U52" s="56" t="n">
        <f aca="false">IF(T52=1,O52*0.1,)</f>
        <v>0</v>
      </c>
      <c r="V52" s="68"/>
      <c r="W52" s="91"/>
      <c r="X52" s="91"/>
      <c r="Y52" s="85" t="str">
        <f aca="false">IF($B52=Y$12,$U52,"")</f>
        <v/>
      </c>
      <c r="Z52" s="86" t="str">
        <f aca="false">IF($B52=Z$12,$U52,"")</f>
        <v/>
      </c>
      <c r="AA52" s="86" t="str">
        <f aca="false">IF($B52=AA$12,$U52,"")</f>
        <v/>
      </c>
      <c r="AB52" s="86" t="str">
        <f aca="false">IF($B52=AB$12,$U52,"")</f>
        <v/>
      </c>
      <c r="AC52" s="86" t="str">
        <f aca="false">IF($B52=AC$12,$U52,"")</f>
        <v/>
      </c>
      <c r="AD52" s="86" t="str">
        <f aca="false">IF($B52=AD$12,$U52,"")</f>
        <v/>
      </c>
      <c r="AE52" s="86" t="str">
        <f aca="false">IF($B52=AE$12,$U52,"")</f>
        <v/>
      </c>
      <c r="AF52" s="86" t="str">
        <f aca="false">IF($B52=AF$12,$U52,"")</f>
        <v/>
      </c>
      <c r="AG52" s="86" t="str">
        <f aca="false">IF($B52=AG$12,$U52,"")</f>
        <v/>
      </c>
      <c r="AH52" s="86" t="str">
        <f aca="false">IF($B52=AH$12,$U52,"")</f>
        <v/>
      </c>
      <c r="AI52" s="86" t="str">
        <f aca="false">IF($B52=AI$12,$U52,"")</f>
        <v/>
      </c>
      <c r="AJ52" s="86" t="str">
        <f aca="false">IF($B52=AJ$12,$U52,"")</f>
        <v/>
      </c>
      <c r="AK52" s="86" t="str">
        <f aca="false">IF($B52=AK$12,$U52,"")</f>
        <v/>
      </c>
      <c r="AL52" s="86" t="str">
        <f aca="false">IF($B52=AL$12,$U52,"")</f>
        <v/>
      </c>
      <c r="AM52" s="86" t="str">
        <f aca="false">IF($B52=AM$12,$U52,"")</f>
        <v/>
      </c>
      <c r="AN52" s="86" t="str">
        <f aca="false">IF($B52=AN$12,$U52,"")</f>
        <v/>
      </c>
      <c r="AO52" s="86" t="str">
        <f aca="false">IF($B52=AO$12,$U52,"")</f>
        <v/>
      </c>
      <c r="AP52" s="86" t="str">
        <f aca="false">IF($B52=AP$12,$U52,"")</f>
        <v/>
      </c>
      <c r="AQ52" s="86" t="str">
        <f aca="false">IF($B52=AQ$12,$U52,"")</f>
        <v/>
      </c>
      <c r="AR52" s="86" t="str">
        <f aca="false">IF($B52=AR$12,$U52,"")</f>
        <v/>
      </c>
      <c r="AS52" s="86" t="str">
        <f aca="false">IF($B52=AS$12,$U52,"")</f>
        <v/>
      </c>
      <c r="AT52" s="86" t="str">
        <f aca="false">IF($B52=AT$12,$U52,"")</f>
        <v/>
      </c>
      <c r="AU52" s="86" t="str">
        <f aca="false">IF($B52=AU$12,$U52,"")</f>
        <v/>
      </c>
      <c r="AV52" s="86" t="str">
        <f aca="false">IF($B52=AV$12,$U52,"")</f>
        <v/>
      </c>
      <c r="AW52" s="86" t="str">
        <f aca="false">IF($B52=AW$12,$U52,"")</f>
        <v/>
      </c>
      <c r="AX52" s="86" t="str">
        <f aca="false">IF($B52=AX$12,$U52,"")</f>
        <v/>
      </c>
      <c r="AY52" s="86" t="str">
        <f aca="false">IF($B52=AY$12,$U52,"")</f>
        <v/>
      </c>
      <c r="AZ52" s="86" t="str">
        <f aca="false">IF($B52=AZ$12,$U52,"")</f>
        <v/>
      </c>
      <c r="BA52" s="86" t="str">
        <f aca="false">IF($B52=BA$12,$U52,"")</f>
        <v/>
      </c>
      <c r="BB52" s="86" t="str">
        <f aca="false">IF($B52=BB$12,$U52,"")</f>
        <v/>
      </c>
      <c r="BC52" s="86" t="str">
        <f aca="false">IF($B52=BC$12,$U52,"")</f>
        <v/>
      </c>
      <c r="BD52" s="86" t="str">
        <f aca="false">IF($B52=BD$12,$U52,"")</f>
        <v/>
      </c>
      <c r="BE52" s="86" t="str">
        <f aca="false">IF($B52=BE$12,$U52,"")</f>
        <v/>
      </c>
      <c r="BF52" s="86" t="str">
        <f aca="false">IF($B52=BF$12,$U52,"")</f>
        <v/>
      </c>
      <c r="BG52" s="86" t="str">
        <f aca="false">IF($B52=BG$12,$U52,"")</f>
        <v/>
      </c>
      <c r="BH52" s="86" t="str">
        <f aca="false">IF($B52=BH$12,$U52,"")</f>
        <v/>
      </c>
      <c r="BI52" s="86" t="str">
        <f aca="false">IF($B52=BI$12,$U52,"")</f>
        <v/>
      </c>
      <c r="BJ52" s="86" t="str">
        <f aca="false">IF($B52=BJ$12,$U52,"")</f>
        <v/>
      </c>
      <c r="BK52" s="86" t="str">
        <f aca="false">IF($B52=BK$12,$U52,"")</f>
        <v/>
      </c>
      <c r="BL52" s="86" t="str">
        <f aca="false">IF($B52=BL$12,$U52,"")</f>
        <v/>
      </c>
      <c r="BM52" s="86" t="str">
        <f aca="false">IF($B52=BM$12,$U52,"")</f>
        <v/>
      </c>
      <c r="BN52" s="86" t="str">
        <f aca="false">IF($B52=BN$12,$U52,"")</f>
        <v/>
      </c>
      <c r="BO52" s="86" t="str">
        <f aca="false">IF($B52=BO$12,$U52,"")</f>
        <v/>
      </c>
      <c r="BP52" s="86" t="str">
        <f aca="false">IF($B52=BP$12,$U52,"")</f>
        <v/>
      </c>
      <c r="BQ52" s="86" t="str">
        <f aca="false">IF($B52=BQ$12,$U52,"")</f>
        <v/>
      </c>
      <c r="BR52" s="86" t="str">
        <f aca="false">IF($B52=BR$12,$U52,"")</f>
        <v/>
      </c>
      <c r="BS52" s="86" t="str">
        <f aca="false">IF($B52=BS$12,$U52,"")</f>
        <v/>
      </c>
      <c r="BT52" s="86" t="str">
        <f aca="false">IF($B52=BT$12,$U52,"")</f>
        <v/>
      </c>
      <c r="BU52" s="86" t="str">
        <f aca="false">IF($B52=BU$12,$U52,"")</f>
        <v/>
      </c>
      <c r="BV52" s="86" t="str">
        <f aca="false">IF($B52=BV$12,$U52,"")</f>
        <v/>
      </c>
      <c r="BW52" s="86" t="str">
        <f aca="false">IF($B52=BW$12,$U52,"")</f>
        <v/>
      </c>
      <c r="BX52" s="86" t="str">
        <f aca="false">IF($B52=BX$12,$U52,"")</f>
        <v/>
      </c>
      <c r="BY52" s="86" t="str">
        <f aca="false">IF($B52=BY$12,$U52,"")</f>
        <v/>
      </c>
      <c r="BZ52" s="86" t="str">
        <f aca="false">IF($B52=BZ$12,$U52,"")</f>
        <v/>
      </c>
      <c r="CA52" s="86" t="str">
        <f aca="false">IF($B52=CA$12,$U52,"")</f>
        <v/>
      </c>
      <c r="CB52" s="86" t="str">
        <f aca="false">IF($B52=CB$12,$U52,"")</f>
        <v/>
      </c>
      <c r="CC52" s="86" t="str">
        <f aca="false">IF($B52=CC$12,$U52,"")</f>
        <v/>
      </c>
      <c r="CD52" s="86" t="str">
        <f aca="false">IF($B52=CD$12,$U52,"")</f>
        <v/>
      </c>
      <c r="CE52" s="86" t="str">
        <f aca="false">IF($B52=CE$12,$U52,"")</f>
        <v/>
      </c>
      <c r="CF52" s="86" t="str">
        <f aca="false">IF($B52=CF$12,$U52,"")</f>
        <v/>
      </c>
      <c r="CG52" s="86" t="str">
        <f aca="false">IF($B52=CG$12,$U52,"")</f>
        <v/>
      </c>
      <c r="CH52" s="86" t="str">
        <f aca="false">IF($B52=CH$12,$U52,"")</f>
        <v/>
      </c>
      <c r="CI52" s="86" t="str">
        <f aca="false">IF($B52=CI$12,$U52,"")</f>
        <v/>
      </c>
      <c r="CJ52" s="86" t="str">
        <f aca="false">IF($B52=CJ$12,$U52,"")</f>
        <v/>
      </c>
      <c r="CK52" s="86" t="str">
        <f aca="false">IF($B52=CK$12,$U52,"")</f>
        <v/>
      </c>
      <c r="CL52" s="86" t="str">
        <f aca="false">IF($B52=CL$12,$U52,"")</f>
        <v/>
      </c>
      <c r="CM52" s="86" t="str">
        <f aca="false">IF($B52=CM$12,$U52,"")</f>
        <v/>
      </c>
      <c r="CN52" s="86" t="str">
        <f aca="false">IF($B52=CN$12,$U52,"")</f>
        <v/>
      </c>
      <c r="CO52" s="86" t="str">
        <f aca="false">IF($B52=CO$12,$U52,"")</f>
        <v/>
      </c>
      <c r="CP52" s="86" t="str">
        <f aca="false">IF($B52=CP$12,$U52,"")</f>
        <v/>
      </c>
      <c r="CQ52" s="86" t="str">
        <f aca="false">IF($B52=CQ$12,$U52,"")</f>
        <v/>
      </c>
      <c r="CR52" s="86" t="str">
        <f aca="false">IF($B52=CR$12,$U52,"")</f>
        <v/>
      </c>
      <c r="CS52" s="86" t="str">
        <f aca="false">IF($B52=CS$12,$U52,"")</f>
        <v/>
      </c>
      <c r="CT52" s="86" t="str">
        <f aca="false">IF($B52=CT$12,$U52,"")</f>
        <v/>
      </c>
      <c r="CU52" s="86" t="n">
        <f aca="false">IF($B52=CU$12,$U52,"")</f>
        <v>0</v>
      </c>
      <c r="CV52" s="86" t="str">
        <f aca="false">IF($B52=CV$12,$U52,"")</f>
        <v/>
      </c>
      <c r="CW52" s="86" t="str">
        <f aca="false">IF($B52=CW$12,$U52,"")</f>
        <v/>
      </c>
      <c r="CX52" s="86" t="str">
        <f aca="false">IF($B52=CX$12,$U52,"")</f>
        <v/>
      </c>
      <c r="CY52" s="86" t="str">
        <f aca="false">IF($B52=CY$12,$U52,"")</f>
        <v/>
      </c>
      <c r="CZ52" s="86" t="str">
        <f aca="false">IF($B52=CZ$12,$U52,"")</f>
        <v/>
      </c>
      <c r="DA52" s="86" t="str">
        <f aca="false">IF($B52=DA$12,$U52,"")</f>
        <v/>
      </c>
      <c r="DB52" s="86" t="str">
        <f aca="false">IF($B52=DB$12,$U52,"")</f>
        <v/>
      </c>
      <c r="DC52" s="86" t="str">
        <f aca="false">IF($B52=DC$12,$U52,"")</f>
        <v/>
      </c>
      <c r="DD52" s="86" t="str">
        <f aca="false">IF($B52=DD$12,$U52,"")</f>
        <v/>
      </c>
      <c r="DE52" s="86" t="str">
        <f aca="false">IF($B52=DE$12,$U52,"")</f>
        <v/>
      </c>
      <c r="DF52" s="86" t="str">
        <f aca="false">IF($B52=DF$12,$U52,"")</f>
        <v/>
      </c>
      <c r="DG52" s="86" t="str">
        <f aca="false">IF($B52=DG$12,$U52,"")</f>
        <v/>
      </c>
      <c r="DH52" s="86" t="str">
        <f aca="false">IF($B52=DH$12,$U52,"")</f>
        <v/>
      </c>
      <c r="DI52" s="86" t="str">
        <f aca="false">IF($B52=DI$12,$U52,"")</f>
        <v/>
      </c>
      <c r="DJ52" s="86" t="str">
        <f aca="false">IF($B52=DJ$12,$U52,"")</f>
        <v/>
      </c>
      <c r="DK52" s="86" t="str">
        <f aca="false">IF($B52=DK$12,$U52,"")</f>
        <v/>
      </c>
      <c r="DL52" s="86" t="str">
        <f aca="false">IF($B52=DL$12,$U52,"")</f>
        <v/>
      </c>
      <c r="DM52" s="86" t="str">
        <f aca="false">IF($B52=DM$12,$U52,"")</f>
        <v/>
      </c>
      <c r="DN52" s="86" t="str">
        <f aca="false">IF($B52=DN$12,$U52,"")</f>
        <v/>
      </c>
      <c r="DO52" s="86" t="str">
        <f aca="false">IF($B52=DO$12,$U52,"")</f>
        <v/>
      </c>
      <c r="DP52" s="86" t="str">
        <f aca="false">IF($B52=DP$12,$U52,"")</f>
        <v/>
      </c>
      <c r="DQ52" s="86" t="str">
        <f aca="false">IF($B52=DQ$12,$U52,"")</f>
        <v/>
      </c>
      <c r="DR52" s="86" t="str">
        <f aca="false">IF($B52=DR$12,$U52,"")</f>
        <v/>
      </c>
      <c r="DS52" s="86" t="str">
        <f aca="false">IF($B52=DS$12,$U52,"")</f>
        <v/>
      </c>
      <c r="DT52" s="87" t="str">
        <f aca="false">IF($B52=DT$12,$U52,"")</f>
        <v/>
      </c>
      <c r="DU52" s="56"/>
      <c r="DV52" s="91"/>
      <c r="DW52" s="88" t="str">
        <f aca="false">IF($B52=DW$12,$O52,"")</f>
        <v/>
      </c>
      <c r="DX52" s="89" t="str">
        <f aca="false">IF($B52=DX$12,$O52,"")</f>
        <v/>
      </c>
      <c r="DY52" s="89" t="str">
        <f aca="false">IF($B52=DY$12,$O52,"")</f>
        <v/>
      </c>
      <c r="DZ52" s="89" t="str">
        <f aca="false">IF($B52=DZ$12,$O52,"")</f>
        <v/>
      </c>
      <c r="EA52" s="89" t="str">
        <f aca="false">IF($B52=EA$12,$O52,"")</f>
        <v/>
      </c>
      <c r="EB52" s="89" t="str">
        <f aca="false">IF($B52=EB$12,$O52,"")</f>
        <v/>
      </c>
      <c r="EC52" s="89" t="str">
        <f aca="false">IF($B52=EC$12,$O52,"")</f>
        <v/>
      </c>
      <c r="ED52" s="89" t="str">
        <f aca="false">IF($B52=ED$12,$O52,"")</f>
        <v/>
      </c>
      <c r="EE52" s="89" t="str">
        <f aca="false">IF($B52=EE$12,$O52,"")</f>
        <v/>
      </c>
      <c r="EF52" s="89" t="str">
        <f aca="false">IF($B52=EF$12,$O52,"")</f>
        <v/>
      </c>
      <c r="EG52" s="89" t="str">
        <f aca="false">IF($B52=EG$12,$O52,"")</f>
        <v/>
      </c>
      <c r="EH52" s="89" t="str">
        <f aca="false">IF($B52=EH$12,$O52,"")</f>
        <v/>
      </c>
      <c r="EI52" s="89" t="str">
        <f aca="false">IF($B52=EI$12,$O52,"")</f>
        <v/>
      </c>
      <c r="EJ52" s="89" t="str">
        <f aca="false">IF($B52=EJ$12,$O52,"")</f>
        <v/>
      </c>
      <c r="EK52" s="89" t="str">
        <f aca="false">IF($B52=EK$12,$O52,"")</f>
        <v/>
      </c>
      <c r="EL52" s="89" t="str">
        <f aca="false">IF($B52=EL$12,$O52,"")</f>
        <v/>
      </c>
      <c r="EM52" s="89" t="str">
        <f aca="false">IF($B52=EM$12,$O52,"")</f>
        <v/>
      </c>
      <c r="EN52" s="89" t="str">
        <f aca="false">IF($B52=EN$12,$O52,"")</f>
        <v/>
      </c>
      <c r="EO52" s="89" t="str">
        <f aca="false">IF($B52=EO$12,$O52,"")</f>
        <v/>
      </c>
      <c r="EP52" s="89" t="str">
        <f aca="false">IF($B52=EP$12,$O52,"")</f>
        <v/>
      </c>
      <c r="EQ52" s="89" t="str">
        <f aca="false">IF($B52=EQ$12,$O52,"")</f>
        <v/>
      </c>
      <c r="ER52" s="89" t="str">
        <f aca="false">IF($B52=ER$12,$O52,"")</f>
        <v/>
      </c>
      <c r="ES52" s="89" t="str">
        <f aca="false">IF($B52=ES$12,$O52,"")</f>
        <v/>
      </c>
      <c r="ET52" s="89" t="str">
        <f aca="false">IF($B52=ET$12,$O52,"")</f>
        <v/>
      </c>
      <c r="EU52" s="89" t="str">
        <f aca="false">IF($B52=EU$12,$O52,"")</f>
        <v/>
      </c>
      <c r="EV52" s="89" t="str">
        <f aca="false">IF($B52=EV$12,$O52,"")</f>
        <v/>
      </c>
      <c r="EW52" s="89" t="str">
        <f aca="false">IF($B52=EW$12,$O52,"")</f>
        <v/>
      </c>
      <c r="EX52" s="89" t="str">
        <f aca="false">IF($B52=EX$12,$O52,"")</f>
        <v/>
      </c>
      <c r="EY52" s="89" t="str">
        <f aca="false">IF($B52=EY$12,$O52,"")</f>
        <v/>
      </c>
      <c r="EZ52" s="89" t="str">
        <f aca="false">IF($B52=EZ$12,$O52,"")</f>
        <v/>
      </c>
      <c r="FA52" s="89" t="str">
        <f aca="false">IF($B52=FA$12,$O52,"")</f>
        <v/>
      </c>
      <c r="FB52" s="89" t="str">
        <f aca="false">IF($B52=FB$12,$O52,"")</f>
        <v/>
      </c>
      <c r="FC52" s="89" t="str">
        <f aca="false">IF($B52=FC$12,$O52,"")</f>
        <v/>
      </c>
      <c r="FD52" s="89" t="str">
        <f aca="false">IF($B52=FD$12,$O52,"")</f>
        <v/>
      </c>
      <c r="FE52" s="89" t="str">
        <f aca="false">IF($B52=FE$12,$O52,"")</f>
        <v/>
      </c>
      <c r="FF52" s="89" t="str">
        <f aca="false">IF($B52=FF$12,$O52,"")</f>
        <v/>
      </c>
      <c r="FG52" s="89" t="str">
        <f aca="false">IF($B52=FG$12,$O52,"")</f>
        <v/>
      </c>
      <c r="FH52" s="89" t="str">
        <f aca="false">IF($B52=FH$12,$O52,"")</f>
        <v/>
      </c>
      <c r="FI52" s="89" t="str">
        <f aca="false">IF($B52=FI$12,$O52,"")</f>
        <v/>
      </c>
      <c r="FJ52" s="89" t="str">
        <f aca="false">IF($B52=FJ$12,$O52,"")</f>
        <v/>
      </c>
      <c r="FK52" s="89" t="str">
        <f aca="false">IF($B52=FK$12,$O52,"")</f>
        <v/>
      </c>
      <c r="FL52" s="89" t="str">
        <f aca="false">IF($B52=FL$12,$O52,"")</f>
        <v/>
      </c>
      <c r="FM52" s="89" t="str">
        <f aca="false">IF($B52=FM$12,$O52,"")</f>
        <v/>
      </c>
      <c r="FN52" s="89" t="str">
        <f aca="false">IF($B52=FN$12,$O52,"")</f>
        <v/>
      </c>
      <c r="FO52" s="89" t="str">
        <f aca="false">IF($B52=FO$12,$O52,"")</f>
        <v/>
      </c>
      <c r="FP52" s="89" t="str">
        <f aca="false">IF($B52=FP$12,$O52,"")</f>
        <v/>
      </c>
      <c r="FQ52" s="89" t="str">
        <f aca="false">IF($B52=FQ$12,$O52,"")</f>
        <v/>
      </c>
      <c r="FR52" s="89" t="str">
        <f aca="false">IF($B52=FR$12,$O52,"")</f>
        <v/>
      </c>
      <c r="FS52" s="89" t="str">
        <f aca="false">IF($B52=FS$12,$O52,"")</f>
        <v/>
      </c>
      <c r="FT52" s="89" t="str">
        <f aca="false">IF($B52=FT$12,$O52,"")</f>
        <v/>
      </c>
      <c r="FU52" s="89" t="str">
        <f aca="false">IF($B52=FU$12,$O52,"")</f>
        <v/>
      </c>
      <c r="FV52" s="89" t="str">
        <f aca="false">IF($B52=FV$12,$O52,"")</f>
        <v/>
      </c>
      <c r="FW52" s="89" t="str">
        <f aca="false">IF($B52=FW$12,$O52,"")</f>
        <v/>
      </c>
      <c r="FX52" s="89" t="str">
        <f aca="false">IF($B52=FX$12,$O52,"")</f>
        <v/>
      </c>
      <c r="FY52" s="89" t="str">
        <f aca="false">IF($B52=FY$12,$O52,"")</f>
        <v/>
      </c>
      <c r="FZ52" s="89" t="str">
        <f aca="false">IF($B52=FZ$12,$O52,"")</f>
        <v/>
      </c>
      <c r="GA52" s="89" t="str">
        <f aca="false">IF($B52=GA$12,$O52,"")</f>
        <v/>
      </c>
      <c r="GB52" s="89" t="str">
        <f aca="false">IF($B52=GB$12,$O52,"")</f>
        <v/>
      </c>
      <c r="GC52" s="89" t="str">
        <f aca="false">IF($B52=GC$12,$O52,"")</f>
        <v/>
      </c>
      <c r="GD52" s="89" t="str">
        <f aca="false">IF($B52=GD$12,$O52,"")</f>
        <v/>
      </c>
      <c r="GE52" s="89" t="str">
        <f aca="false">IF($B52=GE$12,$O52,"")</f>
        <v/>
      </c>
      <c r="GF52" s="89" t="str">
        <f aca="false">IF($B52=GF$12,$O52,"")</f>
        <v/>
      </c>
      <c r="GG52" s="89" t="str">
        <f aca="false">IF($B52=GG$12,$O52,"")</f>
        <v/>
      </c>
      <c r="GH52" s="89" t="str">
        <f aca="false">IF($B52=GH$12,$O52,"")</f>
        <v/>
      </c>
      <c r="GI52" s="89" t="str">
        <f aca="false">IF($B52=GI$12,$O52,"")</f>
        <v/>
      </c>
      <c r="GJ52" s="89" t="str">
        <f aca="false">IF($B52=GJ$12,$O52,"")</f>
        <v/>
      </c>
      <c r="GK52" s="89" t="str">
        <f aca="false">IF($B52=GK$12,$O52,"")</f>
        <v/>
      </c>
      <c r="GL52" s="89" t="str">
        <f aca="false">IF($B52=GL$12,$O52,"")</f>
        <v/>
      </c>
      <c r="GM52" s="89" t="str">
        <f aca="false">IF($B52=GM$12,$O52,"")</f>
        <v/>
      </c>
      <c r="GN52" s="89" t="str">
        <f aca="false">IF($B52=GN$12,$O52,"")</f>
        <v/>
      </c>
      <c r="GO52" s="89" t="str">
        <f aca="false">IF($B52=GO$12,$O52,"")</f>
        <v/>
      </c>
      <c r="GP52" s="89" t="str">
        <f aca="false">IF($B52=GP$12,$O52,"")</f>
        <v/>
      </c>
      <c r="GQ52" s="89" t="str">
        <f aca="false">IF($B52=GQ$12,$O52,"")</f>
        <v/>
      </c>
      <c r="GR52" s="89" t="str">
        <f aca="false">IF($B52=GR$12,$O52,"")</f>
        <v/>
      </c>
      <c r="GS52" s="89" t="n">
        <f aca="false">IF($B52=GS$12,$O52,"")</f>
        <v>0</v>
      </c>
      <c r="GT52" s="89" t="str">
        <f aca="false">IF($B52=GT$12,$O52,"")</f>
        <v/>
      </c>
      <c r="GU52" s="89" t="str">
        <f aca="false">IF($B52=GU$12,$O52,"")</f>
        <v/>
      </c>
      <c r="GV52" s="89" t="str">
        <f aca="false">IF($B52=GV$12,$O52,"")</f>
        <v/>
      </c>
      <c r="GW52" s="89" t="str">
        <f aca="false">IF($B52=GW$12,$O52,"")</f>
        <v/>
      </c>
      <c r="GX52" s="89" t="str">
        <f aca="false">IF($B52=GX$12,$O52,"")</f>
        <v/>
      </c>
      <c r="GY52" s="89" t="str">
        <f aca="false">IF($B52=GY$12,$O52,"")</f>
        <v/>
      </c>
      <c r="GZ52" s="89" t="str">
        <f aca="false">IF($B52=GZ$12,$O52,"")</f>
        <v/>
      </c>
      <c r="HA52" s="89" t="str">
        <f aca="false">IF($B52=HA$12,$O52,"")</f>
        <v/>
      </c>
      <c r="HB52" s="89" t="str">
        <f aca="false">IF($B52=HB$12,$O52,"")</f>
        <v/>
      </c>
      <c r="HC52" s="89" t="str">
        <f aca="false">IF($B52=HC$12,$O52,"")</f>
        <v/>
      </c>
      <c r="HD52" s="89" t="str">
        <f aca="false">IF($B52=HD$12,$O52,"")</f>
        <v/>
      </c>
      <c r="HE52" s="89" t="str">
        <f aca="false">IF($B52=HE$12,$O52,"")</f>
        <v/>
      </c>
      <c r="HF52" s="89" t="str">
        <f aca="false">IF($B52=HF$12,$O52,"")</f>
        <v/>
      </c>
      <c r="HG52" s="89" t="str">
        <f aca="false">IF($B52=HG$12,$O52,"")</f>
        <v/>
      </c>
      <c r="HH52" s="89" t="str">
        <f aca="false">IF($B52=HH$12,$O52,"")</f>
        <v/>
      </c>
      <c r="HI52" s="89" t="str">
        <f aca="false">IF($B52=HI$12,$O52,"")</f>
        <v/>
      </c>
      <c r="HJ52" s="89" t="str">
        <f aca="false">IF($B52=HJ$12,$O52,"")</f>
        <v/>
      </c>
      <c r="HK52" s="89" t="str">
        <f aca="false">IF($B52=HK$12,$O52,"")</f>
        <v/>
      </c>
      <c r="HL52" s="89" t="str">
        <f aca="false">IF($B52=HL$12,$O52,"")</f>
        <v/>
      </c>
      <c r="HM52" s="89" t="str">
        <f aca="false">IF($B52=HM$12,$O52,"")</f>
        <v/>
      </c>
      <c r="HN52" s="89" t="str">
        <f aca="false">IF($B52=HN$12,$O52,"")</f>
        <v/>
      </c>
      <c r="HO52" s="89" t="str">
        <f aca="false">IF($B52=HO$12,$O52,"")</f>
        <v/>
      </c>
      <c r="HP52" s="89" t="str">
        <f aca="false">IF($B52=HP$12,$O52,"")</f>
        <v/>
      </c>
      <c r="HQ52" s="89" t="str">
        <f aca="false">IF($B52=HQ$12,$O52,"")</f>
        <v/>
      </c>
      <c r="HR52" s="90" t="str">
        <f aca="false">IF($B52=HR$12,$O52,"")</f>
        <v/>
      </c>
    </row>
    <row r="53" customFormat="false" ht="10.5" hidden="false" customHeight="true" outlineLevel="0" collapsed="false">
      <c r="A53" s="75"/>
      <c r="B53" s="76"/>
      <c r="C53" s="77" t="str">
        <f aca="false">IF(A53=0,"",VLOOKUP(A53,[3]CO!$A$3:$F$5311,2,0))</f>
        <v/>
      </c>
      <c r="D53" s="78"/>
      <c r="E53" s="78"/>
      <c r="F53" s="135" t="str">
        <f aca="false">IF(AND(B53&gt;0,H53&gt;0),(H53*100) &amp; "% DE $" &amp;$Q$34,"")</f>
        <v/>
      </c>
      <c r="G53" s="79" t="str">
        <f aca="false">IF(A53=0,"",VLOOKUP(A53,[3]CO!$A$3:$F$5311,3,0))</f>
        <v/>
      </c>
      <c r="H53" s="130"/>
      <c r="I53" s="80"/>
      <c r="J53" s="80"/>
      <c r="K53" s="80"/>
      <c r="L53" s="80"/>
      <c r="M53" s="81" t="str">
        <f aca="false">IF(L53=0,"",H53*Q$34/N53)</f>
        <v/>
      </c>
      <c r="N53" s="81" t="str">
        <f aca="false">IF(B53=0,"",IF(H53="M",HLOOKUP(B53,$Y$12:$DT$13,2),IF(A53=0,"",VLOOKUP(A53,[3]CO!$A$3:$F$5311,4,0))))</f>
        <v/>
      </c>
      <c r="O53" s="81" t="str">
        <f aca="false">IF(L53=0,"",PRODUCT(M53:N53))</f>
        <v/>
      </c>
      <c r="P53" s="82"/>
      <c r="Q53" s="83" t="str">
        <f aca="false">IF(P53=0,"",(HLOOKUP(P53,$DW$12:$HR$13,2)))</f>
        <v/>
      </c>
      <c r="R53" s="84"/>
      <c r="S53" s="51"/>
      <c r="T53" s="67" t="str">
        <f aca="false">IF(A53=0,"",VLOOKUP(A53,[3]CO!$A$3:$F$5302,5,0))</f>
        <v/>
      </c>
      <c r="U53" s="56" t="n">
        <f aca="false">IF(T53=1,O53*0.1,)</f>
        <v>0</v>
      </c>
      <c r="V53" s="68"/>
      <c r="W53" s="91"/>
      <c r="X53" s="91"/>
      <c r="Y53" s="85" t="str">
        <f aca="false">IF($B53=Y$12,$U53,"")</f>
        <v/>
      </c>
      <c r="Z53" s="86" t="str">
        <f aca="false">IF($B53=Z$12,$U53,"")</f>
        <v/>
      </c>
      <c r="AA53" s="86" t="str">
        <f aca="false">IF($B53=AA$12,$U53,"")</f>
        <v/>
      </c>
      <c r="AB53" s="86" t="str">
        <f aca="false">IF($B53=AB$12,$U53,"")</f>
        <v/>
      </c>
      <c r="AC53" s="86" t="str">
        <f aca="false">IF($B53=AC$12,$U53,"")</f>
        <v/>
      </c>
      <c r="AD53" s="86" t="str">
        <f aca="false">IF($B53=AD$12,$U53,"")</f>
        <v/>
      </c>
      <c r="AE53" s="86" t="str">
        <f aca="false">IF($B53=AE$12,$U53,"")</f>
        <v/>
      </c>
      <c r="AF53" s="86" t="str">
        <f aca="false">IF($B53=AF$12,$U53,"")</f>
        <v/>
      </c>
      <c r="AG53" s="86" t="str">
        <f aca="false">IF($B53=AG$12,$U53,"")</f>
        <v/>
      </c>
      <c r="AH53" s="86" t="str">
        <f aca="false">IF($B53=AH$12,$U53,"")</f>
        <v/>
      </c>
      <c r="AI53" s="86" t="str">
        <f aca="false">IF($B53=AI$12,$U53,"")</f>
        <v/>
      </c>
      <c r="AJ53" s="86" t="str">
        <f aca="false">IF($B53=AJ$12,$U53,"")</f>
        <v/>
      </c>
      <c r="AK53" s="86" t="str">
        <f aca="false">IF($B53=AK$12,$U53,"")</f>
        <v/>
      </c>
      <c r="AL53" s="86" t="str">
        <f aca="false">IF($B53=AL$12,$U53,"")</f>
        <v/>
      </c>
      <c r="AM53" s="86" t="str">
        <f aca="false">IF($B53=AM$12,$U53,"")</f>
        <v/>
      </c>
      <c r="AN53" s="86" t="str">
        <f aca="false">IF($B53=AN$12,$U53,"")</f>
        <v/>
      </c>
      <c r="AO53" s="86" t="str">
        <f aca="false">IF($B53=AO$12,$U53,"")</f>
        <v/>
      </c>
      <c r="AP53" s="86" t="str">
        <f aca="false">IF($B53=AP$12,$U53,"")</f>
        <v/>
      </c>
      <c r="AQ53" s="86" t="str">
        <f aca="false">IF($B53=AQ$12,$U53,"")</f>
        <v/>
      </c>
      <c r="AR53" s="86" t="str">
        <f aca="false">IF($B53=AR$12,$U53,"")</f>
        <v/>
      </c>
      <c r="AS53" s="86" t="str">
        <f aca="false">IF($B53=AS$12,$U53,"")</f>
        <v/>
      </c>
      <c r="AT53" s="86" t="str">
        <f aca="false">IF($B53=AT$12,$U53,"")</f>
        <v/>
      </c>
      <c r="AU53" s="86" t="str">
        <f aca="false">IF($B53=AU$12,$U53,"")</f>
        <v/>
      </c>
      <c r="AV53" s="86" t="str">
        <f aca="false">IF($B53=AV$12,$U53,"")</f>
        <v/>
      </c>
      <c r="AW53" s="86" t="str">
        <f aca="false">IF($B53=AW$12,$U53,"")</f>
        <v/>
      </c>
      <c r="AX53" s="86" t="str">
        <f aca="false">IF($B53=AX$12,$U53,"")</f>
        <v/>
      </c>
      <c r="AY53" s="86" t="str">
        <f aca="false">IF($B53=AY$12,$U53,"")</f>
        <v/>
      </c>
      <c r="AZ53" s="86" t="str">
        <f aca="false">IF($B53=AZ$12,$U53,"")</f>
        <v/>
      </c>
      <c r="BA53" s="86" t="str">
        <f aca="false">IF($B53=BA$12,$U53,"")</f>
        <v/>
      </c>
      <c r="BB53" s="86" t="str">
        <f aca="false">IF($B53=BB$12,$U53,"")</f>
        <v/>
      </c>
      <c r="BC53" s="86" t="str">
        <f aca="false">IF($B53=BC$12,$U53,"")</f>
        <v/>
      </c>
      <c r="BD53" s="86" t="str">
        <f aca="false">IF($B53=BD$12,$U53,"")</f>
        <v/>
      </c>
      <c r="BE53" s="86" t="str">
        <f aca="false">IF($B53=BE$12,$U53,"")</f>
        <v/>
      </c>
      <c r="BF53" s="86" t="str">
        <f aca="false">IF($B53=BF$12,$U53,"")</f>
        <v/>
      </c>
      <c r="BG53" s="86" t="str">
        <f aca="false">IF($B53=BG$12,$U53,"")</f>
        <v/>
      </c>
      <c r="BH53" s="86" t="str">
        <f aca="false">IF($B53=BH$12,$U53,"")</f>
        <v/>
      </c>
      <c r="BI53" s="86" t="str">
        <f aca="false">IF($B53=BI$12,$U53,"")</f>
        <v/>
      </c>
      <c r="BJ53" s="86" t="str">
        <f aca="false">IF($B53=BJ$12,$U53,"")</f>
        <v/>
      </c>
      <c r="BK53" s="86" t="str">
        <f aca="false">IF($B53=BK$12,$U53,"")</f>
        <v/>
      </c>
      <c r="BL53" s="86" t="str">
        <f aca="false">IF($B53=BL$12,$U53,"")</f>
        <v/>
      </c>
      <c r="BM53" s="86" t="str">
        <f aca="false">IF($B53=BM$12,$U53,"")</f>
        <v/>
      </c>
      <c r="BN53" s="86" t="str">
        <f aca="false">IF($B53=BN$12,$U53,"")</f>
        <v/>
      </c>
      <c r="BO53" s="86" t="str">
        <f aca="false">IF($B53=BO$12,$U53,"")</f>
        <v/>
      </c>
      <c r="BP53" s="86" t="str">
        <f aca="false">IF($B53=BP$12,$U53,"")</f>
        <v/>
      </c>
      <c r="BQ53" s="86" t="str">
        <f aca="false">IF($B53=BQ$12,$U53,"")</f>
        <v/>
      </c>
      <c r="BR53" s="86" t="str">
        <f aca="false">IF($B53=BR$12,$U53,"")</f>
        <v/>
      </c>
      <c r="BS53" s="86" t="str">
        <f aca="false">IF($B53=BS$12,$U53,"")</f>
        <v/>
      </c>
      <c r="BT53" s="86" t="str">
        <f aca="false">IF($B53=BT$12,$U53,"")</f>
        <v/>
      </c>
      <c r="BU53" s="86" t="str">
        <f aca="false">IF($B53=BU$12,$U53,"")</f>
        <v/>
      </c>
      <c r="BV53" s="86" t="str">
        <f aca="false">IF($B53=BV$12,$U53,"")</f>
        <v/>
      </c>
      <c r="BW53" s="86" t="str">
        <f aca="false">IF($B53=BW$12,$U53,"")</f>
        <v/>
      </c>
      <c r="BX53" s="86" t="str">
        <f aca="false">IF($B53=BX$12,$U53,"")</f>
        <v/>
      </c>
      <c r="BY53" s="86" t="str">
        <f aca="false">IF($B53=BY$12,$U53,"")</f>
        <v/>
      </c>
      <c r="BZ53" s="86" t="str">
        <f aca="false">IF($B53=BZ$12,$U53,"")</f>
        <v/>
      </c>
      <c r="CA53" s="86" t="str">
        <f aca="false">IF($B53=CA$12,$U53,"")</f>
        <v/>
      </c>
      <c r="CB53" s="86" t="str">
        <f aca="false">IF($B53=CB$12,$U53,"")</f>
        <v/>
      </c>
      <c r="CC53" s="86" t="str">
        <f aca="false">IF($B53=CC$12,$U53,"")</f>
        <v/>
      </c>
      <c r="CD53" s="86" t="str">
        <f aca="false">IF($B53=CD$12,$U53,"")</f>
        <v/>
      </c>
      <c r="CE53" s="86" t="str">
        <f aca="false">IF($B53=CE$12,$U53,"")</f>
        <v/>
      </c>
      <c r="CF53" s="86" t="str">
        <f aca="false">IF($B53=CF$12,$U53,"")</f>
        <v/>
      </c>
      <c r="CG53" s="86" t="str">
        <f aca="false">IF($B53=CG$12,$U53,"")</f>
        <v/>
      </c>
      <c r="CH53" s="86" t="str">
        <f aca="false">IF($B53=CH$12,$U53,"")</f>
        <v/>
      </c>
      <c r="CI53" s="86" t="str">
        <f aca="false">IF($B53=CI$12,$U53,"")</f>
        <v/>
      </c>
      <c r="CJ53" s="86" t="str">
        <f aca="false">IF($B53=CJ$12,$U53,"")</f>
        <v/>
      </c>
      <c r="CK53" s="86" t="str">
        <f aca="false">IF($B53=CK$12,$U53,"")</f>
        <v/>
      </c>
      <c r="CL53" s="86" t="str">
        <f aca="false">IF($B53=CL$12,$U53,"")</f>
        <v/>
      </c>
      <c r="CM53" s="86" t="str">
        <f aca="false">IF($B53=CM$12,$U53,"")</f>
        <v/>
      </c>
      <c r="CN53" s="86" t="str">
        <f aca="false">IF($B53=CN$12,$U53,"")</f>
        <v/>
      </c>
      <c r="CO53" s="86" t="str">
        <f aca="false">IF($B53=CO$12,$U53,"")</f>
        <v/>
      </c>
      <c r="CP53" s="86" t="str">
        <f aca="false">IF($B53=CP$12,$U53,"")</f>
        <v/>
      </c>
      <c r="CQ53" s="86" t="str">
        <f aca="false">IF($B53=CQ$12,$U53,"")</f>
        <v/>
      </c>
      <c r="CR53" s="86" t="str">
        <f aca="false">IF($B53=CR$12,$U53,"")</f>
        <v/>
      </c>
      <c r="CS53" s="86" t="str">
        <f aca="false">IF($B53=CS$12,$U53,"")</f>
        <v/>
      </c>
      <c r="CT53" s="86" t="str">
        <f aca="false">IF($B53=CT$12,$U53,"")</f>
        <v/>
      </c>
      <c r="CU53" s="86" t="str">
        <f aca="false">IF($B53=CU$12,$U53,"")</f>
        <v/>
      </c>
      <c r="CV53" s="86" t="str">
        <f aca="false">IF($B53=CV$12,$U53,"")</f>
        <v/>
      </c>
      <c r="CW53" s="86" t="str">
        <f aca="false">IF($B53=CW$12,$U53,"")</f>
        <v/>
      </c>
      <c r="CX53" s="86" t="str">
        <f aca="false">IF($B53=CX$12,$U53,"")</f>
        <v/>
      </c>
      <c r="CY53" s="86" t="str">
        <f aca="false">IF($B53=CY$12,$U53,"")</f>
        <v/>
      </c>
      <c r="CZ53" s="86" t="str">
        <f aca="false">IF($B53=CZ$12,$U53,"")</f>
        <v/>
      </c>
      <c r="DA53" s="86" t="str">
        <f aca="false">IF($B53=DA$12,$U53,"")</f>
        <v/>
      </c>
      <c r="DB53" s="86" t="str">
        <f aca="false">IF($B53=DB$12,$U53,"")</f>
        <v/>
      </c>
      <c r="DC53" s="86" t="str">
        <f aca="false">IF($B53=DC$12,$U53,"")</f>
        <v/>
      </c>
      <c r="DD53" s="86" t="str">
        <f aca="false">IF($B53=DD$12,$U53,"")</f>
        <v/>
      </c>
      <c r="DE53" s="86" t="str">
        <f aca="false">IF($B53=DE$12,$U53,"")</f>
        <v/>
      </c>
      <c r="DF53" s="86" t="str">
        <f aca="false">IF($B53=DF$12,$U53,"")</f>
        <v/>
      </c>
      <c r="DG53" s="86" t="str">
        <f aca="false">IF($B53=DG$12,$U53,"")</f>
        <v/>
      </c>
      <c r="DH53" s="86" t="str">
        <f aca="false">IF($B53=DH$12,$U53,"")</f>
        <v/>
      </c>
      <c r="DI53" s="86" t="str">
        <f aca="false">IF($B53=DI$12,$U53,"")</f>
        <v/>
      </c>
      <c r="DJ53" s="86" t="str">
        <f aca="false">IF($B53=DJ$12,$U53,"")</f>
        <v/>
      </c>
      <c r="DK53" s="86" t="str">
        <f aca="false">IF($B53=DK$12,$U53,"")</f>
        <v/>
      </c>
      <c r="DL53" s="86" t="str">
        <f aca="false">IF($B53=DL$12,$U53,"")</f>
        <v/>
      </c>
      <c r="DM53" s="86" t="str">
        <f aca="false">IF($B53=DM$12,$U53,"")</f>
        <v/>
      </c>
      <c r="DN53" s="86" t="str">
        <f aca="false">IF($B53=DN$12,$U53,"")</f>
        <v/>
      </c>
      <c r="DO53" s="86" t="str">
        <f aca="false">IF($B53=DO$12,$U53,"")</f>
        <v/>
      </c>
      <c r="DP53" s="86" t="str">
        <f aca="false">IF($B53=DP$12,$U53,"")</f>
        <v/>
      </c>
      <c r="DQ53" s="86" t="str">
        <f aca="false">IF($B53=DQ$12,$U53,"")</f>
        <v/>
      </c>
      <c r="DR53" s="86" t="str">
        <f aca="false">IF($B53=DR$12,$U53,"")</f>
        <v/>
      </c>
      <c r="DS53" s="86" t="str">
        <f aca="false">IF($B53=DS$12,$U53,"")</f>
        <v/>
      </c>
      <c r="DT53" s="87" t="str">
        <f aca="false">IF($B53=DT$12,$U53,"")</f>
        <v/>
      </c>
      <c r="DU53" s="56"/>
      <c r="DV53" s="91"/>
      <c r="DW53" s="88" t="str">
        <f aca="false">IF($B53=DW$12,$O53,"")</f>
        <v/>
      </c>
      <c r="DX53" s="89" t="str">
        <f aca="false">IF($B53=DX$12,$O53,"")</f>
        <v/>
      </c>
      <c r="DY53" s="89" t="str">
        <f aca="false">IF($B53=DY$12,$O53,"")</f>
        <v/>
      </c>
      <c r="DZ53" s="89" t="str">
        <f aca="false">IF($B53=DZ$12,$O53,"")</f>
        <v/>
      </c>
      <c r="EA53" s="89" t="str">
        <f aca="false">IF($B53=EA$12,$O53,"")</f>
        <v/>
      </c>
      <c r="EB53" s="89" t="str">
        <f aca="false">IF($B53=EB$12,$O53,"")</f>
        <v/>
      </c>
      <c r="EC53" s="89" t="str">
        <f aca="false">IF($B53=EC$12,$O53,"")</f>
        <v/>
      </c>
      <c r="ED53" s="89" t="str">
        <f aca="false">IF($B53=ED$12,$O53,"")</f>
        <v/>
      </c>
      <c r="EE53" s="89" t="str">
        <f aca="false">IF($B53=EE$12,$O53,"")</f>
        <v/>
      </c>
      <c r="EF53" s="89" t="str">
        <f aca="false">IF($B53=EF$12,$O53,"")</f>
        <v/>
      </c>
      <c r="EG53" s="89" t="str">
        <f aca="false">IF($B53=EG$12,$O53,"")</f>
        <v/>
      </c>
      <c r="EH53" s="89" t="str">
        <f aca="false">IF($B53=EH$12,$O53,"")</f>
        <v/>
      </c>
      <c r="EI53" s="89" t="str">
        <f aca="false">IF($B53=EI$12,$O53,"")</f>
        <v/>
      </c>
      <c r="EJ53" s="89" t="str">
        <f aca="false">IF($B53=EJ$12,$O53,"")</f>
        <v/>
      </c>
      <c r="EK53" s="89" t="str">
        <f aca="false">IF($B53=EK$12,$O53,"")</f>
        <v/>
      </c>
      <c r="EL53" s="89" t="str">
        <f aca="false">IF($B53=EL$12,$O53,"")</f>
        <v/>
      </c>
      <c r="EM53" s="89" t="str">
        <f aca="false">IF($B53=EM$12,$O53,"")</f>
        <v/>
      </c>
      <c r="EN53" s="89" t="str">
        <f aca="false">IF($B53=EN$12,$O53,"")</f>
        <v/>
      </c>
      <c r="EO53" s="89" t="str">
        <f aca="false">IF($B53=EO$12,$O53,"")</f>
        <v/>
      </c>
      <c r="EP53" s="89" t="str">
        <f aca="false">IF($B53=EP$12,$O53,"")</f>
        <v/>
      </c>
      <c r="EQ53" s="89" t="str">
        <f aca="false">IF($B53=EQ$12,$O53,"")</f>
        <v/>
      </c>
      <c r="ER53" s="89" t="str">
        <f aca="false">IF($B53=ER$12,$O53,"")</f>
        <v/>
      </c>
      <c r="ES53" s="89" t="str">
        <f aca="false">IF($B53=ES$12,$O53,"")</f>
        <v/>
      </c>
      <c r="ET53" s="89" t="str">
        <f aca="false">IF($B53=ET$12,$O53,"")</f>
        <v/>
      </c>
      <c r="EU53" s="89" t="str">
        <f aca="false">IF($B53=EU$12,$O53,"")</f>
        <v/>
      </c>
      <c r="EV53" s="89" t="str">
        <f aca="false">IF($B53=EV$12,$O53,"")</f>
        <v/>
      </c>
      <c r="EW53" s="89" t="str">
        <f aca="false">IF($B53=EW$12,$O53,"")</f>
        <v/>
      </c>
      <c r="EX53" s="89" t="str">
        <f aca="false">IF($B53=EX$12,$O53,"")</f>
        <v/>
      </c>
      <c r="EY53" s="89" t="str">
        <f aca="false">IF($B53=EY$12,$O53,"")</f>
        <v/>
      </c>
      <c r="EZ53" s="89" t="str">
        <f aca="false">IF($B53=EZ$12,$O53,"")</f>
        <v/>
      </c>
      <c r="FA53" s="89" t="str">
        <f aca="false">IF($B53=FA$12,$O53,"")</f>
        <v/>
      </c>
      <c r="FB53" s="89" t="str">
        <f aca="false">IF($B53=FB$12,$O53,"")</f>
        <v/>
      </c>
      <c r="FC53" s="89" t="str">
        <f aca="false">IF($B53=FC$12,$O53,"")</f>
        <v/>
      </c>
      <c r="FD53" s="89" t="str">
        <f aca="false">IF($B53=FD$12,$O53,"")</f>
        <v/>
      </c>
      <c r="FE53" s="89" t="str">
        <f aca="false">IF($B53=FE$12,$O53,"")</f>
        <v/>
      </c>
      <c r="FF53" s="89" t="str">
        <f aca="false">IF($B53=FF$12,$O53,"")</f>
        <v/>
      </c>
      <c r="FG53" s="89" t="str">
        <f aca="false">IF($B53=FG$12,$O53,"")</f>
        <v/>
      </c>
      <c r="FH53" s="89" t="str">
        <f aca="false">IF($B53=FH$12,$O53,"")</f>
        <v/>
      </c>
      <c r="FI53" s="89" t="str">
        <f aca="false">IF($B53=FI$12,$O53,"")</f>
        <v/>
      </c>
      <c r="FJ53" s="89" t="str">
        <f aca="false">IF($B53=FJ$12,$O53,"")</f>
        <v/>
      </c>
      <c r="FK53" s="89" t="str">
        <f aca="false">IF($B53=FK$12,$O53,"")</f>
        <v/>
      </c>
      <c r="FL53" s="89" t="str">
        <f aca="false">IF($B53=FL$12,$O53,"")</f>
        <v/>
      </c>
      <c r="FM53" s="89" t="str">
        <f aca="false">IF($B53=FM$12,$O53,"")</f>
        <v/>
      </c>
      <c r="FN53" s="89" t="str">
        <f aca="false">IF($B53=FN$12,$O53,"")</f>
        <v/>
      </c>
      <c r="FO53" s="89" t="str">
        <f aca="false">IF($B53=FO$12,$O53,"")</f>
        <v/>
      </c>
      <c r="FP53" s="89" t="str">
        <f aca="false">IF($B53=FP$12,$O53,"")</f>
        <v/>
      </c>
      <c r="FQ53" s="89" t="str">
        <f aca="false">IF($B53=FQ$12,$O53,"")</f>
        <v/>
      </c>
      <c r="FR53" s="89" t="str">
        <f aca="false">IF($B53=FR$12,$O53,"")</f>
        <v/>
      </c>
      <c r="FS53" s="89" t="str">
        <f aca="false">IF($B53=FS$12,$O53,"")</f>
        <v/>
      </c>
      <c r="FT53" s="89" t="str">
        <f aca="false">IF($B53=FT$12,$O53,"")</f>
        <v/>
      </c>
      <c r="FU53" s="89" t="str">
        <f aca="false">IF($B53=FU$12,$O53,"")</f>
        <v/>
      </c>
      <c r="FV53" s="89" t="str">
        <f aca="false">IF($B53=FV$12,$O53,"")</f>
        <v/>
      </c>
      <c r="FW53" s="89" t="str">
        <f aca="false">IF($B53=FW$12,$O53,"")</f>
        <v/>
      </c>
      <c r="FX53" s="89" t="str">
        <f aca="false">IF($B53=FX$12,$O53,"")</f>
        <v/>
      </c>
      <c r="FY53" s="89" t="str">
        <f aca="false">IF($B53=FY$12,$O53,"")</f>
        <v/>
      </c>
      <c r="FZ53" s="89" t="str">
        <f aca="false">IF($B53=FZ$12,$O53,"")</f>
        <v/>
      </c>
      <c r="GA53" s="89" t="str">
        <f aca="false">IF($B53=GA$12,$O53,"")</f>
        <v/>
      </c>
      <c r="GB53" s="89" t="str">
        <f aca="false">IF($B53=GB$12,$O53,"")</f>
        <v/>
      </c>
      <c r="GC53" s="89" t="str">
        <f aca="false">IF($B53=GC$12,$O53,"")</f>
        <v/>
      </c>
      <c r="GD53" s="89" t="str">
        <f aca="false">IF($B53=GD$12,$O53,"")</f>
        <v/>
      </c>
      <c r="GE53" s="89" t="str">
        <f aca="false">IF($B53=GE$12,$O53,"")</f>
        <v/>
      </c>
      <c r="GF53" s="89" t="str">
        <f aca="false">IF($B53=GF$12,$O53,"")</f>
        <v/>
      </c>
      <c r="GG53" s="89" t="str">
        <f aca="false">IF($B53=GG$12,$O53,"")</f>
        <v/>
      </c>
      <c r="GH53" s="89" t="str">
        <f aca="false">IF($B53=GH$12,$O53,"")</f>
        <v/>
      </c>
      <c r="GI53" s="89" t="str">
        <f aca="false">IF($B53=GI$12,$O53,"")</f>
        <v/>
      </c>
      <c r="GJ53" s="89" t="str">
        <f aca="false">IF($B53=GJ$12,$O53,"")</f>
        <v/>
      </c>
      <c r="GK53" s="89" t="str">
        <f aca="false">IF($B53=GK$12,$O53,"")</f>
        <v/>
      </c>
      <c r="GL53" s="89" t="str">
        <f aca="false">IF($B53=GL$12,$O53,"")</f>
        <v/>
      </c>
      <c r="GM53" s="89" t="str">
        <f aca="false">IF($B53=GM$12,$O53,"")</f>
        <v/>
      </c>
      <c r="GN53" s="89" t="str">
        <f aca="false">IF($B53=GN$12,$O53,"")</f>
        <v/>
      </c>
      <c r="GO53" s="89" t="str">
        <f aca="false">IF($B53=GO$12,$O53,"")</f>
        <v/>
      </c>
      <c r="GP53" s="89" t="str">
        <f aca="false">IF($B53=GP$12,$O53,"")</f>
        <v/>
      </c>
      <c r="GQ53" s="89" t="str">
        <f aca="false">IF($B53=GQ$12,$O53,"")</f>
        <v/>
      </c>
      <c r="GR53" s="89" t="str">
        <f aca="false">IF($B53=GR$12,$O53,"")</f>
        <v/>
      </c>
      <c r="GS53" s="89" t="str">
        <f aca="false">IF($B53=GS$12,$O53,"")</f>
        <v/>
      </c>
      <c r="GT53" s="89" t="str">
        <f aca="false">IF($B53=GT$12,$O53,"")</f>
        <v/>
      </c>
      <c r="GU53" s="89" t="str">
        <f aca="false">IF($B53=GU$12,$O53,"")</f>
        <v/>
      </c>
      <c r="GV53" s="89" t="str">
        <f aca="false">IF($B53=GV$12,$O53,"")</f>
        <v/>
      </c>
      <c r="GW53" s="89" t="str">
        <f aca="false">IF($B53=GW$12,$O53,"")</f>
        <v/>
      </c>
      <c r="GX53" s="89" t="str">
        <f aca="false">IF($B53=GX$12,$O53,"")</f>
        <v/>
      </c>
      <c r="GY53" s="89" t="str">
        <f aca="false">IF($B53=GY$12,$O53,"")</f>
        <v/>
      </c>
      <c r="GZ53" s="89" t="str">
        <f aca="false">IF($B53=GZ$12,$O53,"")</f>
        <v/>
      </c>
      <c r="HA53" s="89" t="str">
        <f aca="false">IF($B53=HA$12,$O53,"")</f>
        <v/>
      </c>
      <c r="HB53" s="89" t="str">
        <f aca="false">IF($B53=HB$12,$O53,"")</f>
        <v/>
      </c>
      <c r="HC53" s="89" t="str">
        <f aca="false">IF($B53=HC$12,$O53,"")</f>
        <v/>
      </c>
      <c r="HD53" s="89" t="str">
        <f aca="false">IF($B53=HD$12,$O53,"")</f>
        <v/>
      </c>
      <c r="HE53" s="89" t="str">
        <f aca="false">IF($B53=HE$12,$O53,"")</f>
        <v/>
      </c>
      <c r="HF53" s="89" t="str">
        <f aca="false">IF($B53=HF$12,$O53,"")</f>
        <v/>
      </c>
      <c r="HG53" s="89" t="str">
        <f aca="false">IF($B53=HG$12,$O53,"")</f>
        <v/>
      </c>
      <c r="HH53" s="89" t="str">
        <f aca="false">IF($B53=HH$12,$O53,"")</f>
        <v/>
      </c>
      <c r="HI53" s="89" t="str">
        <f aca="false">IF($B53=HI$12,$O53,"")</f>
        <v/>
      </c>
      <c r="HJ53" s="89" t="str">
        <f aca="false">IF($B53=HJ$12,$O53,"")</f>
        <v/>
      </c>
      <c r="HK53" s="89" t="str">
        <f aca="false">IF($B53=HK$12,$O53,"")</f>
        <v/>
      </c>
      <c r="HL53" s="89" t="str">
        <f aca="false">IF($B53=HL$12,$O53,"")</f>
        <v/>
      </c>
      <c r="HM53" s="89" t="str">
        <f aca="false">IF($B53=HM$12,$O53,"")</f>
        <v/>
      </c>
      <c r="HN53" s="89" t="str">
        <f aca="false">IF($B53=HN$12,$O53,"")</f>
        <v/>
      </c>
      <c r="HO53" s="89" t="str">
        <f aca="false">IF($B53=HO$12,$O53,"")</f>
        <v/>
      </c>
      <c r="HP53" s="89" t="str">
        <f aca="false">IF($B53=HP$12,$O53,"")</f>
        <v/>
      </c>
      <c r="HQ53" s="89" t="str">
        <f aca="false">IF($B53=HQ$12,$O53,"")</f>
        <v/>
      </c>
      <c r="HR53" s="90" t="str">
        <f aca="false">IF($B53=HR$12,$O53,"")</f>
        <v/>
      </c>
    </row>
    <row r="54" customFormat="false" ht="10.5" hidden="false" customHeight="true" outlineLevel="0" collapsed="false">
      <c r="A54" s="75"/>
      <c r="B54" s="76"/>
      <c r="C54" s="77" t="str">
        <f aca="false">IF(A54=0,"",VLOOKUP(A54,[3]CO!$A$3:$F$5311,2,0))</f>
        <v/>
      </c>
      <c r="D54" s="78"/>
      <c r="E54" s="78"/>
      <c r="F54" s="135" t="str">
        <f aca="false">IF(AND(B54&gt;0,H54&gt;0),(H54*100) &amp; "% DE $" &amp;$Q$34,"")</f>
        <v/>
      </c>
      <c r="G54" s="79" t="str">
        <f aca="false">IF(A54=0,"",VLOOKUP(A54,[3]CO!$A$3:$F$5311,3,0))</f>
        <v/>
      </c>
      <c r="H54" s="130"/>
      <c r="I54" s="80"/>
      <c r="J54" s="80"/>
      <c r="K54" s="80"/>
      <c r="L54" s="80"/>
      <c r="M54" s="81" t="str">
        <f aca="false">IF(L54=0,"",H54*Q$34/N54)</f>
        <v/>
      </c>
      <c r="N54" s="81" t="str">
        <f aca="false">IF(B54=0,"",IF(H54="M",HLOOKUP(B54,$Y$12:$DT$13,2),IF(A54=0,"",VLOOKUP(A54,[3]CO!$A$3:$F$5311,4,0))))</f>
        <v/>
      </c>
      <c r="O54" s="81" t="str">
        <f aca="false">IF(L54=0,"",PRODUCT(M54:N54))</f>
        <v/>
      </c>
      <c r="P54" s="82"/>
      <c r="Q54" s="83" t="str">
        <f aca="false">IF(P54=0,"",(HLOOKUP(P54,$DW$12:$HR$13,2)))</f>
        <v/>
      </c>
      <c r="R54" s="84"/>
      <c r="S54" s="51"/>
      <c r="T54" s="67" t="str">
        <f aca="false">IF(A54=0,"",VLOOKUP(A54,[3]CO!$A$3:$F$5302,5,0))</f>
        <v/>
      </c>
      <c r="U54" s="56" t="n">
        <f aca="false">IF(T54=1,O54*0.1,)</f>
        <v>0</v>
      </c>
      <c r="V54" s="68"/>
      <c r="W54" s="91"/>
      <c r="X54" s="91"/>
      <c r="Y54" s="85" t="str">
        <f aca="false">IF($B54=Y$12,$U54,"")</f>
        <v/>
      </c>
      <c r="Z54" s="86" t="str">
        <f aca="false">IF($B54=Z$12,$U54,"")</f>
        <v/>
      </c>
      <c r="AA54" s="86" t="str">
        <f aca="false">IF($B54=AA$12,$U54,"")</f>
        <v/>
      </c>
      <c r="AB54" s="86" t="str">
        <f aca="false">IF($B54=AB$12,$U54,"")</f>
        <v/>
      </c>
      <c r="AC54" s="86" t="str">
        <f aca="false">IF($B54=AC$12,$U54,"")</f>
        <v/>
      </c>
      <c r="AD54" s="86" t="str">
        <f aca="false">IF($B54=AD$12,$U54,"")</f>
        <v/>
      </c>
      <c r="AE54" s="86" t="str">
        <f aca="false">IF($B54=AE$12,$U54,"")</f>
        <v/>
      </c>
      <c r="AF54" s="86" t="str">
        <f aca="false">IF($B54=AF$12,$U54,"")</f>
        <v/>
      </c>
      <c r="AG54" s="86" t="str">
        <f aca="false">IF($B54=AG$12,$U54,"")</f>
        <v/>
      </c>
      <c r="AH54" s="86" t="str">
        <f aca="false">IF($B54=AH$12,$U54,"")</f>
        <v/>
      </c>
      <c r="AI54" s="86" t="str">
        <f aca="false">IF($B54=AI$12,$U54,"")</f>
        <v/>
      </c>
      <c r="AJ54" s="86" t="str">
        <f aca="false">IF($B54=AJ$12,$U54,"")</f>
        <v/>
      </c>
      <c r="AK54" s="86" t="str">
        <f aca="false">IF($B54=AK$12,$U54,"")</f>
        <v/>
      </c>
      <c r="AL54" s="86" t="str">
        <f aca="false">IF($B54=AL$12,$U54,"")</f>
        <v/>
      </c>
      <c r="AM54" s="86" t="str">
        <f aca="false">IF($B54=AM$12,$U54,"")</f>
        <v/>
      </c>
      <c r="AN54" s="86" t="str">
        <f aca="false">IF($B54=AN$12,$U54,"")</f>
        <v/>
      </c>
      <c r="AO54" s="86" t="str">
        <f aca="false">IF($B54=AO$12,$U54,"")</f>
        <v/>
      </c>
      <c r="AP54" s="86" t="str">
        <f aca="false">IF($B54=AP$12,$U54,"")</f>
        <v/>
      </c>
      <c r="AQ54" s="86" t="str">
        <f aca="false">IF($B54=AQ$12,$U54,"")</f>
        <v/>
      </c>
      <c r="AR54" s="86" t="str">
        <f aca="false">IF($B54=AR$12,$U54,"")</f>
        <v/>
      </c>
      <c r="AS54" s="86" t="str">
        <f aca="false">IF($B54=AS$12,$U54,"")</f>
        <v/>
      </c>
      <c r="AT54" s="86" t="str">
        <f aca="false">IF($B54=AT$12,$U54,"")</f>
        <v/>
      </c>
      <c r="AU54" s="86" t="str">
        <f aca="false">IF($B54=AU$12,$U54,"")</f>
        <v/>
      </c>
      <c r="AV54" s="86" t="str">
        <f aca="false">IF($B54=AV$12,$U54,"")</f>
        <v/>
      </c>
      <c r="AW54" s="86" t="str">
        <f aca="false">IF($B54=AW$12,$U54,"")</f>
        <v/>
      </c>
      <c r="AX54" s="86" t="str">
        <f aca="false">IF($B54=AX$12,$U54,"")</f>
        <v/>
      </c>
      <c r="AY54" s="86" t="str">
        <f aca="false">IF($B54=AY$12,$U54,"")</f>
        <v/>
      </c>
      <c r="AZ54" s="86" t="str">
        <f aca="false">IF($B54=AZ$12,$U54,"")</f>
        <v/>
      </c>
      <c r="BA54" s="86" t="str">
        <f aca="false">IF($B54=BA$12,$U54,"")</f>
        <v/>
      </c>
      <c r="BB54" s="86" t="str">
        <f aca="false">IF($B54=BB$12,$U54,"")</f>
        <v/>
      </c>
      <c r="BC54" s="86" t="str">
        <f aca="false">IF($B54=BC$12,$U54,"")</f>
        <v/>
      </c>
      <c r="BD54" s="86" t="str">
        <f aca="false">IF($B54=BD$12,$U54,"")</f>
        <v/>
      </c>
      <c r="BE54" s="86" t="str">
        <f aca="false">IF($B54=BE$12,$U54,"")</f>
        <v/>
      </c>
      <c r="BF54" s="86" t="str">
        <f aca="false">IF($B54=BF$12,$U54,"")</f>
        <v/>
      </c>
      <c r="BG54" s="86" t="str">
        <f aca="false">IF($B54=BG$12,$U54,"")</f>
        <v/>
      </c>
      <c r="BH54" s="86" t="str">
        <f aca="false">IF($B54=BH$12,$U54,"")</f>
        <v/>
      </c>
      <c r="BI54" s="86" t="str">
        <f aca="false">IF($B54=BI$12,$U54,"")</f>
        <v/>
      </c>
      <c r="BJ54" s="86" t="str">
        <f aca="false">IF($B54=BJ$12,$U54,"")</f>
        <v/>
      </c>
      <c r="BK54" s="86" t="str">
        <f aca="false">IF($B54=BK$12,$U54,"")</f>
        <v/>
      </c>
      <c r="BL54" s="86" t="str">
        <f aca="false">IF($B54=BL$12,$U54,"")</f>
        <v/>
      </c>
      <c r="BM54" s="86" t="str">
        <f aca="false">IF($B54=BM$12,$U54,"")</f>
        <v/>
      </c>
      <c r="BN54" s="86" t="str">
        <f aca="false">IF($B54=BN$12,$U54,"")</f>
        <v/>
      </c>
      <c r="BO54" s="86" t="str">
        <f aca="false">IF($B54=BO$12,$U54,"")</f>
        <v/>
      </c>
      <c r="BP54" s="86" t="str">
        <f aca="false">IF($B54=BP$12,$U54,"")</f>
        <v/>
      </c>
      <c r="BQ54" s="86" t="str">
        <f aca="false">IF($B54=BQ$12,$U54,"")</f>
        <v/>
      </c>
      <c r="BR54" s="86" t="str">
        <f aca="false">IF($B54=BR$12,$U54,"")</f>
        <v/>
      </c>
      <c r="BS54" s="86" t="str">
        <f aca="false">IF($B54=BS$12,$U54,"")</f>
        <v/>
      </c>
      <c r="BT54" s="86" t="str">
        <f aca="false">IF($B54=BT$12,$U54,"")</f>
        <v/>
      </c>
      <c r="BU54" s="86" t="str">
        <f aca="false">IF($B54=BU$12,$U54,"")</f>
        <v/>
      </c>
      <c r="BV54" s="86" t="str">
        <f aca="false">IF($B54=BV$12,$U54,"")</f>
        <v/>
      </c>
      <c r="BW54" s="86" t="str">
        <f aca="false">IF($B54=BW$12,$U54,"")</f>
        <v/>
      </c>
      <c r="BX54" s="86" t="str">
        <f aca="false">IF($B54=BX$12,$U54,"")</f>
        <v/>
      </c>
      <c r="BY54" s="86" t="str">
        <f aca="false">IF($B54=BY$12,$U54,"")</f>
        <v/>
      </c>
      <c r="BZ54" s="86" t="str">
        <f aca="false">IF($B54=BZ$12,$U54,"")</f>
        <v/>
      </c>
      <c r="CA54" s="86" t="str">
        <f aca="false">IF($B54=CA$12,$U54,"")</f>
        <v/>
      </c>
      <c r="CB54" s="86" t="str">
        <f aca="false">IF($B54=CB$12,$U54,"")</f>
        <v/>
      </c>
      <c r="CC54" s="86" t="str">
        <f aca="false">IF($B54=CC$12,$U54,"")</f>
        <v/>
      </c>
      <c r="CD54" s="86" t="str">
        <f aca="false">IF($B54=CD$12,$U54,"")</f>
        <v/>
      </c>
      <c r="CE54" s="86" t="str">
        <f aca="false">IF($B54=CE$12,$U54,"")</f>
        <v/>
      </c>
      <c r="CF54" s="86" t="str">
        <f aca="false">IF($B54=CF$12,$U54,"")</f>
        <v/>
      </c>
      <c r="CG54" s="86" t="str">
        <f aca="false">IF($B54=CG$12,$U54,"")</f>
        <v/>
      </c>
      <c r="CH54" s="86" t="str">
        <f aca="false">IF($B54=CH$12,$U54,"")</f>
        <v/>
      </c>
      <c r="CI54" s="86" t="str">
        <f aca="false">IF($B54=CI$12,$U54,"")</f>
        <v/>
      </c>
      <c r="CJ54" s="86" t="str">
        <f aca="false">IF($B54=CJ$12,$U54,"")</f>
        <v/>
      </c>
      <c r="CK54" s="86" t="str">
        <f aca="false">IF($B54=CK$12,$U54,"")</f>
        <v/>
      </c>
      <c r="CL54" s="86" t="str">
        <f aca="false">IF($B54=CL$12,$U54,"")</f>
        <v/>
      </c>
      <c r="CM54" s="86" t="str">
        <f aca="false">IF($B54=CM$12,$U54,"")</f>
        <v/>
      </c>
      <c r="CN54" s="86" t="str">
        <f aca="false">IF($B54=CN$12,$U54,"")</f>
        <v/>
      </c>
      <c r="CO54" s="86" t="str">
        <f aca="false">IF($B54=CO$12,$U54,"")</f>
        <v/>
      </c>
      <c r="CP54" s="86" t="str">
        <f aca="false">IF($B54=CP$12,$U54,"")</f>
        <v/>
      </c>
      <c r="CQ54" s="86" t="str">
        <f aca="false">IF($B54=CQ$12,$U54,"")</f>
        <v/>
      </c>
      <c r="CR54" s="86" t="str">
        <f aca="false">IF($B54=CR$12,$U54,"")</f>
        <v/>
      </c>
      <c r="CS54" s="86" t="str">
        <f aca="false">IF($B54=CS$12,$U54,"")</f>
        <v/>
      </c>
      <c r="CT54" s="86" t="str">
        <f aca="false">IF($B54=CT$12,$U54,"")</f>
        <v/>
      </c>
      <c r="CU54" s="86" t="str">
        <f aca="false">IF($B54=CU$12,$U54,"")</f>
        <v/>
      </c>
      <c r="CV54" s="86" t="str">
        <f aca="false">IF($B54=CV$12,$U54,"")</f>
        <v/>
      </c>
      <c r="CW54" s="86" t="str">
        <f aca="false">IF($B54=CW$12,$U54,"")</f>
        <v/>
      </c>
      <c r="CX54" s="86" t="str">
        <f aca="false">IF($B54=CX$12,$U54,"")</f>
        <v/>
      </c>
      <c r="CY54" s="86" t="str">
        <f aca="false">IF($B54=CY$12,$U54,"")</f>
        <v/>
      </c>
      <c r="CZ54" s="86" t="str">
        <f aca="false">IF($B54=CZ$12,$U54,"")</f>
        <v/>
      </c>
      <c r="DA54" s="86" t="str">
        <f aca="false">IF($B54=DA$12,$U54,"")</f>
        <v/>
      </c>
      <c r="DB54" s="86" t="str">
        <f aca="false">IF($B54=DB$12,$U54,"")</f>
        <v/>
      </c>
      <c r="DC54" s="86" t="str">
        <f aca="false">IF($B54=DC$12,$U54,"")</f>
        <v/>
      </c>
      <c r="DD54" s="86" t="str">
        <f aca="false">IF($B54=DD$12,$U54,"")</f>
        <v/>
      </c>
      <c r="DE54" s="86" t="str">
        <f aca="false">IF($B54=DE$12,$U54,"")</f>
        <v/>
      </c>
      <c r="DF54" s="86" t="str">
        <f aca="false">IF($B54=DF$12,$U54,"")</f>
        <v/>
      </c>
      <c r="DG54" s="86" t="str">
        <f aca="false">IF($B54=DG$12,$U54,"")</f>
        <v/>
      </c>
      <c r="DH54" s="86" t="str">
        <f aca="false">IF($B54=DH$12,$U54,"")</f>
        <v/>
      </c>
      <c r="DI54" s="86" t="str">
        <f aca="false">IF($B54=DI$12,$U54,"")</f>
        <v/>
      </c>
      <c r="DJ54" s="86" t="str">
        <f aca="false">IF($B54=DJ$12,$U54,"")</f>
        <v/>
      </c>
      <c r="DK54" s="86" t="str">
        <f aca="false">IF($B54=DK$12,$U54,"")</f>
        <v/>
      </c>
      <c r="DL54" s="86" t="str">
        <f aca="false">IF($B54=DL$12,$U54,"")</f>
        <v/>
      </c>
      <c r="DM54" s="86" t="str">
        <f aca="false">IF($B54=DM$12,$U54,"")</f>
        <v/>
      </c>
      <c r="DN54" s="86" t="str">
        <f aca="false">IF($B54=DN$12,$U54,"")</f>
        <v/>
      </c>
      <c r="DO54" s="86" t="str">
        <f aca="false">IF($B54=DO$12,$U54,"")</f>
        <v/>
      </c>
      <c r="DP54" s="86" t="str">
        <f aca="false">IF($B54=DP$12,$U54,"")</f>
        <v/>
      </c>
      <c r="DQ54" s="86" t="str">
        <f aca="false">IF($B54=DQ$12,$U54,"")</f>
        <v/>
      </c>
      <c r="DR54" s="86" t="str">
        <f aca="false">IF($B54=DR$12,$U54,"")</f>
        <v/>
      </c>
      <c r="DS54" s="86" t="str">
        <f aca="false">IF($B54=DS$12,$U54,"")</f>
        <v/>
      </c>
      <c r="DT54" s="87" t="str">
        <f aca="false">IF($B54=DT$12,$U54,"")</f>
        <v/>
      </c>
      <c r="DU54" s="56"/>
      <c r="DV54" s="91"/>
      <c r="DW54" s="88" t="str">
        <f aca="false">IF($B54=DW$12,$O54,"")</f>
        <v/>
      </c>
      <c r="DX54" s="89" t="str">
        <f aca="false">IF($B54=DX$12,$O54,"")</f>
        <v/>
      </c>
      <c r="DY54" s="89" t="str">
        <f aca="false">IF($B54=DY$12,$O54,"")</f>
        <v/>
      </c>
      <c r="DZ54" s="89" t="str">
        <f aca="false">IF($B54=DZ$12,$O54,"")</f>
        <v/>
      </c>
      <c r="EA54" s="89" t="str">
        <f aca="false">IF($B54=EA$12,$O54,"")</f>
        <v/>
      </c>
      <c r="EB54" s="89" t="str">
        <f aca="false">IF($B54=EB$12,$O54,"")</f>
        <v/>
      </c>
      <c r="EC54" s="89" t="str">
        <f aca="false">IF($B54=EC$12,$O54,"")</f>
        <v/>
      </c>
      <c r="ED54" s="89" t="str">
        <f aca="false">IF($B54=ED$12,$O54,"")</f>
        <v/>
      </c>
      <c r="EE54" s="89" t="str">
        <f aca="false">IF($B54=EE$12,$O54,"")</f>
        <v/>
      </c>
      <c r="EF54" s="89" t="str">
        <f aca="false">IF($B54=EF$12,$O54,"")</f>
        <v/>
      </c>
      <c r="EG54" s="89" t="str">
        <f aca="false">IF($B54=EG$12,$O54,"")</f>
        <v/>
      </c>
      <c r="EH54" s="89" t="str">
        <f aca="false">IF($B54=EH$12,$O54,"")</f>
        <v/>
      </c>
      <c r="EI54" s="89" t="str">
        <f aca="false">IF($B54=EI$12,$O54,"")</f>
        <v/>
      </c>
      <c r="EJ54" s="89" t="str">
        <f aca="false">IF($B54=EJ$12,$O54,"")</f>
        <v/>
      </c>
      <c r="EK54" s="89" t="str">
        <f aca="false">IF($B54=EK$12,$O54,"")</f>
        <v/>
      </c>
      <c r="EL54" s="89" t="str">
        <f aca="false">IF($B54=EL$12,$O54,"")</f>
        <v/>
      </c>
      <c r="EM54" s="89" t="str">
        <f aca="false">IF($B54=EM$12,$O54,"")</f>
        <v/>
      </c>
      <c r="EN54" s="89" t="str">
        <f aca="false">IF($B54=EN$12,$O54,"")</f>
        <v/>
      </c>
      <c r="EO54" s="89" t="str">
        <f aca="false">IF($B54=EO$12,$O54,"")</f>
        <v/>
      </c>
      <c r="EP54" s="89" t="str">
        <f aca="false">IF($B54=EP$12,$O54,"")</f>
        <v/>
      </c>
      <c r="EQ54" s="89" t="str">
        <f aca="false">IF($B54=EQ$12,$O54,"")</f>
        <v/>
      </c>
      <c r="ER54" s="89" t="str">
        <f aca="false">IF($B54=ER$12,$O54,"")</f>
        <v/>
      </c>
      <c r="ES54" s="89" t="str">
        <f aca="false">IF($B54=ES$12,$O54,"")</f>
        <v/>
      </c>
      <c r="ET54" s="89" t="str">
        <f aca="false">IF($B54=ET$12,$O54,"")</f>
        <v/>
      </c>
      <c r="EU54" s="89" t="str">
        <f aca="false">IF($B54=EU$12,$O54,"")</f>
        <v/>
      </c>
      <c r="EV54" s="89" t="str">
        <f aca="false">IF($B54=EV$12,$O54,"")</f>
        <v/>
      </c>
      <c r="EW54" s="89" t="str">
        <f aca="false">IF($B54=EW$12,$O54,"")</f>
        <v/>
      </c>
      <c r="EX54" s="89" t="str">
        <f aca="false">IF($B54=EX$12,$O54,"")</f>
        <v/>
      </c>
      <c r="EY54" s="89" t="str">
        <f aca="false">IF($B54=EY$12,$O54,"")</f>
        <v/>
      </c>
      <c r="EZ54" s="89" t="str">
        <f aca="false">IF($B54=EZ$12,$O54,"")</f>
        <v/>
      </c>
      <c r="FA54" s="89" t="str">
        <f aca="false">IF($B54=FA$12,$O54,"")</f>
        <v/>
      </c>
      <c r="FB54" s="89" t="str">
        <f aca="false">IF($B54=FB$12,$O54,"")</f>
        <v/>
      </c>
      <c r="FC54" s="89" t="str">
        <f aca="false">IF($B54=FC$12,$O54,"")</f>
        <v/>
      </c>
      <c r="FD54" s="89" t="str">
        <f aca="false">IF($B54=FD$12,$O54,"")</f>
        <v/>
      </c>
      <c r="FE54" s="89" t="str">
        <f aca="false">IF($B54=FE$12,$O54,"")</f>
        <v/>
      </c>
      <c r="FF54" s="89" t="str">
        <f aca="false">IF($B54=FF$12,$O54,"")</f>
        <v/>
      </c>
      <c r="FG54" s="89" t="str">
        <f aca="false">IF($B54=FG$12,$O54,"")</f>
        <v/>
      </c>
      <c r="FH54" s="89" t="str">
        <f aca="false">IF($B54=FH$12,$O54,"")</f>
        <v/>
      </c>
      <c r="FI54" s="89" t="str">
        <f aca="false">IF($B54=FI$12,$O54,"")</f>
        <v/>
      </c>
      <c r="FJ54" s="89" t="str">
        <f aca="false">IF($B54=FJ$12,$O54,"")</f>
        <v/>
      </c>
      <c r="FK54" s="89" t="str">
        <f aca="false">IF($B54=FK$12,$O54,"")</f>
        <v/>
      </c>
      <c r="FL54" s="89" t="str">
        <f aca="false">IF($B54=FL$12,$O54,"")</f>
        <v/>
      </c>
      <c r="FM54" s="89" t="str">
        <f aca="false">IF($B54=FM$12,$O54,"")</f>
        <v/>
      </c>
      <c r="FN54" s="89" t="str">
        <f aca="false">IF($B54=FN$12,$O54,"")</f>
        <v/>
      </c>
      <c r="FO54" s="89" t="str">
        <f aca="false">IF($B54=FO$12,$O54,"")</f>
        <v/>
      </c>
      <c r="FP54" s="89" t="str">
        <f aca="false">IF($B54=FP$12,$O54,"")</f>
        <v/>
      </c>
      <c r="FQ54" s="89" t="str">
        <f aca="false">IF($B54=FQ$12,$O54,"")</f>
        <v/>
      </c>
      <c r="FR54" s="89" t="str">
        <f aca="false">IF($B54=FR$12,$O54,"")</f>
        <v/>
      </c>
      <c r="FS54" s="89" t="str">
        <f aca="false">IF($B54=FS$12,$O54,"")</f>
        <v/>
      </c>
      <c r="FT54" s="89" t="str">
        <f aca="false">IF($B54=FT$12,$O54,"")</f>
        <v/>
      </c>
      <c r="FU54" s="89" t="str">
        <f aca="false">IF($B54=FU$12,$O54,"")</f>
        <v/>
      </c>
      <c r="FV54" s="89" t="str">
        <f aca="false">IF($B54=FV$12,$O54,"")</f>
        <v/>
      </c>
      <c r="FW54" s="89" t="str">
        <f aca="false">IF($B54=FW$12,$O54,"")</f>
        <v/>
      </c>
      <c r="FX54" s="89" t="str">
        <f aca="false">IF($B54=FX$12,$O54,"")</f>
        <v/>
      </c>
      <c r="FY54" s="89" t="str">
        <f aca="false">IF($B54=FY$12,$O54,"")</f>
        <v/>
      </c>
      <c r="FZ54" s="89" t="str">
        <f aca="false">IF($B54=FZ$12,$O54,"")</f>
        <v/>
      </c>
      <c r="GA54" s="89" t="str">
        <f aca="false">IF($B54=GA$12,$O54,"")</f>
        <v/>
      </c>
      <c r="GB54" s="89" t="str">
        <f aca="false">IF($B54=GB$12,$O54,"")</f>
        <v/>
      </c>
      <c r="GC54" s="89" t="str">
        <f aca="false">IF($B54=GC$12,$O54,"")</f>
        <v/>
      </c>
      <c r="GD54" s="89" t="str">
        <f aca="false">IF($B54=GD$12,$O54,"")</f>
        <v/>
      </c>
      <c r="GE54" s="89" t="str">
        <f aca="false">IF($B54=GE$12,$O54,"")</f>
        <v/>
      </c>
      <c r="GF54" s="89" t="str">
        <f aca="false">IF($B54=GF$12,$O54,"")</f>
        <v/>
      </c>
      <c r="GG54" s="89" t="str">
        <f aca="false">IF($B54=GG$12,$O54,"")</f>
        <v/>
      </c>
      <c r="GH54" s="89" t="str">
        <f aca="false">IF($B54=GH$12,$O54,"")</f>
        <v/>
      </c>
      <c r="GI54" s="89" t="str">
        <f aca="false">IF($B54=GI$12,$O54,"")</f>
        <v/>
      </c>
      <c r="GJ54" s="89" t="str">
        <f aca="false">IF($B54=GJ$12,$O54,"")</f>
        <v/>
      </c>
      <c r="GK54" s="89" t="str">
        <f aca="false">IF($B54=GK$12,$O54,"")</f>
        <v/>
      </c>
      <c r="GL54" s="89" t="str">
        <f aca="false">IF($B54=GL$12,$O54,"")</f>
        <v/>
      </c>
      <c r="GM54" s="89" t="str">
        <f aca="false">IF($B54=GM$12,$O54,"")</f>
        <v/>
      </c>
      <c r="GN54" s="89" t="str">
        <f aca="false">IF($B54=GN$12,$O54,"")</f>
        <v/>
      </c>
      <c r="GO54" s="89" t="str">
        <f aca="false">IF($B54=GO$12,$O54,"")</f>
        <v/>
      </c>
      <c r="GP54" s="89" t="str">
        <f aca="false">IF($B54=GP$12,$O54,"")</f>
        <v/>
      </c>
      <c r="GQ54" s="89" t="str">
        <f aca="false">IF($B54=GQ$12,$O54,"")</f>
        <v/>
      </c>
      <c r="GR54" s="89" t="str">
        <f aca="false">IF($B54=GR$12,$O54,"")</f>
        <v/>
      </c>
      <c r="GS54" s="89" t="str">
        <f aca="false">IF($B54=GS$12,$O54,"")</f>
        <v/>
      </c>
      <c r="GT54" s="89" t="str">
        <f aca="false">IF($B54=GT$12,$O54,"")</f>
        <v/>
      </c>
      <c r="GU54" s="89" t="str">
        <f aca="false">IF($B54=GU$12,$O54,"")</f>
        <v/>
      </c>
      <c r="GV54" s="89" t="str">
        <f aca="false">IF($B54=GV$12,$O54,"")</f>
        <v/>
      </c>
      <c r="GW54" s="89" t="str">
        <f aca="false">IF($B54=GW$12,$O54,"")</f>
        <v/>
      </c>
      <c r="GX54" s="89" t="str">
        <f aca="false">IF($B54=GX$12,$O54,"")</f>
        <v/>
      </c>
      <c r="GY54" s="89" t="str">
        <f aca="false">IF($B54=GY$12,$O54,"")</f>
        <v/>
      </c>
      <c r="GZ54" s="89" t="str">
        <f aca="false">IF($B54=GZ$12,$O54,"")</f>
        <v/>
      </c>
      <c r="HA54" s="89" t="str">
        <f aca="false">IF($B54=HA$12,$O54,"")</f>
        <v/>
      </c>
      <c r="HB54" s="89" t="str">
        <f aca="false">IF($B54=HB$12,$O54,"")</f>
        <v/>
      </c>
      <c r="HC54" s="89" t="str">
        <f aca="false">IF($B54=HC$12,$O54,"")</f>
        <v/>
      </c>
      <c r="HD54" s="89" t="str">
        <f aca="false">IF($B54=HD$12,$O54,"")</f>
        <v/>
      </c>
      <c r="HE54" s="89" t="str">
        <f aca="false">IF($B54=HE$12,$O54,"")</f>
        <v/>
      </c>
      <c r="HF54" s="89" t="str">
        <f aca="false">IF($B54=HF$12,$O54,"")</f>
        <v/>
      </c>
      <c r="HG54" s="89" t="str">
        <f aca="false">IF($B54=HG$12,$O54,"")</f>
        <v/>
      </c>
      <c r="HH54" s="89" t="str">
        <f aca="false">IF($B54=HH$12,$O54,"")</f>
        <v/>
      </c>
      <c r="HI54" s="89" t="str">
        <f aca="false">IF($B54=HI$12,$O54,"")</f>
        <v/>
      </c>
      <c r="HJ54" s="89" t="str">
        <f aca="false">IF($B54=HJ$12,$O54,"")</f>
        <v/>
      </c>
      <c r="HK54" s="89" t="str">
        <f aca="false">IF($B54=HK$12,$O54,"")</f>
        <v/>
      </c>
      <c r="HL54" s="89" t="str">
        <f aca="false">IF($B54=HL$12,$O54,"")</f>
        <v/>
      </c>
      <c r="HM54" s="89" t="str">
        <f aca="false">IF($B54=HM$12,$O54,"")</f>
        <v/>
      </c>
      <c r="HN54" s="89" t="str">
        <f aca="false">IF($B54=HN$12,$O54,"")</f>
        <v/>
      </c>
      <c r="HO54" s="89" t="str">
        <f aca="false">IF($B54=HO$12,$O54,"")</f>
        <v/>
      </c>
      <c r="HP54" s="89" t="str">
        <f aca="false">IF($B54=HP$12,$O54,"")</f>
        <v/>
      </c>
      <c r="HQ54" s="89" t="str">
        <f aca="false">IF($B54=HQ$12,$O54,"")</f>
        <v/>
      </c>
      <c r="HR54" s="90" t="str">
        <f aca="false">IF($B54=HR$12,$O54,"")</f>
        <v/>
      </c>
    </row>
    <row r="55" customFormat="false" ht="10.5" hidden="false" customHeight="true" outlineLevel="0" collapsed="false">
      <c r="A55" s="75"/>
      <c r="B55" s="76"/>
      <c r="C55" s="77" t="str">
        <f aca="false">IF(A55=0,"",VLOOKUP(A55,[3]CO!$A$3:$F$5311,2,0))</f>
        <v/>
      </c>
      <c r="D55" s="78"/>
      <c r="E55" s="78"/>
      <c r="F55" s="135" t="str">
        <f aca="false">IF(AND(B55&gt;0,H55&gt;0),(H55*100) &amp; "% DE $" &amp;$Q$34,"")</f>
        <v/>
      </c>
      <c r="G55" s="79" t="str">
        <f aca="false">IF(A55=0,"",VLOOKUP(A55,[3]CO!$A$3:$F$5311,3,0))</f>
        <v/>
      </c>
      <c r="H55" s="130"/>
      <c r="I55" s="80"/>
      <c r="J55" s="80"/>
      <c r="K55" s="80"/>
      <c r="L55" s="80"/>
      <c r="M55" s="81" t="str">
        <f aca="false">IF(L55=0,"",H55*Q$34/N55)</f>
        <v/>
      </c>
      <c r="N55" s="81" t="str">
        <f aca="false">IF(B55=0,"",IF(H55="M",HLOOKUP(B55,$Y$12:$DT$13,2),IF(A55=0,"",VLOOKUP(A55,[3]CO!$A$3:$F$5311,4,0))))</f>
        <v/>
      </c>
      <c r="O55" s="81" t="str">
        <f aca="false">IF(L55=0,"",PRODUCT(M55:N55))</f>
        <v/>
      </c>
      <c r="P55" s="82"/>
      <c r="Q55" s="83" t="str">
        <f aca="false">IF(P55=0,"",(HLOOKUP(P55,$DW$12:$HR$13,2)))</f>
        <v/>
      </c>
      <c r="R55" s="84"/>
      <c r="S55" s="51"/>
      <c r="T55" s="67" t="str">
        <f aca="false">IF(A55=0,"",VLOOKUP(A55,[3]CO!$A$3:$F$5302,5,0))</f>
        <v/>
      </c>
      <c r="U55" s="56" t="n">
        <f aca="false">IF(T55=1,O55*0.1,)</f>
        <v>0</v>
      </c>
      <c r="V55" s="68"/>
      <c r="W55" s="91"/>
      <c r="X55" s="91"/>
      <c r="Y55" s="85" t="str">
        <f aca="false">IF($B55=Y$12,$U55,"")</f>
        <v/>
      </c>
      <c r="Z55" s="86" t="str">
        <f aca="false">IF($B55=Z$12,$U55,"")</f>
        <v/>
      </c>
      <c r="AA55" s="86" t="str">
        <f aca="false">IF($B55=AA$12,$U55,"")</f>
        <v/>
      </c>
      <c r="AB55" s="86" t="str">
        <f aca="false">IF($B55=AB$12,$U55,"")</f>
        <v/>
      </c>
      <c r="AC55" s="86" t="str">
        <f aca="false">IF($B55=AC$12,$U55,"")</f>
        <v/>
      </c>
      <c r="AD55" s="86" t="str">
        <f aca="false">IF($B55=AD$12,$U55,"")</f>
        <v/>
      </c>
      <c r="AE55" s="86" t="str">
        <f aca="false">IF($B55=AE$12,$U55,"")</f>
        <v/>
      </c>
      <c r="AF55" s="86" t="str">
        <f aca="false">IF($B55=AF$12,$U55,"")</f>
        <v/>
      </c>
      <c r="AG55" s="86" t="str">
        <f aca="false">IF($B55=AG$12,$U55,"")</f>
        <v/>
      </c>
      <c r="AH55" s="86" t="str">
        <f aca="false">IF($B55=AH$12,$U55,"")</f>
        <v/>
      </c>
      <c r="AI55" s="86" t="str">
        <f aca="false">IF($B55=AI$12,$U55,"")</f>
        <v/>
      </c>
      <c r="AJ55" s="86" t="str">
        <f aca="false">IF($B55=AJ$12,$U55,"")</f>
        <v/>
      </c>
      <c r="AK55" s="86" t="str">
        <f aca="false">IF($B55=AK$12,$U55,"")</f>
        <v/>
      </c>
      <c r="AL55" s="86" t="str">
        <f aca="false">IF($B55=AL$12,$U55,"")</f>
        <v/>
      </c>
      <c r="AM55" s="86" t="str">
        <f aca="false">IF($B55=AM$12,$U55,"")</f>
        <v/>
      </c>
      <c r="AN55" s="86" t="str">
        <f aca="false">IF($B55=AN$12,$U55,"")</f>
        <v/>
      </c>
      <c r="AO55" s="86" t="str">
        <f aca="false">IF($B55=AO$12,$U55,"")</f>
        <v/>
      </c>
      <c r="AP55" s="86" t="str">
        <f aca="false">IF($B55=AP$12,$U55,"")</f>
        <v/>
      </c>
      <c r="AQ55" s="86" t="str">
        <f aca="false">IF($B55=AQ$12,$U55,"")</f>
        <v/>
      </c>
      <c r="AR55" s="86" t="str">
        <f aca="false">IF($B55=AR$12,$U55,"")</f>
        <v/>
      </c>
      <c r="AS55" s="86" t="str">
        <f aca="false">IF($B55=AS$12,$U55,"")</f>
        <v/>
      </c>
      <c r="AT55" s="86" t="str">
        <f aca="false">IF($B55=AT$12,$U55,"")</f>
        <v/>
      </c>
      <c r="AU55" s="86" t="str">
        <f aca="false">IF($B55=AU$12,$U55,"")</f>
        <v/>
      </c>
      <c r="AV55" s="86" t="str">
        <f aca="false">IF($B55=AV$12,$U55,"")</f>
        <v/>
      </c>
      <c r="AW55" s="86" t="str">
        <f aca="false">IF($B55=AW$12,$U55,"")</f>
        <v/>
      </c>
      <c r="AX55" s="86" t="str">
        <f aca="false">IF($B55=AX$12,$U55,"")</f>
        <v/>
      </c>
      <c r="AY55" s="86" t="str">
        <f aca="false">IF($B55=AY$12,$U55,"")</f>
        <v/>
      </c>
      <c r="AZ55" s="86" t="str">
        <f aca="false">IF($B55=AZ$12,$U55,"")</f>
        <v/>
      </c>
      <c r="BA55" s="86" t="str">
        <f aca="false">IF($B55=BA$12,$U55,"")</f>
        <v/>
      </c>
      <c r="BB55" s="86" t="str">
        <f aca="false">IF($B55=BB$12,$U55,"")</f>
        <v/>
      </c>
      <c r="BC55" s="86" t="str">
        <f aca="false">IF($B55=BC$12,$U55,"")</f>
        <v/>
      </c>
      <c r="BD55" s="86" t="str">
        <f aca="false">IF($B55=BD$12,$U55,"")</f>
        <v/>
      </c>
      <c r="BE55" s="86" t="str">
        <f aca="false">IF($B55=BE$12,$U55,"")</f>
        <v/>
      </c>
      <c r="BF55" s="86" t="str">
        <f aca="false">IF($B55=BF$12,$U55,"")</f>
        <v/>
      </c>
      <c r="BG55" s="86" t="str">
        <f aca="false">IF($B55=BG$12,$U55,"")</f>
        <v/>
      </c>
      <c r="BH55" s="86" t="str">
        <f aca="false">IF($B55=BH$12,$U55,"")</f>
        <v/>
      </c>
      <c r="BI55" s="86" t="str">
        <f aca="false">IF($B55=BI$12,$U55,"")</f>
        <v/>
      </c>
      <c r="BJ55" s="86" t="str">
        <f aca="false">IF($B55=BJ$12,$U55,"")</f>
        <v/>
      </c>
      <c r="BK55" s="86" t="str">
        <f aca="false">IF($B55=BK$12,$U55,"")</f>
        <v/>
      </c>
      <c r="BL55" s="86" t="str">
        <f aca="false">IF($B55=BL$12,$U55,"")</f>
        <v/>
      </c>
      <c r="BM55" s="86" t="str">
        <f aca="false">IF($B55=BM$12,$U55,"")</f>
        <v/>
      </c>
      <c r="BN55" s="86" t="str">
        <f aca="false">IF($B55=BN$12,$U55,"")</f>
        <v/>
      </c>
      <c r="BO55" s="86" t="str">
        <f aca="false">IF($B55=BO$12,$U55,"")</f>
        <v/>
      </c>
      <c r="BP55" s="86" t="str">
        <f aca="false">IF($B55=BP$12,$U55,"")</f>
        <v/>
      </c>
      <c r="BQ55" s="86" t="str">
        <f aca="false">IF($B55=BQ$12,$U55,"")</f>
        <v/>
      </c>
      <c r="BR55" s="86" t="str">
        <f aca="false">IF($B55=BR$12,$U55,"")</f>
        <v/>
      </c>
      <c r="BS55" s="86" t="str">
        <f aca="false">IF($B55=BS$12,$U55,"")</f>
        <v/>
      </c>
      <c r="BT55" s="86" t="str">
        <f aca="false">IF($B55=BT$12,$U55,"")</f>
        <v/>
      </c>
      <c r="BU55" s="86" t="str">
        <f aca="false">IF($B55=BU$12,$U55,"")</f>
        <v/>
      </c>
      <c r="BV55" s="86" t="str">
        <f aca="false">IF($B55=BV$12,$U55,"")</f>
        <v/>
      </c>
      <c r="BW55" s="86" t="str">
        <f aca="false">IF($B55=BW$12,$U55,"")</f>
        <v/>
      </c>
      <c r="BX55" s="86" t="str">
        <f aca="false">IF($B55=BX$12,$U55,"")</f>
        <v/>
      </c>
      <c r="BY55" s="86" t="str">
        <f aca="false">IF($B55=BY$12,$U55,"")</f>
        <v/>
      </c>
      <c r="BZ55" s="86" t="str">
        <f aca="false">IF($B55=BZ$12,$U55,"")</f>
        <v/>
      </c>
      <c r="CA55" s="86" t="str">
        <f aca="false">IF($B55=CA$12,$U55,"")</f>
        <v/>
      </c>
      <c r="CB55" s="86" t="str">
        <f aca="false">IF($B55=CB$12,$U55,"")</f>
        <v/>
      </c>
      <c r="CC55" s="86" t="str">
        <f aca="false">IF($B55=CC$12,$U55,"")</f>
        <v/>
      </c>
      <c r="CD55" s="86" t="str">
        <f aca="false">IF($B55=CD$12,$U55,"")</f>
        <v/>
      </c>
      <c r="CE55" s="86" t="str">
        <f aca="false">IF($B55=CE$12,$U55,"")</f>
        <v/>
      </c>
      <c r="CF55" s="86" t="str">
        <f aca="false">IF($B55=CF$12,$U55,"")</f>
        <v/>
      </c>
      <c r="CG55" s="86" t="str">
        <f aca="false">IF($B55=CG$12,$U55,"")</f>
        <v/>
      </c>
      <c r="CH55" s="86" t="str">
        <f aca="false">IF($B55=CH$12,$U55,"")</f>
        <v/>
      </c>
      <c r="CI55" s="86" t="str">
        <f aca="false">IF($B55=CI$12,$U55,"")</f>
        <v/>
      </c>
      <c r="CJ55" s="86" t="str">
        <f aca="false">IF($B55=CJ$12,$U55,"")</f>
        <v/>
      </c>
      <c r="CK55" s="86" t="str">
        <f aca="false">IF($B55=CK$12,$U55,"")</f>
        <v/>
      </c>
      <c r="CL55" s="86" t="str">
        <f aca="false">IF($B55=CL$12,$U55,"")</f>
        <v/>
      </c>
      <c r="CM55" s="86" t="str">
        <f aca="false">IF($B55=CM$12,$U55,"")</f>
        <v/>
      </c>
      <c r="CN55" s="86" t="str">
        <f aca="false">IF($B55=CN$12,$U55,"")</f>
        <v/>
      </c>
      <c r="CO55" s="86" t="str">
        <f aca="false">IF($B55=CO$12,$U55,"")</f>
        <v/>
      </c>
      <c r="CP55" s="86" t="str">
        <f aca="false">IF($B55=CP$12,$U55,"")</f>
        <v/>
      </c>
      <c r="CQ55" s="86" t="str">
        <f aca="false">IF($B55=CQ$12,$U55,"")</f>
        <v/>
      </c>
      <c r="CR55" s="86" t="str">
        <f aca="false">IF($B55=CR$12,$U55,"")</f>
        <v/>
      </c>
      <c r="CS55" s="86" t="str">
        <f aca="false">IF($B55=CS$12,$U55,"")</f>
        <v/>
      </c>
      <c r="CT55" s="86" t="str">
        <f aca="false">IF($B55=CT$12,$U55,"")</f>
        <v/>
      </c>
      <c r="CU55" s="86" t="str">
        <f aca="false">IF($B55=CU$12,$U55,"")</f>
        <v/>
      </c>
      <c r="CV55" s="86" t="str">
        <f aca="false">IF($B55=CV$12,$U55,"")</f>
        <v/>
      </c>
      <c r="CW55" s="86" t="str">
        <f aca="false">IF($B55=CW$12,$U55,"")</f>
        <v/>
      </c>
      <c r="CX55" s="86" t="str">
        <f aca="false">IF($B55=CX$12,$U55,"")</f>
        <v/>
      </c>
      <c r="CY55" s="86" t="str">
        <f aca="false">IF($B55=CY$12,$U55,"")</f>
        <v/>
      </c>
      <c r="CZ55" s="86" t="str">
        <f aca="false">IF($B55=CZ$12,$U55,"")</f>
        <v/>
      </c>
      <c r="DA55" s="86" t="str">
        <f aca="false">IF($B55=DA$12,$U55,"")</f>
        <v/>
      </c>
      <c r="DB55" s="86" t="str">
        <f aca="false">IF($B55=DB$12,$U55,"")</f>
        <v/>
      </c>
      <c r="DC55" s="86" t="str">
        <f aca="false">IF($B55=DC$12,$U55,"")</f>
        <v/>
      </c>
      <c r="DD55" s="86" t="str">
        <f aca="false">IF($B55=DD$12,$U55,"")</f>
        <v/>
      </c>
      <c r="DE55" s="86" t="str">
        <f aca="false">IF($B55=DE$12,$U55,"")</f>
        <v/>
      </c>
      <c r="DF55" s="86" t="str">
        <f aca="false">IF($B55=DF$12,$U55,"")</f>
        <v/>
      </c>
      <c r="DG55" s="86" t="str">
        <f aca="false">IF($B55=DG$12,$U55,"")</f>
        <v/>
      </c>
      <c r="DH55" s="86" t="str">
        <f aca="false">IF($B55=DH$12,$U55,"")</f>
        <v/>
      </c>
      <c r="DI55" s="86" t="str">
        <f aca="false">IF($B55=DI$12,$U55,"")</f>
        <v/>
      </c>
      <c r="DJ55" s="86" t="str">
        <f aca="false">IF($B55=DJ$12,$U55,"")</f>
        <v/>
      </c>
      <c r="DK55" s="86" t="str">
        <f aca="false">IF($B55=DK$12,$U55,"")</f>
        <v/>
      </c>
      <c r="DL55" s="86" t="str">
        <f aca="false">IF($B55=DL$12,$U55,"")</f>
        <v/>
      </c>
      <c r="DM55" s="86" t="str">
        <f aca="false">IF($B55=DM$12,$U55,"")</f>
        <v/>
      </c>
      <c r="DN55" s="86" t="str">
        <f aca="false">IF($B55=DN$12,$U55,"")</f>
        <v/>
      </c>
      <c r="DO55" s="86" t="str">
        <f aca="false">IF($B55=DO$12,$U55,"")</f>
        <v/>
      </c>
      <c r="DP55" s="86" t="str">
        <f aca="false">IF($B55=DP$12,$U55,"")</f>
        <v/>
      </c>
      <c r="DQ55" s="86" t="str">
        <f aca="false">IF($B55=DQ$12,$U55,"")</f>
        <v/>
      </c>
      <c r="DR55" s="86" t="str">
        <f aca="false">IF($B55=DR$12,$U55,"")</f>
        <v/>
      </c>
      <c r="DS55" s="86" t="str">
        <f aca="false">IF($B55=DS$12,$U55,"")</f>
        <v/>
      </c>
      <c r="DT55" s="87" t="str">
        <f aca="false">IF($B55=DT$12,$U55,"")</f>
        <v/>
      </c>
      <c r="DU55" s="56"/>
      <c r="DV55" s="91"/>
      <c r="DW55" s="88" t="str">
        <f aca="false">IF($B55=DW$12,$O55,"")</f>
        <v/>
      </c>
      <c r="DX55" s="89" t="str">
        <f aca="false">IF($B55=DX$12,$O55,"")</f>
        <v/>
      </c>
      <c r="DY55" s="89" t="str">
        <f aca="false">IF($B55=DY$12,$O55,"")</f>
        <v/>
      </c>
      <c r="DZ55" s="89" t="str">
        <f aca="false">IF($B55=DZ$12,$O55,"")</f>
        <v/>
      </c>
      <c r="EA55" s="89" t="str">
        <f aca="false">IF($B55=EA$12,$O55,"")</f>
        <v/>
      </c>
      <c r="EB55" s="89" t="str">
        <f aca="false">IF($B55=EB$12,$O55,"")</f>
        <v/>
      </c>
      <c r="EC55" s="89" t="str">
        <f aca="false">IF($B55=EC$12,$O55,"")</f>
        <v/>
      </c>
      <c r="ED55" s="89" t="str">
        <f aca="false">IF($B55=ED$12,$O55,"")</f>
        <v/>
      </c>
      <c r="EE55" s="89" t="str">
        <f aca="false">IF($B55=EE$12,$O55,"")</f>
        <v/>
      </c>
      <c r="EF55" s="89" t="str">
        <f aca="false">IF($B55=EF$12,$O55,"")</f>
        <v/>
      </c>
      <c r="EG55" s="89" t="str">
        <f aca="false">IF($B55=EG$12,$O55,"")</f>
        <v/>
      </c>
      <c r="EH55" s="89" t="str">
        <f aca="false">IF($B55=EH$12,$O55,"")</f>
        <v/>
      </c>
      <c r="EI55" s="89" t="str">
        <f aca="false">IF($B55=EI$12,$O55,"")</f>
        <v/>
      </c>
      <c r="EJ55" s="89" t="str">
        <f aca="false">IF($B55=EJ$12,$O55,"")</f>
        <v/>
      </c>
      <c r="EK55" s="89" t="str">
        <f aca="false">IF($B55=EK$12,$O55,"")</f>
        <v/>
      </c>
      <c r="EL55" s="89" t="str">
        <f aca="false">IF($B55=EL$12,$O55,"")</f>
        <v/>
      </c>
      <c r="EM55" s="89" t="str">
        <f aca="false">IF($B55=EM$12,$O55,"")</f>
        <v/>
      </c>
      <c r="EN55" s="89" t="str">
        <f aca="false">IF($B55=EN$12,$O55,"")</f>
        <v/>
      </c>
      <c r="EO55" s="89" t="str">
        <f aca="false">IF($B55=EO$12,$O55,"")</f>
        <v/>
      </c>
      <c r="EP55" s="89" t="str">
        <f aca="false">IF($B55=EP$12,$O55,"")</f>
        <v/>
      </c>
      <c r="EQ55" s="89" t="str">
        <f aca="false">IF($B55=EQ$12,$O55,"")</f>
        <v/>
      </c>
      <c r="ER55" s="89" t="str">
        <f aca="false">IF($B55=ER$12,$O55,"")</f>
        <v/>
      </c>
      <c r="ES55" s="89" t="str">
        <f aca="false">IF($B55=ES$12,$O55,"")</f>
        <v/>
      </c>
      <c r="ET55" s="89" t="str">
        <f aca="false">IF($B55=ET$12,$O55,"")</f>
        <v/>
      </c>
      <c r="EU55" s="89" t="str">
        <f aca="false">IF($B55=EU$12,$O55,"")</f>
        <v/>
      </c>
      <c r="EV55" s="89" t="str">
        <f aca="false">IF($B55=EV$12,$O55,"")</f>
        <v/>
      </c>
      <c r="EW55" s="89" t="str">
        <f aca="false">IF($B55=EW$12,$O55,"")</f>
        <v/>
      </c>
      <c r="EX55" s="89" t="str">
        <f aca="false">IF($B55=EX$12,$O55,"")</f>
        <v/>
      </c>
      <c r="EY55" s="89" t="str">
        <f aca="false">IF($B55=EY$12,$O55,"")</f>
        <v/>
      </c>
      <c r="EZ55" s="89" t="str">
        <f aca="false">IF($B55=EZ$12,$O55,"")</f>
        <v/>
      </c>
      <c r="FA55" s="89" t="str">
        <f aca="false">IF($B55=FA$12,$O55,"")</f>
        <v/>
      </c>
      <c r="FB55" s="89" t="str">
        <f aca="false">IF($B55=FB$12,$O55,"")</f>
        <v/>
      </c>
      <c r="FC55" s="89" t="str">
        <f aca="false">IF($B55=FC$12,$O55,"")</f>
        <v/>
      </c>
      <c r="FD55" s="89" t="str">
        <f aca="false">IF($B55=FD$12,$O55,"")</f>
        <v/>
      </c>
      <c r="FE55" s="89" t="str">
        <f aca="false">IF($B55=FE$12,$O55,"")</f>
        <v/>
      </c>
      <c r="FF55" s="89" t="str">
        <f aca="false">IF($B55=FF$12,$O55,"")</f>
        <v/>
      </c>
      <c r="FG55" s="89" t="str">
        <f aca="false">IF($B55=FG$12,$O55,"")</f>
        <v/>
      </c>
      <c r="FH55" s="89" t="str">
        <f aca="false">IF($B55=FH$12,$O55,"")</f>
        <v/>
      </c>
      <c r="FI55" s="89" t="str">
        <f aca="false">IF($B55=FI$12,$O55,"")</f>
        <v/>
      </c>
      <c r="FJ55" s="89" t="str">
        <f aca="false">IF($B55=FJ$12,$O55,"")</f>
        <v/>
      </c>
      <c r="FK55" s="89" t="str">
        <f aca="false">IF($B55=FK$12,$O55,"")</f>
        <v/>
      </c>
      <c r="FL55" s="89" t="str">
        <f aca="false">IF($B55=FL$12,$O55,"")</f>
        <v/>
      </c>
      <c r="FM55" s="89" t="str">
        <f aca="false">IF($B55=FM$12,$O55,"")</f>
        <v/>
      </c>
      <c r="FN55" s="89" t="str">
        <f aca="false">IF($B55=FN$12,$O55,"")</f>
        <v/>
      </c>
      <c r="FO55" s="89" t="str">
        <f aca="false">IF($B55=FO$12,$O55,"")</f>
        <v/>
      </c>
      <c r="FP55" s="89" t="str">
        <f aca="false">IF($B55=FP$12,$O55,"")</f>
        <v/>
      </c>
      <c r="FQ55" s="89" t="str">
        <f aca="false">IF($B55=FQ$12,$O55,"")</f>
        <v/>
      </c>
      <c r="FR55" s="89" t="str">
        <f aca="false">IF($B55=FR$12,$O55,"")</f>
        <v/>
      </c>
      <c r="FS55" s="89" t="str">
        <f aca="false">IF($B55=FS$12,$O55,"")</f>
        <v/>
      </c>
      <c r="FT55" s="89" t="str">
        <f aca="false">IF($B55=FT$12,$O55,"")</f>
        <v/>
      </c>
      <c r="FU55" s="89" t="str">
        <f aca="false">IF($B55=FU$12,$O55,"")</f>
        <v/>
      </c>
      <c r="FV55" s="89" t="str">
        <f aca="false">IF($B55=FV$12,$O55,"")</f>
        <v/>
      </c>
      <c r="FW55" s="89" t="str">
        <f aca="false">IF($B55=FW$12,$O55,"")</f>
        <v/>
      </c>
      <c r="FX55" s="89" t="str">
        <f aca="false">IF($B55=FX$12,$O55,"")</f>
        <v/>
      </c>
      <c r="FY55" s="89" t="str">
        <f aca="false">IF($B55=FY$12,$O55,"")</f>
        <v/>
      </c>
      <c r="FZ55" s="89" t="str">
        <f aca="false">IF($B55=FZ$12,$O55,"")</f>
        <v/>
      </c>
      <c r="GA55" s="89" t="str">
        <f aca="false">IF($B55=GA$12,$O55,"")</f>
        <v/>
      </c>
      <c r="GB55" s="89" t="str">
        <f aca="false">IF($B55=GB$12,$O55,"")</f>
        <v/>
      </c>
      <c r="GC55" s="89" t="str">
        <f aca="false">IF($B55=GC$12,$O55,"")</f>
        <v/>
      </c>
      <c r="GD55" s="89" t="str">
        <f aca="false">IF($B55=GD$12,$O55,"")</f>
        <v/>
      </c>
      <c r="GE55" s="89" t="str">
        <f aca="false">IF($B55=GE$12,$O55,"")</f>
        <v/>
      </c>
      <c r="GF55" s="89" t="str">
        <f aca="false">IF($B55=GF$12,$O55,"")</f>
        <v/>
      </c>
      <c r="GG55" s="89" t="str">
        <f aca="false">IF($B55=GG$12,$O55,"")</f>
        <v/>
      </c>
      <c r="GH55" s="89" t="str">
        <f aca="false">IF($B55=GH$12,$O55,"")</f>
        <v/>
      </c>
      <c r="GI55" s="89" t="str">
        <f aca="false">IF($B55=GI$12,$O55,"")</f>
        <v/>
      </c>
      <c r="GJ55" s="89" t="str">
        <f aca="false">IF($B55=GJ$12,$O55,"")</f>
        <v/>
      </c>
      <c r="GK55" s="89" t="str">
        <f aca="false">IF($B55=GK$12,$O55,"")</f>
        <v/>
      </c>
      <c r="GL55" s="89" t="str">
        <f aca="false">IF($B55=GL$12,$O55,"")</f>
        <v/>
      </c>
      <c r="GM55" s="89" t="str">
        <f aca="false">IF($B55=GM$12,$O55,"")</f>
        <v/>
      </c>
      <c r="GN55" s="89" t="str">
        <f aca="false">IF($B55=GN$12,$O55,"")</f>
        <v/>
      </c>
      <c r="GO55" s="89" t="str">
        <f aca="false">IF($B55=GO$12,$O55,"")</f>
        <v/>
      </c>
      <c r="GP55" s="89" t="str">
        <f aca="false">IF($B55=GP$12,$O55,"")</f>
        <v/>
      </c>
      <c r="GQ55" s="89" t="str">
        <f aca="false">IF($B55=GQ$12,$O55,"")</f>
        <v/>
      </c>
      <c r="GR55" s="89" t="str">
        <f aca="false">IF($B55=GR$12,$O55,"")</f>
        <v/>
      </c>
      <c r="GS55" s="89" t="str">
        <f aca="false">IF($B55=GS$12,$O55,"")</f>
        <v/>
      </c>
      <c r="GT55" s="89" t="str">
        <f aca="false">IF($B55=GT$12,$O55,"")</f>
        <v/>
      </c>
      <c r="GU55" s="89" t="str">
        <f aca="false">IF($B55=GU$12,$O55,"")</f>
        <v/>
      </c>
      <c r="GV55" s="89" t="str">
        <f aca="false">IF($B55=GV$12,$O55,"")</f>
        <v/>
      </c>
      <c r="GW55" s="89" t="str">
        <f aca="false">IF($B55=GW$12,$O55,"")</f>
        <v/>
      </c>
      <c r="GX55" s="89" t="str">
        <f aca="false">IF($B55=GX$12,$O55,"")</f>
        <v/>
      </c>
      <c r="GY55" s="89" t="str">
        <f aca="false">IF($B55=GY$12,$O55,"")</f>
        <v/>
      </c>
      <c r="GZ55" s="89" t="str">
        <f aca="false">IF($B55=GZ$12,$O55,"")</f>
        <v/>
      </c>
      <c r="HA55" s="89" t="str">
        <f aca="false">IF($B55=HA$12,$O55,"")</f>
        <v/>
      </c>
      <c r="HB55" s="89" t="str">
        <f aca="false">IF($B55=HB$12,$O55,"")</f>
        <v/>
      </c>
      <c r="HC55" s="89" t="str">
        <f aca="false">IF($B55=HC$12,$O55,"")</f>
        <v/>
      </c>
      <c r="HD55" s="89" t="str">
        <f aca="false">IF($B55=HD$12,$O55,"")</f>
        <v/>
      </c>
      <c r="HE55" s="89" t="str">
        <f aca="false">IF($B55=HE$12,$O55,"")</f>
        <v/>
      </c>
      <c r="HF55" s="89" t="str">
        <f aca="false">IF($B55=HF$12,$O55,"")</f>
        <v/>
      </c>
      <c r="HG55" s="89" t="str">
        <f aca="false">IF($B55=HG$12,$O55,"")</f>
        <v/>
      </c>
      <c r="HH55" s="89" t="str">
        <f aca="false">IF($B55=HH$12,$O55,"")</f>
        <v/>
      </c>
      <c r="HI55" s="89" t="str">
        <f aca="false">IF($B55=HI$12,$O55,"")</f>
        <v/>
      </c>
      <c r="HJ55" s="89" t="str">
        <f aca="false">IF($B55=HJ$12,$O55,"")</f>
        <v/>
      </c>
      <c r="HK55" s="89" t="str">
        <f aca="false">IF($B55=HK$12,$O55,"")</f>
        <v/>
      </c>
      <c r="HL55" s="89" t="str">
        <f aca="false">IF($B55=HL$12,$O55,"")</f>
        <v/>
      </c>
      <c r="HM55" s="89" t="str">
        <f aca="false">IF($B55=HM$12,$O55,"")</f>
        <v/>
      </c>
      <c r="HN55" s="89" t="str">
        <f aca="false">IF($B55=HN$12,$O55,"")</f>
        <v/>
      </c>
      <c r="HO55" s="89" t="str">
        <f aca="false">IF($B55=HO$12,$O55,"")</f>
        <v/>
      </c>
      <c r="HP55" s="89" t="str">
        <f aca="false">IF($B55=HP$12,$O55,"")</f>
        <v/>
      </c>
      <c r="HQ55" s="89" t="str">
        <f aca="false">IF($B55=HQ$12,$O55,"")</f>
        <v/>
      </c>
      <c r="HR55" s="90" t="str">
        <f aca="false">IF($B55=HR$12,$O55,"")</f>
        <v/>
      </c>
    </row>
    <row r="56" customFormat="false" ht="10.5" hidden="false" customHeight="true" outlineLevel="0" collapsed="false">
      <c r="A56" s="75"/>
      <c r="B56" s="76"/>
      <c r="C56" s="77" t="str">
        <f aca="false">IF(A56=0,"",VLOOKUP(A56,[3]CO!$A$3:$F$5311,2,0))</f>
        <v/>
      </c>
      <c r="D56" s="78"/>
      <c r="E56" s="78"/>
      <c r="F56" s="135" t="str">
        <f aca="false">IF(AND(B56&gt;0,H56&gt;0),(H56*100) &amp; "% DE $" &amp;$Q$34,"")</f>
        <v/>
      </c>
      <c r="G56" s="79" t="str">
        <f aca="false">IF(A56=0,"",VLOOKUP(A56,[3]CO!$A$3:$F$5311,3,0))</f>
        <v/>
      </c>
      <c r="H56" s="130"/>
      <c r="I56" s="80"/>
      <c r="J56" s="80"/>
      <c r="K56" s="80"/>
      <c r="L56" s="80"/>
      <c r="M56" s="81" t="str">
        <f aca="false">IF(L56=0,"",H56*Q$34/N56)</f>
        <v/>
      </c>
      <c r="N56" s="81" t="str">
        <f aca="false">IF(B56=0,"",IF(H56="M",HLOOKUP(B56,$Y$12:$DT$13,2),IF(A56=0,"",VLOOKUP(A56,[3]CO!$A$3:$F$5311,4,0))))</f>
        <v/>
      </c>
      <c r="O56" s="81" t="str">
        <f aca="false">IF(L56=0,"",PRODUCT(M56:N56))</f>
        <v/>
      </c>
      <c r="P56" s="82"/>
      <c r="Q56" s="83" t="str">
        <f aca="false">IF(P56=0,"",(HLOOKUP(P56,$DW$12:$HR$13,2)))</f>
        <v/>
      </c>
      <c r="R56" s="84"/>
      <c r="S56" s="51"/>
      <c r="T56" s="67" t="str">
        <f aca="false">IF(A56=0,"",VLOOKUP(A56,[3]CO!$A$3:$F$5302,5,0))</f>
        <v/>
      </c>
      <c r="U56" s="56" t="n">
        <f aca="false">IF(T56=1,O56*0.1,)</f>
        <v>0</v>
      </c>
      <c r="V56" s="68"/>
      <c r="W56" s="91"/>
      <c r="X56" s="91"/>
      <c r="Y56" s="85" t="str">
        <f aca="false">IF($B56=Y$12,$U56,"")</f>
        <v/>
      </c>
      <c r="Z56" s="86" t="str">
        <f aca="false">IF($B56=Z$12,$U56,"")</f>
        <v/>
      </c>
      <c r="AA56" s="86" t="str">
        <f aca="false">IF($B56=AA$12,$U56,"")</f>
        <v/>
      </c>
      <c r="AB56" s="86" t="str">
        <f aca="false">IF($B56=AB$12,$U56,"")</f>
        <v/>
      </c>
      <c r="AC56" s="86" t="str">
        <f aca="false">IF($B56=AC$12,$U56,"")</f>
        <v/>
      </c>
      <c r="AD56" s="86" t="str">
        <f aca="false">IF($B56=AD$12,$U56,"")</f>
        <v/>
      </c>
      <c r="AE56" s="86" t="str">
        <f aca="false">IF($B56=AE$12,$U56,"")</f>
        <v/>
      </c>
      <c r="AF56" s="86" t="str">
        <f aca="false">IF($B56=AF$12,$U56,"")</f>
        <v/>
      </c>
      <c r="AG56" s="86" t="str">
        <f aca="false">IF($B56=AG$12,$U56,"")</f>
        <v/>
      </c>
      <c r="AH56" s="86" t="str">
        <f aca="false">IF($B56=AH$12,$U56,"")</f>
        <v/>
      </c>
      <c r="AI56" s="86" t="str">
        <f aca="false">IF($B56=AI$12,$U56,"")</f>
        <v/>
      </c>
      <c r="AJ56" s="86" t="str">
        <f aca="false">IF($B56=AJ$12,$U56,"")</f>
        <v/>
      </c>
      <c r="AK56" s="86" t="str">
        <f aca="false">IF($B56=AK$12,$U56,"")</f>
        <v/>
      </c>
      <c r="AL56" s="86" t="str">
        <f aca="false">IF($B56=AL$12,$U56,"")</f>
        <v/>
      </c>
      <c r="AM56" s="86" t="str">
        <f aca="false">IF($B56=AM$12,$U56,"")</f>
        <v/>
      </c>
      <c r="AN56" s="86" t="str">
        <f aca="false">IF($B56=AN$12,$U56,"")</f>
        <v/>
      </c>
      <c r="AO56" s="86" t="str">
        <f aca="false">IF($B56=AO$12,$U56,"")</f>
        <v/>
      </c>
      <c r="AP56" s="86" t="str">
        <f aca="false">IF($B56=AP$12,$U56,"")</f>
        <v/>
      </c>
      <c r="AQ56" s="86" t="str">
        <f aca="false">IF($B56=AQ$12,$U56,"")</f>
        <v/>
      </c>
      <c r="AR56" s="86" t="str">
        <f aca="false">IF($B56=AR$12,$U56,"")</f>
        <v/>
      </c>
      <c r="AS56" s="86" t="str">
        <f aca="false">IF($B56=AS$12,$U56,"")</f>
        <v/>
      </c>
      <c r="AT56" s="86" t="str">
        <f aca="false">IF($B56=AT$12,$U56,"")</f>
        <v/>
      </c>
      <c r="AU56" s="86" t="str">
        <f aca="false">IF($B56=AU$12,$U56,"")</f>
        <v/>
      </c>
      <c r="AV56" s="86" t="str">
        <f aca="false">IF($B56=AV$12,$U56,"")</f>
        <v/>
      </c>
      <c r="AW56" s="86" t="str">
        <f aca="false">IF($B56=AW$12,$U56,"")</f>
        <v/>
      </c>
      <c r="AX56" s="86" t="str">
        <f aca="false">IF($B56=AX$12,$U56,"")</f>
        <v/>
      </c>
      <c r="AY56" s="86" t="str">
        <f aca="false">IF($B56=AY$12,$U56,"")</f>
        <v/>
      </c>
      <c r="AZ56" s="86" t="str">
        <f aca="false">IF($B56=AZ$12,$U56,"")</f>
        <v/>
      </c>
      <c r="BA56" s="86" t="str">
        <f aca="false">IF($B56=BA$12,$U56,"")</f>
        <v/>
      </c>
      <c r="BB56" s="86" t="str">
        <f aca="false">IF($B56=BB$12,$U56,"")</f>
        <v/>
      </c>
      <c r="BC56" s="86" t="str">
        <f aca="false">IF($B56=BC$12,$U56,"")</f>
        <v/>
      </c>
      <c r="BD56" s="86" t="str">
        <f aca="false">IF($B56=BD$12,$U56,"")</f>
        <v/>
      </c>
      <c r="BE56" s="86" t="str">
        <f aca="false">IF($B56=BE$12,$U56,"")</f>
        <v/>
      </c>
      <c r="BF56" s="86" t="str">
        <f aca="false">IF($B56=BF$12,$U56,"")</f>
        <v/>
      </c>
      <c r="BG56" s="86" t="str">
        <f aca="false">IF($B56=BG$12,$U56,"")</f>
        <v/>
      </c>
      <c r="BH56" s="86" t="str">
        <f aca="false">IF($B56=BH$12,$U56,"")</f>
        <v/>
      </c>
      <c r="BI56" s="86" t="str">
        <f aca="false">IF($B56=BI$12,$U56,"")</f>
        <v/>
      </c>
      <c r="BJ56" s="86" t="str">
        <f aca="false">IF($B56=BJ$12,$U56,"")</f>
        <v/>
      </c>
      <c r="BK56" s="86" t="str">
        <f aca="false">IF($B56=BK$12,$U56,"")</f>
        <v/>
      </c>
      <c r="BL56" s="86" t="str">
        <f aca="false">IF($B56=BL$12,$U56,"")</f>
        <v/>
      </c>
      <c r="BM56" s="86" t="str">
        <f aca="false">IF($B56=BM$12,$U56,"")</f>
        <v/>
      </c>
      <c r="BN56" s="86" t="str">
        <f aca="false">IF($B56=BN$12,$U56,"")</f>
        <v/>
      </c>
      <c r="BO56" s="86" t="str">
        <f aca="false">IF($B56=BO$12,$U56,"")</f>
        <v/>
      </c>
      <c r="BP56" s="86" t="str">
        <f aca="false">IF($B56=BP$12,$U56,"")</f>
        <v/>
      </c>
      <c r="BQ56" s="86" t="str">
        <f aca="false">IF($B56=BQ$12,$U56,"")</f>
        <v/>
      </c>
      <c r="BR56" s="86" t="str">
        <f aca="false">IF($B56=BR$12,$U56,"")</f>
        <v/>
      </c>
      <c r="BS56" s="86" t="str">
        <f aca="false">IF($B56=BS$12,$U56,"")</f>
        <v/>
      </c>
      <c r="BT56" s="86" t="str">
        <f aca="false">IF($B56=BT$12,$U56,"")</f>
        <v/>
      </c>
      <c r="BU56" s="86" t="str">
        <f aca="false">IF($B56=BU$12,$U56,"")</f>
        <v/>
      </c>
      <c r="BV56" s="86" t="str">
        <f aca="false">IF($B56=BV$12,$U56,"")</f>
        <v/>
      </c>
      <c r="BW56" s="86" t="str">
        <f aca="false">IF($B56=BW$12,$U56,"")</f>
        <v/>
      </c>
      <c r="BX56" s="86" t="str">
        <f aca="false">IF($B56=BX$12,$U56,"")</f>
        <v/>
      </c>
      <c r="BY56" s="86" t="str">
        <f aca="false">IF($B56=BY$12,$U56,"")</f>
        <v/>
      </c>
      <c r="BZ56" s="86" t="str">
        <f aca="false">IF($B56=BZ$12,$U56,"")</f>
        <v/>
      </c>
      <c r="CA56" s="86" t="str">
        <f aca="false">IF($B56=CA$12,$U56,"")</f>
        <v/>
      </c>
      <c r="CB56" s="86" t="str">
        <f aca="false">IF($B56=CB$12,$U56,"")</f>
        <v/>
      </c>
      <c r="CC56" s="86" t="str">
        <f aca="false">IF($B56=CC$12,$U56,"")</f>
        <v/>
      </c>
      <c r="CD56" s="86" t="str">
        <f aca="false">IF($B56=CD$12,$U56,"")</f>
        <v/>
      </c>
      <c r="CE56" s="86" t="str">
        <f aca="false">IF($B56=CE$12,$U56,"")</f>
        <v/>
      </c>
      <c r="CF56" s="86" t="str">
        <f aca="false">IF($B56=CF$12,$U56,"")</f>
        <v/>
      </c>
      <c r="CG56" s="86" t="str">
        <f aca="false">IF($B56=CG$12,$U56,"")</f>
        <v/>
      </c>
      <c r="CH56" s="86" t="str">
        <f aca="false">IF($B56=CH$12,$U56,"")</f>
        <v/>
      </c>
      <c r="CI56" s="86" t="str">
        <f aca="false">IF($B56=CI$12,$U56,"")</f>
        <v/>
      </c>
      <c r="CJ56" s="86" t="str">
        <f aca="false">IF($B56=CJ$12,$U56,"")</f>
        <v/>
      </c>
      <c r="CK56" s="86" t="str">
        <f aca="false">IF($B56=CK$12,$U56,"")</f>
        <v/>
      </c>
      <c r="CL56" s="86" t="str">
        <f aca="false">IF($B56=CL$12,$U56,"")</f>
        <v/>
      </c>
      <c r="CM56" s="86" t="str">
        <f aca="false">IF($B56=CM$12,$U56,"")</f>
        <v/>
      </c>
      <c r="CN56" s="86" t="str">
        <f aca="false">IF($B56=CN$12,$U56,"")</f>
        <v/>
      </c>
      <c r="CO56" s="86" t="str">
        <f aca="false">IF($B56=CO$12,$U56,"")</f>
        <v/>
      </c>
      <c r="CP56" s="86" t="str">
        <f aca="false">IF($B56=CP$12,$U56,"")</f>
        <v/>
      </c>
      <c r="CQ56" s="86" t="str">
        <f aca="false">IF($B56=CQ$12,$U56,"")</f>
        <v/>
      </c>
      <c r="CR56" s="86" t="str">
        <f aca="false">IF($B56=CR$12,$U56,"")</f>
        <v/>
      </c>
      <c r="CS56" s="86" t="str">
        <f aca="false">IF($B56=CS$12,$U56,"")</f>
        <v/>
      </c>
      <c r="CT56" s="86" t="str">
        <f aca="false">IF($B56=CT$12,$U56,"")</f>
        <v/>
      </c>
      <c r="CU56" s="86" t="str">
        <f aca="false">IF($B56=CU$12,$U56,"")</f>
        <v/>
      </c>
      <c r="CV56" s="86" t="str">
        <f aca="false">IF($B56=CV$12,$U56,"")</f>
        <v/>
      </c>
      <c r="CW56" s="86" t="str">
        <f aca="false">IF($B56=CW$12,$U56,"")</f>
        <v/>
      </c>
      <c r="CX56" s="86" t="str">
        <f aca="false">IF($B56=CX$12,$U56,"")</f>
        <v/>
      </c>
      <c r="CY56" s="86" t="str">
        <f aca="false">IF($B56=CY$12,$U56,"")</f>
        <v/>
      </c>
      <c r="CZ56" s="86" t="str">
        <f aca="false">IF($B56=CZ$12,$U56,"")</f>
        <v/>
      </c>
      <c r="DA56" s="86" t="str">
        <f aca="false">IF($B56=DA$12,$U56,"")</f>
        <v/>
      </c>
      <c r="DB56" s="86" t="str">
        <f aca="false">IF($B56=DB$12,$U56,"")</f>
        <v/>
      </c>
      <c r="DC56" s="86" t="str">
        <f aca="false">IF($B56=DC$12,$U56,"")</f>
        <v/>
      </c>
      <c r="DD56" s="86" t="str">
        <f aca="false">IF($B56=DD$12,$U56,"")</f>
        <v/>
      </c>
      <c r="DE56" s="86" t="str">
        <f aca="false">IF($B56=DE$12,$U56,"")</f>
        <v/>
      </c>
      <c r="DF56" s="86" t="str">
        <f aca="false">IF($B56=DF$12,$U56,"")</f>
        <v/>
      </c>
      <c r="DG56" s="86" t="str">
        <f aca="false">IF($B56=DG$12,$U56,"")</f>
        <v/>
      </c>
      <c r="DH56" s="86" t="str">
        <f aca="false">IF($B56=DH$12,$U56,"")</f>
        <v/>
      </c>
      <c r="DI56" s="86" t="str">
        <f aca="false">IF($B56=DI$12,$U56,"")</f>
        <v/>
      </c>
      <c r="DJ56" s="86" t="str">
        <f aca="false">IF($B56=DJ$12,$U56,"")</f>
        <v/>
      </c>
      <c r="DK56" s="86" t="str">
        <f aca="false">IF($B56=DK$12,$U56,"")</f>
        <v/>
      </c>
      <c r="DL56" s="86" t="str">
        <f aca="false">IF($B56=DL$12,$U56,"")</f>
        <v/>
      </c>
      <c r="DM56" s="86" t="str">
        <f aca="false">IF($B56=DM$12,$U56,"")</f>
        <v/>
      </c>
      <c r="DN56" s="86" t="str">
        <f aca="false">IF($B56=DN$12,$U56,"")</f>
        <v/>
      </c>
      <c r="DO56" s="86" t="str">
        <f aca="false">IF($B56=DO$12,$U56,"")</f>
        <v/>
      </c>
      <c r="DP56" s="86" t="str">
        <f aca="false">IF($B56=DP$12,$U56,"")</f>
        <v/>
      </c>
      <c r="DQ56" s="86" t="str">
        <f aca="false">IF($B56=DQ$12,$U56,"")</f>
        <v/>
      </c>
      <c r="DR56" s="86" t="str">
        <f aca="false">IF($B56=DR$12,$U56,"")</f>
        <v/>
      </c>
      <c r="DS56" s="86" t="str">
        <f aca="false">IF($B56=DS$12,$U56,"")</f>
        <v/>
      </c>
      <c r="DT56" s="87" t="str">
        <f aca="false">IF($B56=DT$12,$U56,"")</f>
        <v/>
      </c>
      <c r="DU56" s="56"/>
      <c r="DV56" s="91"/>
      <c r="DW56" s="88" t="str">
        <f aca="false">IF($B56=DW$12,$O56,"")</f>
        <v/>
      </c>
      <c r="DX56" s="89" t="str">
        <f aca="false">IF($B56=DX$12,$O56,"")</f>
        <v/>
      </c>
      <c r="DY56" s="89" t="str">
        <f aca="false">IF($B56=DY$12,$O56,"")</f>
        <v/>
      </c>
      <c r="DZ56" s="89" t="str">
        <f aca="false">IF($B56=DZ$12,$O56,"")</f>
        <v/>
      </c>
      <c r="EA56" s="89" t="str">
        <f aca="false">IF($B56=EA$12,$O56,"")</f>
        <v/>
      </c>
      <c r="EB56" s="89" t="str">
        <f aca="false">IF($B56=EB$12,$O56,"")</f>
        <v/>
      </c>
      <c r="EC56" s="89" t="str">
        <f aca="false">IF($B56=EC$12,$O56,"")</f>
        <v/>
      </c>
      <c r="ED56" s="89" t="str">
        <f aca="false">IF($B56=ED$12,$O56,"")</f>
        <v/>
      </c>
      <c r="EE56" s="89" t="str">
        <f aca="false">IF($B56=EE$12,$O56,"")</f>
        <v/>
      </c>
      <c r="EF56" s="89" t="str">
        <f aca="false">IF($B56=EF$12,$O56,"")</f>
        <v/>
      </c>
      <c r="EG56" s="89" t="str">
        <f aca="false">IF($B56=EG$12,$O56,"")</f>
        <v/>
      </c>
      <c r="EH56" s="89" t="str">
        <f aca="false">IF($B56=EH$12,$O56,"")</f>
        <v/>
      </c>
      <c r="EI56" s="89" t="str">
        <f aca="false">IF($B56=EI$12,$O56,"")</f>
        <v/>
      </c>
      <c r="EJ56" s="89" t="str">
        <f aca="false">IF($B56=EJ$12,$O56,"")</f>
        <v/>
      </c>
      <c r="EK56" s="89" t="str">
        <f aca="false">IF($B56=EK$12,$O56,"")</f>
        <v/>
      </c>
      <c r="EL56" s="89" t="str">
        <f aca="false">IF($B56=EL$12,$O56,"")</f>
        <v/>
      </c>
      <c r="EM56" s="89" t="str">
        <f aca="false">IF($B56=EM$12,$O56,"")</f>
        <v/>
      </c>
      <c r="EN56" s="89" t="str">
        <f aca="false">IF($B56=EN$12,$O56,"")</f>
        <v/>
      </c>
      <c r="EO56" s="89" t="str">
        <f aca="false">IF($B56=EO$12,$O56,"")</f>
        <v/>
      </c>
      <c r="EP56" s="89" t="str">
        <f aca="false">IF($B56=EP$12,$O56,"")</f>
        <v/>
      </c>
      <c r="EQ56" s="89" t="str">
        <f aca="false">IF($B56=EQ$12,$O56,"")</f>
        <v/>
      </c>
      <c r="ER56" s="89" t="str">
        <f aca="false">IF($B56=ER$12,$O56,"")</f>
        <v/>
      </c>
      <c r="ES56" s="89" t="str">
        <f aca="false">IF($B56=ES$12,$O56,"")</f>
        <v/>
      </c>
      <c r="ET56" s="89" t="str">
        <f aca="false">IF($B56=ET$12,$O56,"")</f>
        <v/>
      </c>
      <c r="EU56" s="89" t="str">
        <f aca="false">IF($B56=EU$12,$O56,"")</f>
        <v/>
      </c>
      <c r="EV56" s="89" t="str">
        <f aca="false">IF($B56=EV$12,$O56,"")</f>
        <v/>
      </c>
      <c r="EW56" s="89" t="str">
        <f aca="false">IF($B56=EW$12,$O56,"")</f>
        <v/>
      </c>
      <c r="EX56" s="89" t="str">
        <f aca="false">IF($B56=EX$12,$O56,"")</f>
        <v/>
      </c>
      <c r="EY56" s="89" t="str">
        <f aca="false">IF($B56=EY$12,$O56,"")</f>
        <v/>
      </c>
      <c r="EZ56" s="89" t="str">
        <f aca="false">IF($B56=EZ$12,$O56,"")</f>
        <v/>
      </c>
      <c r="FA56" s="89" t="str">
        <f aca="false">IF($B56=FA$12,$O56,"")</f>
        <v/>
      </c>
      <c r="FB56" s="89" t="str">
        <f aca="false">IF($B56=FB$12,$O56,"")</f>
        <v/>
      </c>
      <c r="FC56" s="89" t="str">
        <f aca="false">IF($B56=FC$12,$O56,"")</f>
        <v/>
      </c>
      <c r="FD56" s="89" t="str">
        <f aca="false">IF($B56=FD$12,$O56,"")</f>
        <v/>
      </c>
      <c r="FE56" s="89" t="str">
        <f aca="false">IF($B56=FE$12,$O56,"")</f>
        <v/>
      </c>
      <c r="FF56" s="89" t="str">
        <f aca="false">IF($B56=FF$12,$O56,"")</f>
        <v/>
      </c>
      <c r="FG56" s="89" t="str">
        <f aca="false">IF($B56=FG$12,$O56,"")</f>
        <v/>
      </c>
      <c r="FH56" s="89" t="str">
        <f aca="false">IF($B56=FH$12,$O56,"")</f>
        <v/>
      </c>
      <c r="FI56" s="89" t="str">
        <f aca="false">IF($B56=FI$12,$O56,"")</f>
        <v/>
      </c>
      <c r="FJ56" s="89" t="str">
        <f aca="false">IF($B56=FJ$12,$O56,"")</f>
        <v/>
      </c>
      <c r="FK56" s="89" t="str">
        <f aca="false">IF($B56=FK$12,$O56,"")</f>
        <v/>
      </c>
      <c r="FL56" s="89" t="str">
        <f aca="false">IF($B56=FL$12,$O56,"")</f>
        <v/>
      </c>
      <c r="FM56" s="89" t="str">
        <f aca="false">IF($B56=FM$12,$O56,"")</f>
        <v/>
      </c>
      <c r="FN56" s="89" t="str">
        <f aca="false">IF($B56=FN$12,$O56,"")</f>
        <v/>
      </c>
      <c r="FO56" s="89" t="str">
        <f aca="false">IF($B56=FO$12,$O56,"")</f>
        <v/>
      </c>
      <c r="FP56" s="89" t="str">
        <f aca="false">IF($B56=FP$12,$O56,"")</f>
        <v/>
      </c>
      <c r="FQ56" s="89" t="str">
        <f aca="false">IF($B56=FQ$12,$O56,"")</f>
        <v/>
      </c>
      <c r="FR56" s="89" t="str">
        <f aca="false">IF($B56=FR$12,$O56,"")</f>
        <v/>
      </c>
      <c r="FS56" s="89" t="str">
        <f aca="false">IF($B56=FS$12,$O56,"")</f>
        <v/>
      </c>
      <c r="FT56" s="89" t="str">
        <f aca="false">IF($B56=FT$12,$O56,"")</f>
        <v/>
      </c>
      <c r="FU56" s="89" t="str">
        <f aca="false">IF($B56=FU$12,$O56,"")</f>
        <v/>
      </c>
      <c r="FV56" s="89" t="str">
        <f aca="false">IF($B56=FV$12,$O56,"")</f>
        <v/>
      </c>
      <c r="FW56" s="89" t="str">
        <f aca="false">IF($B56=FW$12,$O56,"")</f>
        <v/>
      </c>
      <c r="FX56" s="89" t="str">
        <f aca="false">IF($B56=FX$12,$O56,"")</f>
        <v/>
      </c>
      <c r="FY56" s="89" t="str">
        <f aca="false">IF($B56=FY$12,$O56,"")</f>
        <v/>
      </c>
      <c r="FZ56" s="89" t="str">
        <f aca="false">IF($B56=FZ$12,$O56,"")</f>
        <v/>
      </c>
      <c r="GA56" s="89" t="str">
        <f aca="false">IF($B56=GA$12,$O56,"")</f>
        <v/>
      </c>
      <c r="GB56" s="89" t="str">
        <f aca="false">IF($B56=GB$12,$O56,"")</f>
        <v/>
      </c>
      <c r="GC56" s="89" t="str">
        <f aca="false">IF($B56=GC$12,$O56,"")</f>
        <v/>
      </c>
      <c r="GD56" s="89" t="str">
        <f aca="false">IF($B56=GD$12,$O56,"")</f>
        <v/>
      </c>
      <c r="GE56" s="89" t="str">
        <f aca="false">IF($B56=GE$12,$O56,"")</f>
        <v/>
      </c>
      <c r="GF56" s="89" t="str">
        <f aca="false">IF($B56=GF$12,$O56,"")</f>
        <v/>
      </c>
      <c r="GG56" s="89" t="str">
        <f aca="false">IF($B56=GG$12,$O56,"")</f>
        <v/>
      </c>
      <c r="GH56" s="89" t="str">
        <f aca="false">IF($B56=GH$12,$O56,"")</f>
        <v/>
      </c>
      <c r="GI56" s="89" t="str">
        <f aca="false">IF($B56=GI$12,$O56,"")</f>
        <v/>
      </c>
      <c r="GJ56" s="89" t="str">
        <f aca="false">IF($B56=GJ$12,$O56,"")</f>
        <v/>
      </c>
      <c r="GK56" s="89" t="str">
        <f aca="false">IF($B56=GK$12,$O56,"")</f>
        <v/>
      </c>
      <c r="GL56" s="89" t="str">
        <f aca="false">IF($B56=GL$12,$O56,"")</f>
        <v/>
      </c>
      <c r="GM56" s="89" t="str">
        <f aca="false">IF($B56=GM$12,$O56,"")</f>
        <v/>
      </c>
      <c r="GN56" s="89" t="str">
        <f aca="false">IF($B56=GN$12,$O56,"")</f>
        <v/>
      </c>
      <c r="GO56" s="89" t="str">
        <f aca="false">IF($B56=GO$12,$O56,"")</f>
        <v/>
      </c>
      <c r="GP56" s="89" t="str">
        <f aca="false">IF($B56=GP$12,$O56,"")</f>
        <v/>
      </c>
      <c r="GQ56" s="89" t="str">
        <f aca="false">IF($B56=GQ$12,$O56,"")</f>
        <v/>
      </c>
      <c r="GR56" s="89" t="str">
        <f aca="false">IF($B56=GR$12,$O56,"")</f>
        <v/>
      </c>
      <c r="GS56" s="89" t="str">
        <f aca="false">IF($B56=GS$12,$O56,"")</f>
        <v/>
      </c>
      <c r="GT56" s="89" t="str">
        <f aca="false">IF($B56=GT$12,$O56,"")</f>
        <v/>
      </c>
      <c r="GU56" s="89" t="str">
        <f aca="false">IF($B56=GU$12,$O56,"")</f>
        <v/>
      </c>
      <c r="GV56" s="89" t="str">
        <f aca="false">IF($B56=GV$12,$O56,"")</f>
        <v/>
      </c>
      <c r="GW56" s="89" t="str">
        <f aca="false">IF($B56=GW$12,$O56,"")</f>
        <v/>
      </c>
      <c r="GX56" s="89" t="str">
        <f aca="false">IF($B56=GX$12,$O56,"")</f>
        <v/>
      </c>
      <c r="GY56" s="89" t="str">
        <f aca="false">IF($B56=GY$12,$O56,"")</f>
        <v/>
      </c>
      <c r="GZ56" s="89" t="str">
        <f aca="false">IF($B56=GZ$12,$O56,"")</f>
        <v/>
      </c>
      <c r="HA56" s="89" t="str">
        <f aca="false">IF($B56=HA$12,$O56,"")</f>
        <v/>
      </c>
      <c r="HB56" s="89" t="str">
        <f aca="false">IF($B56=HB$12,$O56,"")</f>
        <v/>
      </c>
      <c r="HC56" s="89" t="str">
        <f aca="false">IF($B56=HC$12,$O56,"")</f>
        <v/>
      </c>
      <c r="HD56" s="89" t="str">
        <f aca="false">IF($B56=HD$12,$O56,"")</f>
        <v/>
      </c>
      <c r="HE56" s="89" t="str">
        <f aca="false">IF($B56=HE$12,$O56,"")</f>
        <v/>
      </c>
      <c r="HF56" s="89" t="str">
        <f aca="false">IF($B56=HF$12,$O56,"")</f>
        <v/>
      </c>
      <c r="HG56" s="89" t="str">
        <f aca="false">IF($B56=HG$12,$O56,"")</f>
        <v/>
      </c>
      <c r="HH56" s="89" t="str">
        <f aca="false">IF($B56=HH$12,$O56,"")</f>
        <v/>
      </c>
      <c r="HI56" s="89" t="str">
        <f aca="false">IF($B56=HI$12,$O56,"")</f>
        <v/>
      </c>
      <c r="HJ56" s="89" t="str">
        <f aca="false">IF($B56=HJ$12,$O56,"")</f>
        <v/>
      </c>
      <c r="HK56" s="89" t="str">
        <f aca="false">IF($B56=HK$12,$O56,"")</f>
        <v/>
      </c>
      <c r="HL56" s="89" t="str">
        <f aca="false">IF($B56=HL$12,$O56,"")</f>
        <v/>
      </c>
      <c r="HM56" s="89" t="str">
        <f aca="false">IF($B56=HM$12,$O56,"")</f>
        <v/>
      </c>
      <c r="HN56" s="89" t="str">
        <f aca="false">IF($B56=HN$12,$O56,"")</f>
        <v/>
      </c>
      <c r="HO56" s="89" t="str">
        <f aca="false">IF($B56=HO$12,$O56,"")</f>
        <v/>
      </c>
      <c r="HP56" s="89" t="str">
        <f aca="false">IF($B56=HP$12,$O56,"")</f>
        <v/>
      </c>
      <c r="HQ56" s="89" t="str">
        <f aca="false">IF($B56=HQ$12,$O56,"")</f>
        <v/>
      </c>
      <c r="HR56" s="90" t="str">
        <f aca="false">IF($B56=HR$12,$O56,"")</f>
        <v/>
      </c>
    </row>
    <row r="57" customFormat="false" ht="10.5" hidden="false" customHeight="true" outlineLevel="0" collapsed="false">
      <c r="A57" s="136"/>
      <c r="B57" s="137"/>
      <c r="C57" s="138" t="str">
        <f aca="false">IF(A57=0,"",VLOOKUP(A57,[3]CO!$A$3:$F$5311,2,0))</f>
        <v/>
      </c>
      <c r="D57" s="139"/>
      <c r="E57" s="139"/>
      <c r="F57" s="140" t="str">
        <f aca="false">IF(AND(B57&gt;0,H57&gt;0),(H57*100) &amp; "% DE $" &amp;$Q$34,"")</f>
        <v/>
      </c>
      <c r="G57" s="141" t="str">
        <f aca="false">IF(A57=0,"",VLOOKUP(A57,[3]CO!$A$3:$F$5311,3,0))</f>
        <v/>
      </c>
      <c r="H57" s="142"/>
      <c r="I57" s="143"/>
      <c r="J57" s="143"/>
      <c r="K57" s="143"/>
      <c r="L57" s="143"/>
      <c r="M57" s="144" t="str">
        <f aca="false">IF(L57=0,"",PRODUCT(I57:L57))</f>
        <v/>
      </c>
      <c r="N57" s="144" t="str">
        <f aca="false">IF(B57=0,"",IF(H57="M",HLOOKUP(B57,$Y$12:$DT$13,2),IF(A57=0,"",VLOOKUP(A57,[3]CO!$A$3:$F$5311,4,0))))</f>
        <v/>
      </c>
      <c r="O57" s="144" t="str">
        <f aca="false">IF(L57=0,"",PRODUCT(M57:N57))</f>
        <v/>
      </c>
      <c r="P57" s="137"/>
      <c r="Q57" s="145" t="str">
        <f aca="false">IF(P57=0,"",(HLOOKUP(P57,$DW$12:$HR$13,2)))</f>
        <v/>
      </c>
      <c r="R57" s="146"/>
      <c r="S57" s="51"/>
      <c r="T57" s="67" t="str">
        <f aca="false">IF(A57=0,"",VLOOKUP(A57,[3]CO!$A$3:$F$5302,5,0))</f>
        <v/>
      </c>
      <c r="U57" s="56" t="n">
        <f aca="false">IF(T57=1,O57*0.1,)</f>
        <v>0</v>
      </c>
      <c r="V57" s="68"/>
      <c r="W57" s="68"/>
      <c r="X57" s="68"/>
      <c r="Y57" s="102" t="str">
        <f aca="false">IF($B57=Y$12,$U57,"")</f>
        <v/>
      </c>
      <c r="Z57" s="103" t="str">
        <f aca="false">IF($B57=Z$12,$U57,"")</f>
        <v/>
      </c>
      <c r="AA57" s="103" t="str">
        <f aca="false">IF($B57=AA$12,$U57,"")</f>
        <v/>
      </c>
      <c r="AB57" s="103" t="str">
        <f aca="false">IF($B57=AB$12,$U57,"")</f>
        <v/>
      </c>
      <c r="AC57" s="103" t="str">
        <f aca="false">IF($B57=AC$12,$U57,"")</f>
        <v/>
      </c>
      <c r="AD57" s="103" t="str">
        <f aca="false">IF($B57=AD$12,$U57,"")</f>
        <v/>
      </c>
      <c r="AE57" s="103" t="str">
        <f aca="false">IF($B57=AE$12,$U57,"")</f>
        <v/>
      </c>
      <c r="AF57" s="103" t="str">
        <f aca="false">IF($B57=AF$12,$U57,"")</f>
        <v/>
      </c>
      <c r="AG57" s="103" t="str">
        <f aca="false">IF($B57=AG$12,$U57,"")</f>
        <v/>
      </c>
      <c r="AH57" s="103" t="str">
        <f aca="false">IF($B57=AH$12,$U57,"")</f>
        <v/>
      </c>
      <c r="AI57" s="103" t="str">
        <f aca="false">IF($B57=AI$12,$U57,"")</f>
        <v/>
      </c>
      <c r="AJ57" s="103" t="str">
        <f aca="false">IF($B57=AJ$12,$U57,"")</f>
        <v/>
      </c>
      <c r="AK57" s="103" t="str">
        <f aca="false">IF($B57=AK$12,$U57,"")</f>
        <v/>
      </c>
      <c r="AL57" s="103" t="str">
        <f aca="false">IF($B57=AL$12,$U57,"")</f>
        <v/>
      </c>
      <c r="AM57" s="103" t="str">
        <f aca="false">IF($B57=AM$12,$U57,"")</f>
        <v/>
      </c>
      <c r="AN57" s="103" t="str">
        <f aca="false">IF($B57=AN$12,$U57,"")</f>
        <v/>
      </c>
      <c r="AO57" s="103" t="str">
        <f aca="false">IF($B57=AO$12,$U57,"")</f>
        <v/>
      </c>
      <c r="AP57" s="103" t="str">
        <f aca="false">IF($B57=AP$12,$U57,"")</f>
        <v/>
      </c>
      <c r="AQ57" s="103" t="str">
        <f aca="false">IF($B57=AQ$12,$U57,"")</f>
        <v/>
      </c>
      <c r="AR57" s="103" t="str">
        <f aca="false">IF($B57=AR$12,$U57,"")</f>
        <v/>
      </c>
      <c r="AS57" s="103" t="str">
        <f aca="false">IF($B57=AS$12,$U57,"")</f>
        <v/>
      </c>
      <c r="AT57" s="103" t="str">
        <f aca="false">IF($B57=AT$12,$U57,"")</f>
        <v/>
      </c>
      <c r="AU57" s="103" t="str">
        <f aca="false">IF($B57=AU$12,$U57,"")</f>
        <v/>
      </c>
      <c r="AV57" s="103" t="str">
        <f aca="false">IF($B57=AV$12,$U57,"")</f>
        <v/>
      </c>
      <c r="AW57" s="103" t="str">
        <f aca="false">IF($B57=AW$12,$U57,"")</f>
        <v/>
      </c>
      <c r="AX57" s="103" t="str">
        <f aca="false">IF($B57=AX$12,$U57,"")</f>
        <v/>
      </c>
      <c r="AY57" s="103" t="str">
        <f aca="false">IF($B57=AY$12,$U57,"")</f>
        <v/>
      </c>
      <c r="AZ57" s="103" t="str">
        <f aca="false">IF($B57=AZ$12,$U57,"")</f>
        <v/>
      </c>
      <c r="BA57" s="103" t="str">
        <f aca="false">IF($B57=BA$12,$U57,"")</f>
        <v/>
      </c>
      <c r="BB57" s="103" t="str">
        <f aca="false">IF($B57=BB$12,$U57,"")</f>
        <v/>
      </c>
      <c r="BC57" s="103" t="str">
        <f aca="false">IF($B57=BC$12,$U57,"")</f>
        <v/>
      </c>
      <c r="BD57" s="103" t="str">
        <f aca="false">IF($B57=BD$12,$U57,"")</f>
        <v/>
      </c>
      <c r="BE57" s="103" t="str">
        <f aca="false">IF($B57=BE$12,$U57,"")</f>
        <v/>
      </c>
      <c r="BF57" s="103" t="str">
        <f aca="false">IF($B57=BF$12,$U57,"")</f>
        <v/>
      </c>
      <c r="BG57" s="103" t="str">
        <f aca="false">IF($B57=BG$12,$U57,"")</f>
        <v/>
      </c>
      <c r="BH57" s="103" t="str">
        <f aca="false">IF($B57=BH$12,$U57,"")</f>
        <v/>
      </c>
      <c r="BI57" s="103" t="str">
        <f aca="false">IF($B57=BI$12,$U57,"")</f>
        <v/>
      </c>
      <c r="BJ57" s="103" t="str">
        <f aca="false">IF($B57=BJ$12,$U57,"")</f>
        <v/>
      </c>
      <c r="BK57" s="103" t="str">
        <f aca="false">IF($B57=BK$12,$U57,"")</f>
        <v/>
      </c>
      <c r="BL57" s="103" t="str">
        <f aca="false">IF($B57=BL$12,$U57,"")</f>
        <v/>
      </c>
      <c r="BM57" s="103" t="str">
        <f aca="false">IF($B57=BM$12,$U57,"")</f>
        <v/>
      </c>
      <c r="BN57" s="103" t="str">
        <f aca="false">IF($B57=BN$12,$U57,"")</f>
        <v/>
      </c>
      <c r="BO57" s="103" t="str">
        <f aca="false">IF($B57=BO$12,$U57,"")</f>
        <v/>
      </c>
      <c r="BP57" s="103" t="str">
        <f aca="false">IF($B57=BP$12,$U57,"")</f>
        <v/>
      </c>
      <c r="BQ57" s="103" t="str">
        <f aca="false">IF($B57=BQ$12,$U57,"")</f>
        <v/>
      </c>
      <c r="BR57" s="103" t="str">
        <f aca="false">IF($B57=BR$12,$U57,"")</f>
        <v/>
      </c>
      <c r="BS57" s="103" t="str">
        <f aca="false">IF($B57=BS$12,$U57,"")</f>
        <v/>
      </c>
      <c r="BT57" s="103" t="str">
        <f aca="false">IF($B57=BT$12,$U57,"")</f>
        <v/>
      </c>
      <c r="BU57" s="103" t="str">
        <f aca="false">IF($B57=BU$12,$U57,"")</f>
        <v/>
      </c>
      <c r="BV57" s="103" t="str">
        <f aca="false">IF($B57=BV$12,$U57,"")</f>
        <v/>
      </c>
      <c r="BW57" s="103" t="str">
        <f aca="false">IF($B57=BW$12,$U57,"")</f>
        <v/>
      </c>
      <c r="BX57" s="103" t="str">
        <f aca="false">IF($B57=BX$12,$U57,"")</f>
        <v/>
      </c>
      <c r="BY57" s="103" t="str">
        <f aca="false">IF($B57=BY$12,$U57,"")</f>
        <v/>
      </c>
      <c r="BZ57" s="103" t="str">
        <f aca="false">IF($B57=BZ$12,$U57,"")</f>
        <v/>
      </c>
      <c r="CA57" s="103" t="str">
        <f aca="false">IF($B57=CA$12,$U57,"")</f>
        <v/>
      </c>
      <c r="CB57" s="103" t="str">
        <f aca="false">IF($B57=CB$12,$U57,"")</f>
        <v/>
      </c>
      <c r="CC57" s="103" t="str">
        <f aca="false">IF($B57=CC$12,$U57,"")</f>
        <v/>
      </c>
      <c r="CD57" s="103" t="str">
        <f aca="false">IF($B57=CD$12,$U57,"")</f>
        <v/>
      </c>
      <c r="CE57" s="103" t="str">
        <f aca="false">IF($B57=CE$12,$U57,"")</f>
        <v/>
      </c>
      <c r="CF57" s="103" t="str">
        <f aca="false">IF($B57=CF$12,$U57,"")</f>
        <v/>
      </c>
      <c r="CG57" s="103" t="str">
        <f aca="false">IF($B57=CG$12,$U57,"")</f>
        <v/>
      </c>
      <c r="CH57" s="103" t="str">
        <f aca="false">IF($B57=CH$12,$U57,"")</f>
        <v/>
      </c>
      <c r="CI57" s="103" t="str">
        <f aca="false">IF($B57=CI$12,$U57,"")</f>
        <v/>
      </c>
      <c r="CJ57" s="103" t="str">
        <f aca="false">IF($B57=CJ$12,$U57,"")</f>
        <v/>
      </c>
      <c r="CK57" s="103" t="str">
        <f aca="false">IF($B57=CK$12,$U57,"")</f>
        <v/>
      </c>
      <c r="CL57" s="103" t="str">
        <f aca="false">IF($B57=CL$12,$U57,"")</f>
        <v/>
      </c>
      <c r="CM57" s="103" t="str">
        <f aca="false">IF($B57=CM$12,$U57,"")</f>
        <v/>
      </c>
      <c r="CN57" s="103" t="str">
        <f aca="false">IF($B57=CN$12,$U57,"")</f>
        <v/>
      </c>
      <c r="CO57" s="103" t="str">
        <f aca="false">IF($B57=CO$12,$U57,"")</f>
        <v/>
      </c>
      <c r="CP57" s="103" t="str">
        <f aca="false">IF($B57=CP$12,$U57,"")</f>
        <v/>
      </c>
      <c r="CQ57" s="103" t="str">
        <f aca="false">IF($B57=CQ$12,$U57,"")</f>
        <v/>
      </c>
      <c r="CR57" s="103" t="str">
        <f aca="false">IF($B57=CR$12,$U57,"")</f>
        <v/>
      </c>
      <c r="CS57" s="103" t="str">
        <f aca="false">IF($B57=CS$12,$U57,"")</f>
        <v/>
      </c>
      <c r="CT57" s="103" t="str">
        <f aca="false">IF($B57=CT$12,$U57,"")</f>
        <v/>
      </c>
      <c r="CU57" s="103" t="str">
        <f aca="false">IF($B57=CU$12,$U57,"")</f>
        <v/>
      </c>
      <c r="CV57" s="103" t="str">
        <f aca="false">IF($B57=CV$12,$U57,"")</f>
        <v/>
      </c>
      <c r="CW57" s="103" t="str">
        <f aca="false">IF($B57=CW$12,$U57,"")</f>
        <v/>
      </c>
      <c r="CX57" s="103" t="str">
        <f aca="false">IF($B57=CX$12,$U57,"")</f>
        <v/>
      </c>
      <c r="CY57" s="103" t="str">
        <f aca="false">IF($B57=CY$12,$U57,"")</f>
        <v/>
      </c>
      <c r="CZ57" s="103" t="str">
        <f aca="false">IF($B57=CZ$12,$U57,"")</f>
        <v/>
      </c>
      <c r="DA57" s="103" t="str">
        <f aca="false">IF($B57=DA$12,$U57,"")</f>
        <v/>
      </c>
      <c r="DB57" s="103" t="str">
        <f aca="false">IF($B57=DB$12,$U57,"")</f>
        <v/>
      </c>
      <c r="DC57" s="103" t="str">
        <f aca="false">IF($B57=DC$12,$U57,"")</f>
        <v/>
      </c>
      <c r="DD57" s="103" t="str">
        <f aca="false">IF($B57=DD$12,$U57,"")</f>
        <v/>
      </c>
      <c r="DE57" s="103" t="str">
        <f aca="false">IF($B57=DE$12,$U57,"")</f>
        <v/>
      </c>
      <c r="DF57" s="103" t="str">
        <f aca="false">IF($B57=DF$12,$U57,"")</f>
        <v/>
      </c>
      <c r="DG57" s="103" t="str">
        <f aca="false">IF($B57=DG$12,$U57,"")</f>
        <v/>
      </c>
      <c r="DH57" s="103" t="str">
        <f aca="false">IF($B57=DH$12,$U57,"")</f>
        <v/>
      </c>
      <c r="DI57" s="103" t="str">
        <f aca="false">IF($B57=DI$12,$U57,"")</f>
        <v/>
      </c>
      <c r="DJ57" s="103" t="str">
        <f aca="false">IF($B57=DJ$12,$U57,"")</f>
        <v/>
      </c>
      <c r="DK57" s="103" t="str">
        <f aca="false">IF($B57=DK$12,$U57,"")</f>
        <v/>
      </c>
      <c r="DL57" s="103" t="str">
        <f aca="false">IF($B57=DL$12,$U57,"")</f>
        <v/>
      </c>
      <c r="DM57" s="103" t="str">
        <f aca="false">IF($B57=DM$12,$U57,"")</f>
        <v/>
      </c>
      <c r="DN57" s="103" t="str">
        <f aca="false">IF($B57=DN$12,$U57,"")</f>
        <v/>
      </c>
      <c r="DO57" s="103" t="str">
        <f aca="false">IF($B57=DO$12,$U57,"")</f>
        <v/>
      </c>
      <c r="DP57" s="103" t="str">
        <f aca="false">IF($B57=DP$12,$U57,"")</f>
        <v/>
      </c>
      <c r="DQ57" s="103" t="str">
        <f aca="false">IF($B57=DQ$12,$U57,"")</f>
        <v/>
      </c>
      <c r="DR57" s="103" t="str">
        <f aca="false">IF($B57=DR$12,$U57,"")</f>
        <v/>
      </c>
      <c r="DS57" s="103" t="str">
        <f aca="false">IF($B57=DS$12,$U57,"")</f>
        <v/>
      </c>
      <c r="DT57" s="104" t="str">
        <f aca="false">IF($B57=DT$12,$U57,"")</f>
        <v/>
      </c>
      <c r="DU57" s="56"/>
      <c r="DV57" s="47"/>
      <c r="DW57" s="105" t="str">
        <f aca="false">IF($B57=DW$12,$O57,"")</f>
        <v/>
      </c>
      <c r="DX57" s="106" t="str">
        <f aca="false">IF($B57=DX$12,$O57,"")</f>
        <v/>
      </c>
      <c r="DY57" s="106" t="str">
        <f aca="false">IF($B57=DY$12,$O57,"")</f>
        <v/>
      </c>
      <c r="DZ57" s="106" t="str">
        <f aca="false">IF($B57=DZ$12,$O57,"")</f>
        <v/>
      </c>
      <c r="EA57" s="106" t="str">
        <f aca="false">IF($B57=EA$12,$O57,"")</f>
        <v/>
      </c>
      <c r="EB57" s="106" t="str">
        <f aca="false">IF($B57=EB$12,$O57,"")</f>
        <v/>
      </c>
      <c r="EC57" s="106" t="str">
        <f aca="false">IF($B57=EC$12,$O57,"")</f>
        <v/>
      </c>
      <c r="ED57" s="106" t="str">
        <f aca="false">IF($B57=ED$12,$O57,"")</f>
        <v/>
      </c>
      <c r="EE57" s="106" t="str">
        <f aca="false">IF($B57=EE$12,$O57,"")</f>
        <v/>
      </c>
      <c r="EF57" s="106" t="str">
        <f aca="false">IF($B57=EF$12,$O57,"")</f>
        <v/>
      </c>
      <c r="EG57" s="106" t="str">
        <f aca="false">IF($B57=EG$12,$O57,"")</f>
        <v/>
      </c>
      <c r="EH57" s="106" t="str">
        <f aca="false">IF($B57=EH$12,$O57,"")</f>
        <v/>
      </c>
      <c r="EI57" s="106" t="str">
        <f aca="false">IF($B57=EI$12,$O57,"")</f>
        <v/>
      </c>
      <c r="EJ57" s="106" t="str">
        <f aca="false">IF($B57=EJ$12,$O57,"")</f>
        <v/>
      </c>
      <c r="EK57" s="106" t="str">
        <f aca="false">IF($B57=EK$12,$O57,"")</f>
        <v/>
      </c>
      <c r="EL57" s="106" t="str">
        <f aca="false">IF($B57=EL$12,$O57,"")</f>
        <v/>
      </c>
      <c r="EM57" s="106" t="str">
        <f aca="false">IF($B57=EM$12,$O57,"")</f>
        <v/>
      </c>
      <c r="EN57" s="106" t="str">
        <f aca="false">IF($B57=EN$12,$O57,"")</f>
        <v/>
      </c>
      <c r="EO57" s="106" t="str">
        <f aca="false">IF($B57=EO$12,$O57,"")</f>
        <v/>
      </c>
      <c r="EP57" s="106" t="str">
        <f aca="false">IF($B57=EP$12,$O57,"")</f>
        <v/>
      </c>
      <c r="EQ57" s="106" t="str">
        <f aca="false">IF($B57=EQ$12,$O57,"")</f>
        <v/>
      </c>
      <c r="ER57" s="106" t="str">
        <f aca="false">IF($B57=ER$12,$O57,"")</f>
        <v/>
      </c>
      <c r="ES57" s="106" t="str">
        <f aca="false">IF($B57=ES$12,$O57,"")</f>
        <v/>
      </c>
      <c r="ET57" s="106" t="str">
        <f aca="false">IF($B57=ET$12,$O57,"")</f>
        <v/>
      </c>
      <c r="EU57" s="106" t="str">
        <f aca="false">IF($B57=EU$12,$O57,"")</f>
        <v/>
      </c>
      <c r="EV57" s="106" t="str">
        <f aca="false">IF($B57=EV$12,$O57,"")</f>
        <v/>
      </c>
      <c r="EW57" s="106" t="str">
        <f aca="false">IF($B57=EW$12,$O57,"")</f>
        <v/>
      </c>
      <c r="EX57" s="106" t="str">
        <f aca="false">IF($B57=EX$12,$O57,"")</f>
        <v/>
      </c>
      <c r="EY57" s="106" t="str">
        <f aca="false">IF($B57=EY$12,$O57,"")</f>
        <v/>
      </c>
      <c r="EZ57" s="106" t="str">
        <f aca="false">IF($B57=EZ$12,$O57,"")</f>
        <v/>
      </c>
      <c r="FA57" s="106" t="str">
        <f aca="false">IF($B57=FA$12,$O57,"")</f>
        <v/>
      </c>
      <c r="FB57" s="106" t="str">
        <f aca="false">IF($B57=FB$12,$O57,"")</f>
        <v/>
      </c>
      <c r="FC57" s="106" t="str">
        <f aca="false">IF($B57=FC$12,$O57,"")</f>
        <v/>
      </c>
      <c r="FD57" s="106" t="str">
        <f aca="false">IF($B57=FD$12,$O57,"")</f>
        <v/>
      </c>
      <c r="FE57" s="106" t="str">
        <f aca="false">IF($B57=FE$12,$O57,"")</f>
        <v/>
      </c>
      <c r="FF57" s="106" t="str">
        <f aca="false">IF($B57=FF$12,$O57,"")</f>
        <v/>
      </c>
      <c r="FG57" s="106" t="str">
        <f aca="false">IF($B57=FG$12,$O57,"")</f>
        <v/>
      </c>
      <c r="FH57" s="106" t="str">
        <f aca="false">IF($B57=FH$12,$O57,"")</f>
        <v/>
      </c>
      <c r="FI57" s="106" t="str">
        <f aca="false">IF($B57=FI$12,$O57,"")</f>
        <v/>
      </c>
      <c r="FJ57" s="106" t="str">
        <f aca="false">IF($B57=FJ$12,$O57,"")</f>
        <v/>
      </c>
      <c r="FK57" s="106" t="str">
        <f aca="false">IF($B57=FK$12,$O57,"")</f>
        <v/>
      </c>
      <c r="FL57" s="106" t="str">
        <f aca="false">IF($B57=FL$12,$O57,"")</f>
        <v/>
      </c>
      <c r="FM57" s="106" t="str">
        <f aca="false">IF($B57=FM$12,$O57,"")</f>
        <v/>
      </c>
      <c r="FN57" s="106" t="str">
        <f aca="false">IF($B57=FN$12,$O57,"")</f>
        <v/>
      </c>
      <c r="FO57" s="106" t="str">
        <f aca="false">IF($B57=FO$12,$O57,"")</f>
        <v/>
      </c>
      <c r="FP57" s="106" t="str">
        <f aca="false">IF($B57=FP$12,$O57,"")</f>
        <v/>
      </c>
      <c r="FQ57" s="106" t="str">
        <f aca="false">IF($B57=FQ$12,$O57,"")</f>
        <v/>
      </c>
      <c r="FR57" s="106" t="str">
        <f aca="false">IF($B57=FR$12,$O57,"")</f>
        <v/>
      </c>
      <c r="FS57" s="106" t="str">
        <f aca="false">IF($B57=FS$12,$O57,"")</f>
        <v/>
      </c>
      <c r="FT57" s="106" t="str">
        <f aca="false">IF($B57=FT$12,$O57,"")</f>
        <v/>
      </c>
      <c r="FU57" s="106" t="str">
        <f aca="false">IF($B57=FU$12,$O57,"")</f>
        <v/>
      </c>
      <c r="FV57" s="106" t="str">
        <f aca="false">IF($B57=FV$12,$O57,"")</f>
        <v/>
      </c>
      <c r="FW57" s="106" t="str">
        <f aca="false">IF($B57=FW$12,$O57,"")</f>
        <v/>
      </c>
      <c r="FX57" s="106" t="str">
        <f aca="false">IF($B57=FX$12,$O57,"")</f>
        <v/>
      </c>
      <c r="FY57" s="106" t="str">
        <f aca="false">IF($B57=FY$12,$O57,"")</f>
        <v/>
      </c>
      <c r="FZ57" s="106" t="str">
        <f aca="false">IF($B57=FZ$12,$O57,"")</f>
        <v/>
      </c>
      <c r="GA57" s="106" t="str">
        <f aca="false">IF($B57=GA$12,$O57,"")</f>
        <v/>
      </c>
      <c r="GB57" s="106" t="str">
        <f aca="false">IF($B57=GB$12,$O57,"")</f>
        <v/>
      </c>
      <c r="GC57" s="106" t="str">
        <f aca="false">IF($B57=GC$12,$O57,"")</f>
        <v/>
      </c>
      <c r="GD57" s="106" t="str">
        <f aca="false">IF($B57=GD$12,$O57,"")</f>
        <v/>
      </c>
      <c r="GE57" s="106" t="str">
        <f aca="false">IF($B57=GE$12,$O57,"")</f>
        <v/>
      </c>
      <c r="GF57" s="106" t="str">
        <f aca="false">IF($B57=GF$12,$O57,"")</f>
        <v/>
      </c>
      <c r="GG57" s="106" t="str">
        <f aca="false">IF($B57=GG$12,$O57,"")</f>
        <v/>
      </c>
      <c r="GH57" s="106" t="str">
        <f aca="false">IF($B57=GH$12,$O57,"")</f>
        <v/>
      </c>
      <c r="GI57" s="106" t="str">
        <f aca="false">IF($B57=GI$12,$O57,"")</f>
        <v/>
      </c>
      <c r="GJ57" s="106" t="str">
        <f aca="false">IF($B57=GJ$12,$O57,"")</f>
        <v/>
      </c>
      <c r="GK57" s="106" t="str">
        <f aca="false">IF($B57=GK$12,$O57,"")</f>
        <v/>
      </c>
      <c r="GL57" s="106" t="str">
        <f aca="false">IF($B57=GL$12,$O57,"")</f>
        <v/>
      </c>
      <c r="GM57" s="106" t="str">
        <f aca="false">IF($B57=GM$12,$O57,"")</f>
        <v/>
      </c>
      <c r="GN57" s="106" t="str">
        <f aca="false">IF($B57=GN$12,$O57,"")</f>
        <v/>
      </c>
      <c r="GO57" s="106" t="str">
        <f aca="false">IF($B57=GO$12,$O57,"")</f>
        <v/>
      </c>
      <c r="GP57" s="106" t="str">
        <f aca="false">IF($B57=GP$12,$O57,"")</f>
        <v/>
      </c>
      <c r="GQ57" s="106" t="str">
        <f aca="false">IF($B57=GQ$12,$O57,"")</f>
        <v/>
      </c>
      <c r="GR57" s="106" t="str">
        <f aca="false">IF($B57=GR$12,$O57,"")</f>
        <v/>
      </c>
      <c r="GS57" s="106" t="str">
        <f aca="false">IF($B57=GS$12,$O57,"")</f>
        <v/>
      </c>
      <c r="GT57" s="106" t="str">
        <f aca="false">IF($B57=GT$12,$O57,"")</f>
        <v/>
      </c>
      <c r="GU57" s="106" t="str">
        <f aca="false">IF($B57=GU$12,$O57,"")</f>
        <v/>
      </c>
      <c r="GV57" s="106" t="str">
        <f aca="false">IF($B57=GV$12,$O57,"")</f>
        <v/>
      </c>
      <c r="GW57" s="106" t="str">
        <f aca="false">IF($B57=GW$12,$O57,"")</f>
        <v/>
      </c>
      <c r="GX57" s="106" t="str">
        <f aca="false">IF($B57=GX$12,$O57,"")</f>
        <v/>
      </c>
      <c r="GY57" s="106" t="str">
        <f aca="false">IF($B57=GY$12,$O57,"")</f>
        <v/>
      </c>
      <c r="GZ57" s="106" t="str">
        <f aca="false">IF($B57=GZ$12,$O57,"")</f>
        <v/>
      </c>
      <c r="HA57" s="106" t="str">
        <f aca="false">IF($B57=HA$12,$O57,"")</f>
        <v/>
      </c>
      <c r="HB57" s="106" t="str">
        <f aca="false">IF($B57=HB$12,$O57,"")</f>
        <v/>
      </c>
      <c r="HC57" s="106" t="str">
        <f aca="false">IF($B57=HC$12,$O57,"")</f>
        <v/>
      </c>
      <c r="HD57" s="106" t="str">
        <f aca="false">IF($B57=HD$12,$O57,"")</f>
        <v/>
      </c>
      <c r="HE57" s="106" t="str">
        <f aca="false">IF($B57=HE$12,$O57,"")</f>
        <v/>
      </c>
      <c r="HF57" s="106" t="str">
        <f aca="false">IF($B57=HF$12,$O57,"")</f>
        <v/>
      </c>
      <c r="HG57" s="106" t="str">
        <f aca="false">IF($B57=HG$12,$O57,"")</f>
        <v/>
      </c>
      <c r="HH57" s="106" t="str">
        <f aca="false">IF($B57=HH$12,$O57,"")</f>
        <v/>
      </c>
      <c r="HI57" s="106" t="str">
        <f aca="false">IF($B57=HI$12,$O57,"")</f>
        <v/>
      </c>
      <c r="HJ57" s="106" t="str">
        <f aca="false">IF($B57=HJ$12,$O57,"")</f>
        <v/>
      </c>
      <c r="HK57" s="106" t="str">
        <f aca="false">IF($B57=HK$12,$O57,"")</f>
        <v/>
      </c>
      <c r="HL57" s="106" t="str">
        <f aca="false">IF($B57=HL$12,$O57,"")</f>
        <v/>
      </c>
      <c r="HM57" s="106" t="str">
        <f aca="false">IF($B57=HM$12,$O57,"")</f>
        <v/>
      </c>
      <c r="HN57" s="106" t="str">
        <f aca="false">IF($B57=HN$12,$O57,"")</f>
        <v/>
      </c>
      <c r="HO57" s="106" t="str">
        <f aca="false">IF($B57=HO$12,$O57,"")</f>
        <v/>
      </c>
      <c r="HP57" s="106" t="str">
        <f aca="false">IF($B57=HP$12,$O57,"")</f>
        <v/>
      </c>
      <c r="HQ57" s="106" t="str">
        <f aca="false">IF($B57=HQ$12,$O57,"")</f>
        <v/>
      </c>
      <c r="HR57" s="107" t="str">
        <f aca="false">IF($B57=HR$12,$O57,"")</f>
        <v/>
      </c>
    </row>
    <row r="58" customFormat="false" ht="9.75" hidden="false" customHeight="true" outlineLevel="0" collapsed="false">
      <c r="A58" s="108"/>
      <c r="B58" s="147"/>
      <c r="C58" s="147" t="str">
        <f aca="false">IF(A58=0,"",VLOOKUP(A58,#REF!,2,0))</f>
        <v/>
      </c>
      <c r="D58" s="147"/>
      <c r="E58" s="147"/>
      <c r="F58" s="147"/>
      <c r="G58" s="147"/>
      <c r="H58" s="147"/>
      <c r="I58" s="148"/>
      <c r="J58" s="148"/>
      <c r="K58" s="148"/>
      <c r="L58" s="148"/>
      <c r="M58" s="149"/>
      <c r="N58" s="149"/>
      <c r="O58" s="149"/>
      <c r="P58" s="147"/>
      <c r="Q58" s="147"/>
      <c r="R58" s="147"/>
      <c r="S58" s="51"/>
      <c r="T58" s="47"/>
      <c r="U58" s="68"/>
      <c r="V58" s="68"/>
      <c r="W58" s="68"/>
      <c r="X58" s="68"/>
      <c r="Y58" s="68"/>
      <c r="Z58" s="68"/>
      <c r="AA58" s="68"/>
      <c r="AB58" s="68"/>
      <c r="AC58" s="68"/>
      <c r="AD58" s="68"/>
      <c r="AE58" s="68"/>
      <c r="AF58" s="68"/>
      <c r="AG58" s="68"/>
      <c r="AH58" s="68"/>
      <c r="AI58" s="68"/>
      <c r="AJ58" s="68"/>
      <c r="AK58" s="68"/>
      <c r="AL58" s="47"/>
      <c r="AM58" s="47"/>
      <c r="AN58" s="47"/>
      <c r="AO58" s="47"/>
      <c r="AP58" s="47"/>
      <c r="AQ58" s="47"/>
      <c r="AR58" s="47"/>
      <c r="AS58" s="47"/>
      <c r="AT58" s="47"/>
      <c r="AU58" s="47"/>
      <c r="AV58" s="47"/>
      <c r="AW58" s="47"/>
      <c r="AX58" s="47"/>
      <c r="AY58" s="47"/>
      <c r="AZ58" s="47"/>
      <c r="BA58" s="47"/>
      <c r="BB58" s="47"/>
      <c r="BC58" s="47"/>
      <c r="BD58" s="47"/>
      <c r="BE58" s="47"/>
      <c r="BF58" s="47"/>
      <c r="BG58" s="47"/>
      <c r="BH58" s="47"/>
      <c r="BI58" s="47"/>
      <c r="BJ58" s="47"/>
      <c r="BK58" s="47"/>
      <c r="BL58" s="47"/>
      <c r="BM58" s="47"/>
      <c r="BN58" s="47"/>
      <c r="BO58" s="47"/>
      <c r="BP58" s="47"/>
      <c r="BQ58" s="47"/>
      <c r="BR58" s="47"/>
      <c r="BS58" s="47"/>
      <c r="BT58" s="47"/>
      <c r="BU58" s="47"/>
      <c r="BV58" s="47"/>
      <c r="BW58" s="47"/>
      <c r="BX58" s="47"/>
      <c r="BY58" s="47"/>
      <c r="BZ58" s="47"/>
      <c r="CA58" s="47"/>
      <c r="CB58" s="47"/>
      <c r="CC58" s="47"/>
      <c r="CD58" s="47"/>
      <c r="CE58" s="47"/>
      <c r="CF58" s="47"/>
      <c r="CG58" s="47"/>
      <c r="CH58" s="47"/>
      <c r="CI58" s="47"/>
      <c r="CJ58" s="47"/>
      <c r="CK58" s="47"/>
      <c r="CL58" s="47"/>
      <c r="CM58" s="47"/>
      <c r="CN58" s="47"/>
      <c r="CO58" s="47"/>
      <c r="CP58" s="47"/>
      <c r="CQ58" s="47"/>
      <c r="CR58" s="47"/>
      <c r="CS58" s="47"/>
      <c r="CT58" s="47"/>
      <c r="CU58" s="47"/>
      <c r="CV58" s="47"/>
      <c r="CW58" s="47"/>
      <c r="CX58" s="47"/>
      <c r="CY58" s="47"/>
      <c r="CZ58" s="47"/>
      <c r="DA58" s="47"/>
      <c r="DB58" s="47"/>
      <c r="DC58" s="47"/>
      <c r="DD58" s="47"/>
      <c r="DE58" s="47"/>
      <c r="DF58" s="47"/>
      <c r="DG58" s="47"/>
      <c r="DH58" s="47"/>
      <c r="DI58" s="47"/>
      <c r="DJ58" s="47"/>
      <c r="DK58" s="47"/>
      <c r="DL58" s="47"/>
      <c r="DM58" s="47"/>
      <c r="DN58" s="47"/>
      <c r="DO58" s="47"/>
      <c r="DP58" s="47"/>
      <c r="DQ58" s="47"/>
      <c r="DR58" s="47"/>
      <c r="DS58" s="47"/>
      <c r="DT58" s="47"/>
      <c r="DU58" s="47"/>
      <c r="DV58" s="47"/>
      <c r="DW58" s="47"/>
      <c r="DX58" s="47"/>
      <c r="DY58" s="47"/>
      <c r="DZ58" s="47"/>
      <c r="EA58" s="47"/>
      <c r="EB58" s="47"/>
      <c r="EC58" s="47"/>
      <c r="ED58" s="47"/>
      <c r="EE58" s="47"/>
      <c r="EF58" s="47"/>
      <c r="EG58" s="47"/>
      <c r="EH58" s="47"/>
      <c r="EI58" s="47"/>
      <c r="EJ58" s="47"/>
      <c r="EK58" s="47"/>
      <c r="EL58" s="47"/>
      <c r="EM58" s="47"/>
      <c r="EN58" s="47"/>
      <c r="EO58" s="47"/>
      <c r="EP58" s="47"/>
      <c r="EQ58" s="47"/>
      <c r="ER58" s="47"/>
      <c r="ES58" s="47"/>
      <c r="ET58" s="150"/>
      <c r="EU58" s="150"/>
      <c r="EV58" s="150"/>
    </row>
    <row r="59" customFormat="false" ht="12.75" hidden="false" customHeight="false" outlineLevel="0" collapsed="false">
      <c r="A59" s="108"/>
      <c r="B59" s="147"/>
      <c r="C59" s="147"/>
      <c r="D59" s="147"/>
      <c r="E59" s="147"/>
      <c r="F59" s="147"/>
      <c r="G59" s="147"/>
      <c r="H59" s="147"/>
      <c r="I59" s="148"/>
      <c r="J59" s="148"/>
      <c r="K59" s="148"/>
      <c r="L59" s="148"/>
      <c r="M59" s="149"/>
      <c r="N59" s="149"/>
      <c r="O59" s="109" t="s">
        <v>24</v>
      </c>
      <c r="P59" s="110"/>
      <c r="Q59" s="111" t="n">
        <f aca="false">SUM(Q51:Q57)</f>
        <v>0</v>
      </c>
      <c r="R59" s="111" t="n">
        <f aca="false">SUM(R51:R57)</f>
        <v>0</v>
      </c>
      <c r="S59" s="112"/>
      <c r="T59" s="47"/>
      <c r="U59" s="68"/>
      <c r="V59" s="68"/>
      <c r="W59" s="68"/>
      <c r="X59" s="68"/>
      <c r="EV59" s="150"/>
    </row>
    <row r="60" customFormat="false" ht="12.75" hidden="false" customHeight="false" outlineLevel="0" collapsed="false">
      <c r="A60" s="108"/>
      <c r="B60" s="147"/>
      <c r="C60" s="147"/>
      <c r="D60" s="147"/>
      <c r="E60" s="147"/>
      <c r="F60" s="147"/>
      <c r="G60" s="147"/>
      <c r="H60" s="147"/>
      <c r="I60" s="148"/>
      <c r="J60" s="148"/>
      <c r="K60" s="148"/>
      <c r="L60" s="148"/>
      <c r="M60" s="149"/>
      <c r="N60" s="149"/>
      <c r="O60" s="149"/>
      <c r="P60" s="147"/>
      <c r="Q60" s="147"/>
      <c r="R60" s="147"/>
      <c r="S60" s="51"/>
      <c r="T60" s="47"/>
      <c r="U60" s="68"/>
      <c r="V60" s="68"/>
      <c r="W60" s="68"/>
      <c r="X60" s="68"/>
      <c r="Y60" s="68"/>
      <c r="Z60" s="68"/>
      <c r="AA60" s="68"/>
      <c r="AB60" s="68"/>
      <c r="AC60" s="68"/>
      <c r="AD60" s="68"/>
      <c r="AE60" s="68"/>
      <c r="AF60" s="68"/>
      <c r="AG60" s="68"/>
      <c r="AH60" s="68"/>
      <c r="AI60" s="68"/>
      <c r="AJ60" s="68"/>
      <c r="AK60" s="68"/>
      <c r="AL60" s="47"/>
      <c r="AM60" s="47"/>
      <c r="AN60" s="47"/>
      <c r="AO60" s="47"/>
      <c r="AP60" s="47"/>
      <c r="AQ60" s="47"/>
      <c r="AR60" s="47"/>
      <c r="AS60" s="47"/>
      <c r="AT60" s="47"/>
      <c r="AU60" s="47"/>
      <c r="AV60" s="47"/>
      <c r="AW60" s="47"/>
      <c r="AX60" s="47"/>
      <c r="AY60" s="47"/>
      <c r="AZ60" s="47"/>
      <c r="BA60" s="47"/>
      <c r="BB60" s="47"/>
      <c r="BC60" s="47"/>
      <c r="BD60" s="47"/>
      <c r="BE60" s="47"/>
      <c r="BF60" s="47"/>
      <c r="BG60" s="47"/>
      <c r="BH60" s="47"/>
      <c r="BI60" s="47"/>
      <c r="BJ60" s="47"/>
      <c r="BK60" s="47"/>
      <c r="BL60" s="47"/>
      <c r="BM60" s="47"/>
      <c r="BN60" s="47"/>
      <c r="BO60" s="47"/>
      <c r="BP60" s="47"/>
      <c r="BQ60" s="47"/>
      <c r="BR60" s="47"/>
      <c r="BS60" s="47"/>
      <c r="BT60" s="47"/>
      <c r="BU60" s="47"/>
      <c r="BV60" s="47"/>
      <c r="BW60" s="47"/>
      <c r="BX60" s="47"/>
      <c r="BY60" s="47"/>
      <c r="BZ60" s="47"/>
      <c r="CA60" s="47"/>
      <c r="CB60" s="47"/>
      <c r="CC60" s="47"/>
      <c r="CD60" s="47"/>
      <c r="CE60" s="47"/>
      <c r="CF60" s="47"/>
      <c r="CG60" s="47"/>
      <c r="CH60" s="47"/>
      <c r="CI60" s="47"/>
      <c r="CJ60" s="47"/>
      <c r="CK60" s="47"/>
      <c r="CL60" s="47"/>
      <c r="CM60" s="47"/>
      <c r="CN60" s="47"/>
      <c r="CO60" s="47"/>
      <c r="CP60" s="47"/>
      <c r="CQ60" s="47"/>
      <c r="CR60" s="47"/>
      <c r="CS60" s="47"/>
      <c r="CT60" s="47"/>
      <c r="CU60" s="47"/>
      <c r="CV60" s="47"/>
      <c r="CW60" s="47"/>
      <c r="CX60" s="47"/>
      <c r="CY60" s="47"/>
      <c r="CZ60" s="47"/>
      <c r="DA60" s="47"/>
      <c r="DB60" s="47"/>
      <c r="DC60" s="47"/>
      <c r="DD60" s="47"/>
      <c r="DE60" s="47"/>
      <c r="DF60" s="47"/>
      <c r="DG60" s="47"/>
      <c r="DH60" s="47"/>
      <c r="DI60" s="47"/>
      <c r="DJ60" s="47"/>
      <c r="DK60" s="47"/>
      <c r="DL60" s="47"/>
      <c r="DM60" s="47"/>
      <c r="DN60" s="47"/>
      <c r="DO60" s="47"/>
      <c r="DP60" s="47"/>
      <c r="DQ60" s="47"/>
      <c r="DR60" s="47"/>
      <c r="DS60" s="47"/>
      <c r="DT60" s="47"/>
      <c r="DU60" s="47"/>
      <c r="DV60" s="47"/>
      <c r="DW60" s="47"/>
      <c r="DX60" s="47"/>
      <c r="DY60" s="47"/>
      <c r="DZ60" s="47"/>
      <c r="EA60" s="47"/>
      <c r="EB60" s="47"/>
      <c r="EC60" s="47"/>
      <c r="ED60" s="47"/>
      <c r="EE60" s="47"/>
      <c r="EF60" s="47"/>
      <c r="EG60" s="47"/>
      <c r="EH60" s="47"/>
      <c r="EI60" s="47"/>
      <c r="EJ60" s="47"/>
      <c r="EK60" s="47"/>
      <c r="EL60" s="47"/>
      <c r="EM60" s="47"/>
      <c r="EN60" s="47"/>
      <c r="EO60" s="47"/>
      <c r="EP60" s="47"/>
      <c r="EQ60" s="47"/>
      <c r="ER60" s="47"/>
      <c r="ES60" s="47"/>
      <c r="ET60" s="150"/>
      <c r="EU60" s="150"/>
      <c r="EV60" s="150"/>
    </row>
    <row r="61" customFormat="false" ht="12.75" hidden="false" customHeight="false" outlineLevel="0" collapsed="false">
      <c r="A61" s="108"/>
      <c r="B61" s="147"/>
      <c r="C61" s="147"/>
      <c r="D61" s="147"/>
      <c r="E61" s="147"/>
      <c r="F61" s="147"/>
      <c r="G61" s="147"/>
      <c r="H61" s="147"/>
      <c r="I61" s="148"/>
      <c r="J61" s="148"/>
      <c r="K61" s="148"/>
      <c r="L61" s="148"/>
      <c r="M61" s="149"/>
      <c r="N61" s="149"/>
      <c r="O61" s="109" t="s">
        <v>28</v>
      </c>
      <c r="P61" s="147"/>
      <c r="Q61" s="111" t="n">
        <f aca="false">Q34+Q47+Q59</f>
        <v>0</v>
      </c>
      <c r="R61" s="111"/>
      <c r="S61" s="51"/>
      <c r="T61" s="47"/>
      <c r="U61" s="68"/>
      <c r="V61" s="68"/>
      <c r="W61" s="68"/>
      <c r="X61" s="68"/>
      <c r="Y61" s="68"/>
      <c r="Z61" s="68"/>
      <c r="AA61" s="68"/>
      <c r="AB61" s="68"/>
      <c r="AC61" s="68"/>
      <c r="AD61" s="68"/>
      <c r="AE61" s="68"/>
      <c r="AF61" s="68"/>
      <c r="AG61" s="68"/>
      <c r="AH61" s="68"/>
      <c r="AI61" s="68"/>
      <c r="AJ61" s="68"/>
      <c r="AK61" s="68"/>
      <c r="AL61" s="47"/>
      <c r="AM61" s="47"/>
      <c r="AN61" s="47"/>
      <c r="AO61" s="47"/>
      <c r="AP61" s="47"/>
      <c r="AQ61" s="47"/>
      <c r="AR61" s="47"/>
      <c r="AS61" s="47"/>
      <c r="AT61" s="47"/>
      <c r="AU61" s="47"/>
      <c r="AV61" s="47"/>
      <c r="AW61" s="47"/>
      <c r="AX61" s="47"/>
      <c r="AY61" s="47"/>
      <c r="AZ61" s="47"/>
      <c r="BA61" s="47"/>
      <c r="BB61" s="47"/>
      <c r="BC61" s="47"/>
      <c r="BD61" s="47"/>
      <c r="BE61" s="47"/>
      <c r="BF61" s="47"/>
      <c r="BG61" s="47"/>
      <c r="BH61" s="47"/>
      <c r="BI61" s="47"/>
      <c r="BJ61" s="47"/>
      <c r="BK61" s="47"/>
      <c r="BL61" s="47"/>
      <c r="BM61" s="47"/>
      <c r="BN61" s="47"/>
      <c r="BO61" s="47"/>
      <c r="BP61" s="47"/>
      <c r="BQ61" s="47"/>
      <c r="BR61" s="47"/>
      <c r="BS61" s="47"/>
      <c r="BT61" s="47"/>
      <c r="BU61" s="47"/>
      <c r="BV61" s="47"/>
      <c r="BW61" s="47"/>
      <c r="BX61" s="47"/>
      <c r="BY61" s="47"/>
      <c r="BZ61" s="47"/>
      <c r="CA61" s="47"/>
      <c r="CB61" s="47"/>
      <c r="CC61" s="47"/>
      <c r="CD61" s="47"/>
      <c r="CE61" s="47"/>
      <c r="CF61" s="47"/>
      <c r="CG61" s="47"/>
      <c r="CH61" s="47"/>
      <c r="CI61" s="47"/>
      <c r="CJ61" s="47"/>
      <c r="CK61" s="47"/>
      <c r="CL61" s="47"/>
      <c r="CM61" s="47"/>
      <c r="CN61" s="47"/>
      <c r="CO61" s="47"/>
      <c r="CP61" s="47"/>
      <c r="CQ61" s="47"/>
      <c r="CR61" s="47"/>
      <c r="CS61" s="47"/>
      <c r="CT61" s="47"/>
      <c r="CU61" s="47"/>
      <c r="CV61" s="47"/>
      <c r="CW61" s="47"/>
      <c r="CX61" s="47"/>
      <c r="CY61" s="47"/>
      <c r="CZ61" s="47"/>
      <c r="DA61" s="47"/>
      <c r="DB61" s="47"/>
      <c r="DC61" s="47"/>
      <c r="DD61" s="47"/>
      <c r="DE61" s="47"/>
      <c r="DF61" s="47"/>
      <c r="DG61" s="47"/>
      <c r="DH61" s="47"/>
      <c r="DI61" s="47"/>
      <c r="DJ61" s="47"/>
      <c r="DK61" s="47"/>
      <c r="DL61" s="47"/>
      <c r="DM61" s="47"/>
      <c r="DN61" s="47"/>
      <c r="DO61" s="47"/>
      <c r="DP61" s="47"/>
      <c r="DQ61" s="47"/>
      <c r="DR61" s="47"/>
      <c r="DS61" s="47"/>
      <c r="DT61" s="47"/>
      <c r="DU61" s="47"/>
      <c r="DV61" s="47"/>
      <c r="DW61" s="47"/>
      <c r="DX61" s="47"/>
      <c r="DY61" s="47"/>
      <c r="DZ61" s="47"/>
      <c r="EA61" s="47"/>
      <c r="EB61" s="47"/>
      <c r="EC61" s="47"/>
      <c r="ED61" s="47"/>
      <c r="EE61" s="47"/>
      <c r="EF61" s="47"/>
      <c r="EG61" s="47"/>
      <c r="EH61" s="47"/>
      <c r="EI61" s="47"/>
      <c r="EJ61" s="47"/>
      <c r="EK61" s="47"/>
      <c r="EL61" s="47"/>
      <c r="EM61" s="47"/>
      <c r="EN61" s="47"/>
      <c r="EO61" s="47"/>
      <c r="EP61" s="47"/>
      <c r="EQ61" s="47"/>
      <c r="ER61" s="47"/>
      <c r="ES61" s="47"/>
      <c r="ET61" s="150"/>
      <c r="EU61" s="150"/>
      <c r="EV61" s="150"/>
    </row>
    <row r="62" customFormat="false" ht="9.75" hidden="false" customHeight="true" outlineLevel="0" collapsed="false"/>
    <row r="63" customFormat="false" ht="9.75" hidden="false" customHeight="true" outlineLevel="0" collapsed="false"/>
    <row r="64" customFormat="false" ht="9.75" hidden="false" customHeight="true" outlineLevel="0" collapsed="false"/>
    <row r="65" customFormat="false" ht="9.75" hidden="false" customHeight="true" outlineLevel="0" collapsed="false"/>
    <row r="66" customFormat="false" ht="9.75" hidden="false" customHeight="true" outlineLevel="0" collapsed="false"/>
  </sheetData>
  <mergeCells count="11">
    <mergeCell ref="E1:Q1"/>
    <mergeCell ref="A2:C2"/>
    <mergeCell ref="E2:Q2"/>
    <mergeCell ref="E3:Q3"/>
    <mergeCell ref="A6:C8"/>
    <mergeCell ref="D6:E6"/>
    <mergeCell ref="F6:O6"/>
    <mergeCell ref="P6:Q6"/>
    <mergeCell ref="D7:O7"/>
    <mergeCell ref="P7:Q7"/>
    <mergeCell ref="D8:O8"/>
  </mergeCells>
  <dataValidations count="1">
    <dataValidation allowBlank="true" errorStyle="stop" operator="between" prompt="Unicamente introducir numeros enteros entre 1 y 50" promptTitle="Valor Numerico" showDropDown="false" showErrorMessage="true" showInputMessage="true" sqref="J10" type="whole">
      <formula1>1</formula1>
      <formula2>50</formula2>
    </dataValidation>
  </dataValidations>
  <printOptions headings="false" gridLines="false" gridLinesSet="true" horizontalCentered="true" verticalCentered="false"/>
  <pageMargins left="0.118055555555556" right="0.118055555555556" top="0.747916666666667" bottom="1.14166666666667" header="0.511811023622047" footer="0.865972222222222"/>
  <pageSetup paperSize="1" scale="100" fitToWidth="1" fitToHeight="0" pageOrder="downThenOver" orientation="portrait" blackAndWhite="false" draft="false" cellComments="none" horizontalDpi="300" verticalDpi="300" copies="1"/>
  <headerFooter differentFirst="false" differentOddEven="false">
    <oddHeader/>
    <oddFooter>&amp;L&amp;8_______________________________________
AUTORIZO: ARQ. JORGE CHAVEZ ALVAREZ&amp;CNumero de Hoja:
&amp;P / &amp;N&amp;R&amp;8_________________________________
LEVANTO: ARQ. ROBERTO E. VIDAL O.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Hoj_Nuevas.New_Week">
                <anchor moveWithCells="true" sizeWithCells="false">
                  <from>
                    <xdr:col>17</xdr:col>
                    <xdr:colOff>0</xdr:colOff>
                    <xdr:row>5</xdr:row>
                    <xdr:rowOff>28440</xdr:rowOff>
                  </from>
                  <to>
                    <xdr:col>18</xdr:col>
                    <xdr:colOff>-557280</xdr:colOff>
                    <xdr:row>6</xdr:row>
                    <xdr:rowOff>-28800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2">
              <controlPr defaultSize="0" print="false" autoFill="0" autoPict="0" macro="Exportar_Datos.Abrir_Archivo">
                <anchor moveWithCells="true" sizeWithCells="false">
                  <from>
                    <xdr:col>7</xdr:col>
                    <xdr:colOff>0</xdr:colOff>
                    <xdr:row>9</xdr:row>
                    <xdr:rowOff>9360</xdr:rowOff>
                  </from>
                  <to>
                    <xdr:col>8</xdr:col>
                    <xdr:colOff>342720</xdr:colOff>
                    <xdr:row>10</xdr:row>
                    <xdr:rowOff>-19440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Button 3">
              <controlPr defaultSize="0" print="false" autoFill="0" autoPict="0" macro="Actualizar.Act_Progr">
                <anchor moveWithCells="true" sizeWithCells="false">
                  <from>
                    <xdr:col>17</xdr:col>
                    <xdr:colOff>0</xdr:colOff>
                    <xdr:row>9</xdr:row>
                    <xdr:rowOff>9360</xdr:rowOff>
                  </from>
                  <to>
                    <xdr:col>18</xdr:col>
                    <xdr:colOff>-61920</xdr:colOff>
                    <xdr:row>10</xdr:row>
                    <xdr:rowOff>-29160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6" name="Button 4">
              <controlPr defaultSize="0" print="false" autoFill="0" autoPict="0" macro="Cambio_Links.Ini_Change_Link">
                <anchor moveWithCells="true" sizeWithCells="false">
                  <from>
                    <xdr:col>17</xdr:col>
                    <xdr:colOff>0</xdr:colOff>
                    <xdr:row>5</xdr:row>
                    <xdr:rowOff>218880</xdr:rowOff>
                  </from>
                  <to>
                    <xdr:col>18</xdr:col>
                    <xdr:colOff>-81000</xdr:colOff>
                    <xdr:row>7</xdr:row>
                    <xdr:rowOff>209520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" r:id="rId7" name="Button 5">
              <controlPr defaultSize="0" print="false" autoFill="0" autoPict="0" macro="Actualizar.DesAct_Progr">
                <anchor moveWithCells="true" sizeWithCells="false">
                  <from>
                    <xdr:col>15</xdr:col>
                    <xdr:colOff>0</xdr:colOff>
                    <xdr:row>9</xdr:row>
                    <xdr:rowOff>9360</xdr:rowOff>
                  </from>
                  <to>
                    <xdr:col>16</xdr:col>
                    <xdr:colOff>828720</xdr:colOff>
                    <xdr:row>10</xdr:row>
                    <xdr:rowOff>-29160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" r:id="rId8" name="Button 6">
              <controlPr defaultSize="0" print="false" autoFill="0" autoPict="0" macro="Agreg_Rengl.Agr_N_Rengl">
                <anchor moveWithCells="true" sizeWithCells="false">
                  <from>
                    <xdr:col>10</xdr:col>
                    <xdr:colOff>0</xdr:colOff>
                    <xdr:row>9</xdr:row>
                    <xdr:rowOff>28440</xdr:rowOff>
                  </from>
                  <to>
                    <xdr:col>12</xdr:col>
                    <xdr:colOff>447480</xdr:colOff>
                    <xdr:row>10</xdr:row>
                    <xdr:rowOff>-19440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" r:id="rId9" name="Button 7">
              <controlPr defaultSize="0" print="false" autoFill="0" autoPict="0" macro="Mov_Inmov_Panel.In_Mo_Panel">
                <anchor moveWithCells="true" sizeWithCells="false">
                  <from>
                    <xdr:col>12</xdr:col>
                    <xdr:colOff>466560</xdr:colOff>
                    <xdr:row>9</xdr:row>
                    <xdr:rowOff>28440</xdr:rowOff>
                  </from>
                  <to>
                    <xdr:col>14</xdr:col>
                    <xdr:colOff>952200</xdr:colOff>
                    <xdr:row>10</xdr:row>
                    <xdr:rowOff>-28800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" r:id="rId10" name="Button 8">
              <controlPr defaultSize="0" print="false" autoFill="0" autoPict="0" macro="Cambio_Links.Ini_Change_Link">
                <anchor moveWithCells="true" sizeWithCells="false">
                  <from>
                    <xdr:col>17</xdr:col>
                    <xdr:colOff>0</xdr:colOff>
                    <xdr:row>5</xdr:row>
                    <xdr:rowOff>218880</xdr:rowOff>
                  </from>
                  <to>
                    <xdr:col>18</xdr:col>
                    <xdr:colOff>-81000</xdr:colOff>
                    <xdr:row>7</xdr:row>
                    <xdr:rowOff>209520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LibreOffice/7.3.7.2$Linux_X86_64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2015-06-05T14:18:37Z</dcterms:created>
  <dc:creator>Ing. Gallo VI</dc:creator>
  <dc:description/>
  <dc:language>en-US</dc:language>
  <cp:lastModifiedBy/>
  <cp:lastPrinted>2023-02-17T16:44:43Z</cp:lastPrinted>
  <dcterms:modified xsi:type="dcterms:W3CDTF">2023-02-26T09:53:07Z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